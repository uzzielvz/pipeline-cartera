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zzie\Documents\Jale\automatizador-crediflexi\"/>
    </mc:Choice>
  </mc:AlternateContent>
  <xr:revisionPtr revIDLastSave="0" documentId="13_ncr:1_{8E732CF8-94D1-4556-BFC8-D7262DD188F6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X_Coordinación" sheetId="19" r:id="rId1"/>
    <sheet name="X_Recuperador" sheetId="20" r:id="rId2"/>
    <sheet name="R_Completo" sheetId="1" r:id="rId3"/>
  </sheets>
  <definedNames>
    <definedName name="_xlnm._FilterDatabase" localSheetId="0" hidden="1">X_Coordinación!$A$6:$H$6</definedName>
  </definedName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0" l="1"/>
  <c r="J24" i="20"/>
  <c r="H15" i="19"/>
  <c r="H10" i="19"/>
  <c r="H9" i="19" l="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9" i="20"/>
  <c r="H11" i="19"/>
  <c r="H12" i="19"/>
  <c r="H13" i="19"/>
</calcChain>
</file>

<file path=xl/sharedStrings.xml><?xml version="1.0" encoding="utf-8"?>
<sst xmlns="http://schemas.openxmlformats.org/spreadsheetml/2006/main" count="273" uniqueCount="114">
  <si>
    <t>Código acreditado</t>
  </si>
  <si>
    <t>Nom. región</t>
  </si>
  <si>
    <t>Coordinación</t>
  </si>
  <si>
    <t>Código promotor</t>
  </si>
  <si>
    <t>Nombre promotor</t>
  </si>
  <si>
    <t>Código recuperador</t>
  </si>
  <si>
    <t>Nombre recuperador</t>
  </si>
  <si>
    <t>Ciclo</t>
  </si>
  <si>
    <t>Nombre acreditado</t>
  </si>
  <si>
    <t>Inicio ciclo</t>
  </si>
  <si>
    <t>Fin ciclo</t>
  </si>
  <si>
    <t>Cantidad entregada</t>
  </si>
  <si>
    <t>Cantidad Prestada</t>
  </si>
  <si>
    <t>Días de mora</t>
  </si>
  <si>
    <t>PAR</t>
  </si>
  <si>
    <t>Plazo del crédito</t>
  </si>
  <si>
    <t>Periodicidad</t>
  </si>
  <si>
    <t>Parcialidad + Parcialidad comisión</t>
  </si>
  <si>
    <t>Comisión a pagar</t>
  </si>
  <si>
    <t>Interés moratorio saldo vencido total</t>
  </si>
  <si>
    <t>Pagos vencidos</t>
  </si>
  <si>
    <t>Periodos vencidos</t>
  </si>
  <si>
    <t>Saldo capital</t>
  </si>
  <si>
    <t>Saldo vencido</t>
  </si>
  <si>
    <t>Saldo capital vencido</t>
  </si>
  <si>
    <t>Saldo interés vencido</t>
  </si>
  <si>
    <t>Saldo comisión vencida</t>
  </si>
  <si>
    <t>Saldo recargos</t>
  </si>
  <si>
    <t>$ Último pago</t>
  </si>
  <si>
    <t>Último pago</t>
  </si>
  <si>
    <t>Situación crédito</t>
  </si>
  <si>
    <t>Medio comunic. 1</t>
  </si>
  <si>
    <t>Medio comunic. 2</t>
  </si>
  <si>
    <t>Medio comunic. 3</t>
  </si>
  <si>
    <t>Actividad económica PLD</t>
  </si>
  <si>
    <t>Código actividad económica PLD</t>
  </si>
  <si>
    <t>Nombre conyuge</t>
  </si>
  <si>
    <t>Teléfono conyuge</t>
  </si>
  <si>
    <t>Nombre Referencia1</t>
  </si>
  <si>
    <t>Teléfono Referencia1</t>
  </si>
  <si>
    <t>Nombre Referencia2</t>
  </si>
  <si>
    <t>Teléfono Referencia2</t>
  </si>
  <si>
    <t>Nombre Referencia3</t>
  </si>
  <si>
    <t>Teléfono Referencia3</t>
  </si>
  <si>
    <t>Tipo Garantía 1</t>
  </si>
  <si>
    <t>Descripción garantía 1</t>
  </si>
  <si>
    <t>Garantía 1</t>
  </si>
  <si>
    <t>Tipo Garantía 2</t>
  </si>
  <si>
    <t>Descripción garantía 2</t>
  </si>
  <si>
    <t>Garantía 2</t>
  </si>
  <si>
    <t>Saldo total</t>
  </si>
  <si>
    <t>Saldo adelantado</t>
  </si>
  <si>
    <t>Cód. producto crédito</t>
  </si>
  <si>
    <t>Nom. producto crédito</t>
  </si>
  <si>
    <t>Calle</t>
  </si>
  <si>
    <t>Colonia</t>
  </si>
  <si>
    <t>Entidad federativa</t>
  </si>
  <si>
    <t>Municipio</t>
  </si>
  <si>
    <t>Geolocalización domicilio</t>
  </si>
  <si>
    <t>Link de Geolocalización</t>
  </si>
  <si>
    <t>Castigado cartera</t>
  </si>
  <si>
    <t>Nom. personal castiga cartera</t>
  </si>
  <si>
    <t>Frecuencia</t>
  </si>
  <si>
    <t>Criticidad</t>
  </si>
  <si>
    <t>Forma de entrega</t>
  </si>
  <si>
    <t>Concepto Depósito</t>
  </si>
  <si>
    <t>Valle de bravo</t>
  </si>
  <si>
    <t>000020</t>
  </si>
  <si>
    <t>Campos Sanchez Victor Humberto</t>
  </si>
  <si>
    <t>Metepec</t>
  </si>
  <si>
    <t>Maravatio</t>
  </si>
  <si>
    <t>000080</t>
  </si>
  <si>
    <t>Lopez Ramirez Irving Omar</t>
  </si>
  <si>
    <t>000085</t>
  </si>
  <si>
    <t>Campuzano Sanchez Humbert</t>
  </si>
  <si>
    <t>Tenancingo</t>
  </si>
  <si>
    <t>000037</t>
  </si>
  <si>
    <t>CREDIFLEXI CREDIFLEXI CREDIFLEXI</t>
  </si>
  <si>
    <t>000078</t>
  </si>
  <si>
    <t>Atilano Saucedo Fortino</t>
  </si>
  <si>
    <t>000079</t>
  </si>
  <si>
    <t>Gomez Campos Olga Janet</t>
  </si>
  <si>
    <t>90</t>
  </si>
  <si>
    <t>Atlacomulco</t>
  </si>
  <si>
    <t>000039</t>
  </si>
  <si>
    <t>CALL CENTER</t>
  </si>
  <si>
    <t>60</t>
  </si>
  <si>
    <t>30</t>
  </si>
  <si>
    <t>000082</t>
  </si>
  <si>
    <t>ENRIQUEZ VILCHIS MARIA ALEJANDRA</t>
  </si>
  <si>
    <t>15</t>
  </si>
  <si>
    <t>7</t>
  </si>
  <si>
    <t>0</t>
  </si>
  <si>
    <t>(en blanco)</t>
  </si>
  <si>
    <t>Total general</t>
  </si>
  <si>
    <t>Cantidad
Prestada</t>
  </si>
  <si>
    <t>Saldo
Capital</t>
  </si>
  <si>
    <t>Saldo
Vencido</t>
  </si>
  <si>
    <t>Saldo
Total</t>
  </si>
  <si>
    <t>% MORA</t>
  </si>
  <si>
    <t>Mayor_90</t>
  </si>
  <si>
    <t>Saldo riesgo total</t>
  </si>
  <si>
    <t>Saldo riesgo capital</t>
  </si>
  <si>
    <t>Etiquetas de fila</t>
  </si>
  <si>
    <t>Suma de Saldo riesgo total</t>
  </si>
  <si>
    <t>Saldo
Riesgo Capital</t>
  </si>
  <si>
    <t>Saldo
Riesgo Total</t>
  </si>
  <si>
    <t>Total</t>
  </si>
  <si>
    <t>1-7 días</t>
  </si>
  <si>
    <t>8-15 días</t>
  </si>
  <si>
    <t>16-30 días</t>
  </si>
  <si>
    <t>31-60 días</t>
  </si>
  <si>
    <t>61-90 días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</si>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</sst>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66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66"/>
      <name val="Arial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66"/>
      </left>
      <right/>
      <top style="medium">
        <color rgb="FF000066"/>
      </top>
      <bottom style="medium">
        <color rgb="FF000066"/>
      </bottom>
      <diagonal/>
    </border>
    <border>
      <left/>
      <right/>
      <top style="medium">
        <color rgb="FF000066"/>
      </top>
      <bottom style="medium">
        <color rgb="FF000066"/>
      </bottom>
      <diagonal/>
    </border>
    <border>
      <left/>
      <right/>
      <top style="medium">
        <color indexed="18"/>
      </top>
      <bottom style="medium">
        <color indexed="18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pivotButton="1"/>
    <xf numFmtId="165" fontId="0" fillId="0" borderId="0" xfId="0" applyNumberFormat="1"/>
    <xf numFmtId="9" fontId="0" fillId="0" borderId="0" xfId="2" applyFont="1"/>
    <xf numFmtId="0" fontId="4" fillId="3" borderId="2" xfId="0" applyFont="1" applyFill="1" applyBorder="1" applyAlignment="1">
      <alignment horizontal="center" vertical="center" wrapText="1"/>
    </xf>
    <xf numFmtId="165" fontId="4" fillId="4" borderId="3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0" fontId="0" fillId="0" borderId="0" xfId="2" applyNumberFormat="1" applyFont="1"/>
    <xf numFmtId="164" fontId="0" fillId="0" borderId="0" xfId="0" applyNumberFormat="1"/>
    <xf numFmtId="0" fontId="0" fillId="5" borderId="0" xfId="0" applyFill="1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6" borderId="0" xfId="0" applyFill="1"/>
    <xf numFmtId="165" fontId="4" fillId="4" borderId="3" xfId="1" applyFont="1" applyFill="1" applyBorder="1" applyAlignment="1">
      <alignment horizontal="center" vertical="top" wrapText="1"/>
    </xf>
    <xf numFmtId="0" fontId="5" fillId="0" borderId="0" xfId="0" applyFont="1"/>
    <xf numFmtId="10" fontId="4" fillId="3" borderId="4" xfId="2" applyNumberFormat="1" applyFont="1" applyFill="1" applyBorder="1"/>
    <xf numFmtId="0" fontId="0" fillId="0" borderId="0" xfId="0" pivotButton="1" applyAlignment="1">
      <alignment vertical="top"/>
    </xf>
    <xf numFmtId="10" fontId="0" fillId="0" borderId="0" xfId="0" applyNumberFormat="1"/>
    <xf numFmtId="165" fontId="4" fillId="3" borderId="4" xfId="2" applyNumberFormat="1" applyFont="1" applyFill="1" applyBorder="1"/>
    <xf numFmtId="165" fontId="4" fillId="3" borderId="0" xfId="0" applyNumberFormat="1" applyFont="1" applyFill="1"/>
    <xf numFmtId="0" fontId="6" fillId="3" borderId="0" xfId="0" applyFont="1" applyFill="1" applyAlignment="1">
      <alignment horizontal="center" vertical="center" wrapText="1"/>
    </xf>
    <xf numFmtId="165" fontId="6" fillId="3" borderId="0" xfId="0" applyNumberFormat="1" applyFont="1" applyFill="1"/>
    <xf numFmtId="0" fontId="6" fillId="3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4">
    <cellStyle name="Currency" xfId="1" builtinId="4"/>
    <cellStyle name="Normal" xfId="0" builtinId="0"/>
    <cellStyle name="Normal 18" xfId="3" xr:uid="{2A504B10-7F54-4E2D-B0E4-83871B6AC25A}"/>
    <cellStyle name="Percent" xfId="2" builtinId="5"/>
  </cellStyles>
  <dxfs count="116"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numFmt numFmtId="0" formatCode="General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</dxf>
    <dxf>
      <numFmt numFmtId="165" formatCode="_-&quot;$&quot;* #,##0.00_-;\-&quot;$&quot;* #,##0.00_-;_-&quot;$&quot;* &quot;-&quot;??_-;_-@_-"/>
    </dxf>
    <dxf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10"/>
        <color rgb="FF000066"/>
        <name val="Arial"/>
        <scheme val="none"/>
      </font>
      <alignment horizontal="center" wrapText="1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alignment horizontal="center" wrapText="1"/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font>
        <color theme="0"/>
      </font>
    </dxf>
    <dxf>
      <numFmt numFmtId="0" formatCode="General"/>
      <alignment horizontal="center" vertical="center" wrapText="1"/>
    </dxf>
    <dxf>
      <numFmt numFmtId="14" formatCode="0.00%"/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numFmt numFmtId="30" formatCode="@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</dxf>
    <dxf>
      <numFmt numFmtId="165" formatCode="_-&quot;$&quot;* #,##0.00_-;\-&quot;$&quot;* #,##0.00_-;_-&quot;$&quot;* &quot;-&quot;??_-;_-@_-"/>
    </dxf>
    <dxf>
      <alignment horizontal="center" vertical="center" wrapText="1"/>
    </dxf>
    <dxf>
      <alignment horizontal="general" vertical="bottom" textRotation="0" wrapText="0" indent="0" justifyLastLine="0" shrinkToFit="0" readingOrder="0"/>
    </dxf>
    <dxf>
      <numFmt numFmtId="14" formatCode="0.00%"/>
    </dxf>
    <dxf>
      <numFmt numFmtId="166" formatCode="\$#,##0.00"/>
    </dxf>
    <dxf>
      <numFmt numFmtId="166" formatCode="\$#,##0.0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family val="2"/>
        <scheme val="none"/>
      </font>
    </dxf>
    <dxf>
      <numFmt numFmtId="166" formatCode="\$#,##0.00"/>
    </dxf>
    <dxf>
      <numFmt numFmtId="166" formatCode="\$#,##0.00"/>
    </dxf>
    <dxf>
      <numFmt numFmtId="167" formatCode="dd/mm/yyyy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6" formatCode="\$#,##0.00"/>
    </dxf>
    <dxf>
      <numFmt numFmtId="167" formatCode="dd/mm/yyyy"/>
    </dxf>
    <dxf>
      <numFmt numFmtId="167" formatCode="dd/mm/yyyy"/>
    </dxf>
    <dxf>
      <numFmt numFmtId="30" formatCode="@"/>
    </dxf>
    <dxf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numFmt numFmtId="165" formatCode="_-&quot;$&quot;* #,##0.00_-;\-&quot;$&quot;* #,##0.00_-;_-&quot;$&quot;* &quot;-&quot;??_-;_-@_-"/>
    </dxf>
    <dxf>
      <numFmt numFmtId="0" formatCode="General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alignment horizontal="general" vertical="bottom" textRotation="0" wrapText="0" indent="0" justifyLastLine="0" shrinkToFit="0" readingOrder="0"/>
    </dxf>
    <dxf>
      <numFmt numFmtId="30" formatCode="@"/>
    </dxf>
    <dxf>
      <numFmt numFmtId="165" formatCode="_-&quot;$&quot;* #,##0.00_-;\-&quot;$&quot;* #,##0.00_-;_-&quot;$&quot;* &quot;-&quot;??_-;_-@_-"/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</dxf>
    <dxf>
      <numFmt numFmtId="165" formatCode="_-&quot;$&quot;* #,##0.00_-;\-&quot;$&quot;* #,##0.00_-;_-&quot;$&quot;* &quot;-&quot;??_-;_-@_-"/>
    </dxf>
    <dxf>
      <font>
        <color theme="0"/>
      </font>
    </dxf>
    <dxf>
      <font>
        <color theme="0"/>
      </font>
    </dxf>
    <dxf>
      <font>
        <color theme="0"/>
      </font>
    </dxf>
    <dxf>
      <alignment vertical="top"/>
    </dxf>
    <dxf>
      <alignment vertical="top"/>
    </dxf>
    <dxf>
      <alignment vertical="top"/>
    </dxf>
    <dxf>
      <alignment vertical="top"/>
    </dxf>
    <dxf>
      <alignment horizontal="general" vertical="bottom" textRotation="0" wrapText="0" indent="0" justifyLastLine="0" shrinkToFit="0" readingOrder="0"/>
    </dxf>
    <dxf>
      <alignment horizontal="center" vertical="center" wrapText="1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numFmt numFmtId="30" formatCode="@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  <alignment horizontal="general" vertical="bottom" textRotation="0" wrapText="0" indent="0" justifyLastLine="0" shrinkToFit="0" readingOrder="0"/>
    </dxf>
    <dxf>
      <numFmt numFmtId="165" formatCode="_-&quot;$&quot;* #,##0.00_-;\-&quot;$&quot;* #,##0.00_-;_-&quot;$&quot;* &quot;-&quot;??_-;_-@_-"/>
      <alignment horizontal="general" vertical="bottom" textRotation="0" wrapText="0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numFmt numFmtId="0" formatCode="General"/>
      <alignment horizontal="center" vertical="center" wrapText="1"/>
    </dxf>
    <dxf>
      <font>
        <color theme="0"/>
      </font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font>
        <b/>
        <sz val="10"/>
        <color rgb="FF000066"/>
        <name val="Arial"/>
        <scheme val="none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  <dxf>
      <font>
        <b/>
        <sz val="10"/>
        <color rgb="FF000066"/>
        <name val="Arial"/>
        <scheme val="none"/>
      </font>
      <alignment horizontal="center" wrapText="1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font>
        <b/>
        <sz val="10"/>
        <color rgb="FF000066"/>
        <name val="Arial"/>
        <scheme val="none"/>
      </font>
      <alignment horizontal="center" wrapText="1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76200</xdr:rowOff>
    </xdr:from>
    <xdr:to>
      <xdr:col>2</xdr:col>
      <xdr:colOff>70125</xdr:colOff>
      <xdr:row>3</xdr:row>
      <xdr:rowOff>127758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921B63-2D8C-41AC-B02E-49AEAA27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920" y="76200"/>
          <a:ext cx="2150385" cy="6001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83820</xdr:rowOff>
    </xdr:from>
    <xdr:to>
      <xdr:col>1</xdr:col>
      <xdr:colOff>359685</xdr:colOff>
      <xdr:row>3</xdr:row>
      <xdr:rowOff>127758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7947D0-042C-4806-94C2-B294BA3E7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83820"/>
          <a:ext cx="2150385" cy="6001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arlos Mejia" refreshedDate="46021.438250462961" createdVersion="8" refreshedVersion="8" minRefreshableVersion="3" recordCount="212" xr:uid="{F1CA2943-AE00-4596-B1C0-C8370C58F79E}">
  <cacheSource type="worksheet">
    <worksheetSource ref="A2:BQ1048576" sheet="R_Completo"/>
  </cacheSource>
  <cacheFields count="69">
    <cacheField name="Código acreditado" numFmtId="0">
      <sharedItems containsBlank="1"/>
    </cacheField>
    <cacheField name="Nom. región" numFmtId="0">
      <sharedItems containsBlank="1"/>
    </cacheField>
    <cacheField name="Coordinación" numFmtId="0">
      <sharedItems containsBlank="1" count="6">
        <s v="Valle de bravo"/>
        <s v="Metepec"/>
        <s v="Maravatio"/>
        <s v="Tenancingo"/>
        <s v="Atlacomulco"/>
        <m/>
      </sharedItems>
    </cacheField>
    <cacheField name="Código promotor" numFmtId="0">
      <sharedItems containsBlank="1"/>
    </cacheField>
    <cacheField name="Nombre promotor" numFmtId="0">
      <sharedItems containsBlank="1"/>
    </cacheField>
    <cacheField name="Código recuperador" numFmtId="0">
      <sharedItems containsBlank="1" count="9">
        <s v="000020"/>
        <s v="000080"/>
        <s v="000085"/>
        <s v="000078"/>
        <s v="000037"/>
        <s v="000039"/>
        <s v="000079"/>
        <s v="000082"/>
        <m/>
      </sharedItems>
    </cacheField>
    <cacheField name="Nombre recuperador" numFmtId="0">
      <sharedItems containsBlank="1" count="9">
        <s v="Campos Sanchez Victor Humberto"/>
        <s v="Lopez Ramirez Irving Omar"/>
        <s v="Campuzano Sanchez Humbert"/>
        <s v="Atilano Saucedo Fortino"/>
        <s v="CREDIFLEXI CREDIFLEXI CREDIFLEXI"/>
        <s v="CALL CENTER"/>
        <s v="Gomez Campos Olga Janet"/>
        <s v="ENRIQUEZ VILCHIS MARIA ALEJANDRA"/>
        <m/>
      </sharedItems>
    </cacheField>
    <cacheField name="Ciclo" numFmtId="0">
      <sharedItems containsBlank="1"/>
    </cacheField>
    <cacheField name="Nombre acreditado" numFmtId="0">
      <sharedItems containsBlank="1"/>
    </cacheField>
    <cacheField name="Inicio ciclo" numFmtId="0">
      <sharedItems containsNonDate="0" containsDate="1" containsString="0" containsBlank="1" minDate="2023-08-04T00:00:00" maxDate="2025-12-19T00:00:00"/>
    </cacheField>
    <cacheField name="Fin ciclo" numFmtId="0">
      <sharedItems containsNonDate="0" containsDate="1" containsString="0" containsBlank="1" minDate="2024-08-04T00:00:00" maxDate="2027-01-28T00:00:00"/>
    </cacheField>
    <cacheField name="Cantidad entregada" numFmtId="0">
      <sharedItems containsString="0" containsBlank="1" containsNumber="1" minValue="0" maxValue="350000"/>
    </cacheField>
    <cacheField name="Cantidad Prestada" numFmtId="0">
      <sharedItems containsString="0" containsBlank="1" containsNumber="1" minValue="5267.04" maxValue="368692.72"/>
    </cacheField>
    <cacheField name="Días de mora" numFmtId="0">
      <sharedItems containsString="0" containsBlank="1" containsNumber="1" containsInteger="1" minValue="0" maxValue="575"/>
    </cacheField>
    <cacheField name="PAR" numFmtId="0">
      <sharedItems containsBlank="1" count="9">
        <s v="Mayor_90"/>
        <s v="90"/>
        <s v="60"/>
        <s v="30"/>
        <s v="15"/>
        <s v="7"/>
        <s v="0"/>
        <m/>
        <s v="&gt;90" u="1"/>
      </sharedItems>
    </cacheField>
    <cacheField name="Plazo del crédito" numFmtId="0">
      <sharedItems containsString="0" containsBlank="1" containsNumber="1" containsInteger="1" minValue="2" maxValue="48"/>
    </cacheField>
    <cacheField name="Periodicidad" numFmtId="0">
      <sharedItems containsBlank="1"/>
    </cacheField>
    <cacheField name="Parcialidad + Parcialidad comisión" numFmtId="0">
      <sharedItems containsString="0" containsBlank="1" containsNumber="1" minValue="365.7" maxValue="47915.51"/>
    </cacheField>
    <cacheField name="Comisión a pagar" numFmtId="0">
      <sharedItems containsString="0" containsBlank="1" containsNumber="1" containsInteger="1" minValue="0" maxValue="17409"/>
    </cacheField>
    <cacheField name="Interés moratorio saldo vencido total" numFmtId="0">
      <sharedItems containsString="0" containsBlank="1" containsNumber="1" minValue="0" maxValue="12760"/>
    </cacheField>
    <cacheField name="Pagos vencidos" numFmtId="0">
      <sharedItems containsString="0" containsBlank="1" containsNumber="1" containsInteger="1" minValue="0" maxValue="27"/>
    </cacheField>
    <cacheField name="Periodos vencidos" numFmtId="0">
      <sharedItems containsString="0" containsBlank="1" containsNumber="1" minValue="0" maxValue="21.8"/>
    </cacheField>
    <cacheField name="Saldo capital" numFmtId="0">
      <sharedItems containsString="0" containsBlank="1" containsNumber="1" minValue="0.01" maxValue="300000"/>
    </cacheField>
    <cacheField name="Saldo vencido" numFmtId="0">
      <sharedItems containsString="0" containsBlank="1" containsNumber="1" minValue="0" maxValue="277809"/>
    </cacheField>
    <cacheField name="Saldo capital vencido" numFmtId="0">
      <sharedItems containsString="0" containsBlank="1" containsNumber="1" minValue="0" maxValue="210000"/>
    </cacheField>
    <cacheField name="Saldo interés vencido" numFmtId="0">
      <sharedItems containsString="0" containsBlank="1" containsNumber="1" minValue="0" maxValue="50400"/>
    </cacheField>
    <cacheField name="Saldo comisión vencida" numFmtId="0">
      <sharedItems containsString="0" containsBlank="1" containsNumber="1" minValue="0" maxValue="17409"/>
    </cacheField>
    <cacheField name="Saldo recargos" numFmtId="0">
      <sharedItems containsString="0" containsBlank="1" containsNumber="1" minValue="0" maxValue="12760"/>
    </cacheField>
    <cacheField name="$ Último pago" numFmtId="0">
      <sharedItems containsString="0" containsBlank="1" containsNumber="1" minValue="20" maxValue="47915.51"/>
    </cacheField>
    <cacheField name="Último pago" numFmtId="0">
      <sharedItems containsNonDate="0" containsDate="1" containsString="0" containsBlank="1" minDate="2024-05-01T00:00:00" maxDate="2025-12-30T00:00:00"/>
    </cacheField>
    <cacheField name="Situación crédito" numFmtId="0">
      <sharedItems containsBlank="1"/>
    </cacheField>
    <cacheField name="Medio comunic. 1" numFmtId="0">
      <sharedItems containsString="0" containsBlank="1" containsNumber="1" containsInteger="1" minValue="2225315368" maxValue="7861289536"/>
    </cacheField>
    <cacheField name="Medio comunic. 2" numFmtId="0">
      <sharedItems containsBlank="1"/>
    </cacheField>
    <cacheField name="Medio comunic. 3" numFmtId="0">
      <sharedItems containsString="0" containsBlank="1" containsNumber="1" containsInteger="1" minValue="2225315368" maxValue="7293774847"/>
    </cacheField>
    <cacheField name="Actividad económica PLD" numFmtId="0">
      <sharedItems containsBlank="1"/>
    </cacheField>
    <cacheField name="Código actividad económica PLD" numFmtId="0">
      <sharedItems containsString="0" containsBlank="1" containsNumber="1" containsInteger="1" minValue="111063" maxValue="9900908"/>
    </cacheField>
    <cacheField name="Nombre conyuge" numFmtId="0">
      <sharedItems containsBlank="1"/>
    </cacheField>
    <cacheField name="Teléfono conyuge" numFmtId="0">
      <sharedItems containsBlank="1"/>
    </cacheField>
    <cacheField name="Nombre Referencia1" numFmtId="0">
      <sharedItems containsBlank="1"/>
    </cacheField>
    <cacheField name="Teléfono Referencia1" numFmtId="0">
      <sharedItems containsBlank="1"/>
    </cacheField>
    <cacheField name="Nombre Referencia2" numFmtId="0">
      <sharedItems containsBlank="1"/>
    </cacheField>
    <cacheField name="Teléfono Referencia2" numFmtId="0">
      <sharedItems containsBlank="1"/>
    </cacheField>
    <cacheField name="Nombre Referencia3" numFmtId="0">
      <sharedItems containsBlank="1"/>
    </cacheField>
    <cacheField name="Teléfono Referencia3" numFmtId="0">
      <sharedItems containsBlank="1"/>
    </cacheField>
    <cacheField name="Tipo Garantía 1" numFmtId="0">
      <sharedItems containsBlank="1"/>
    </cacheField>
    <cacheField name="Descripción garantía 1" numFmtId="0">
      <sharedItems containsBlank="1" longText="1"/>
    </cacheField>
    <cacheField name="Garantía 1" numFmtId="0">
      <sharedItems containsBlank="1"/>
    </cacheField>
    <cacheField name="Tipo Garantía 2" numFmtId="0">
      <sharedItems containsBlank="1"/>
    </cacheField>
    <cacheField name="Descripción garantía 2" numFmtId="0">
      <sharedItems containsBlank="1" longText="1"/>
    </cacheField>
    <cacheField name="Garantía 2" numFmtId="0">
      <sharedItems containsBlank="1"/>
    </cacheField>
    <cacheField name="Saldo total" numFmtId="0">
      <sharedItems containsString="0" containsBlank="1" containsNumber="1" minValue="0.01" maxValue="382860.06"/>
    </cacheField>
    <cacheField name="Saldo adelantado" numFmtId="0">
      <sharedItems containsString="0" containsBlank="1" containsNumber="1" minValue="0" maxValue="89.541186666666661"/>
    </cacheField>
    <cacheField name="Cód. producto crédito" numFmtId="0">
      <sharedItems containsString="0" containsBlank="1" containsNumber="1" containsInteger="1" minValue="1" maxValue="4"/>
    </cacheField>
    <cacheField name="Nom. producto crédito" numFmtId="0">
      <sharedItems containsBlank="1"/>
    </cacheField>
    <cacheField name="Calle" numFmtId="0">
      <sharedItems containsBlank="1"/>
    </cacheField>
    <cacheField name="Colonia" numFmtId="0">
      <sharedItems containsBlank="1"/>
    </cacheField>
    <cacheField name="Entidad federativa" numFmtId="0">
      <sharedItems containsBlank="1"/>
    </cacheField>
    <cacheField name="Municipio" numFmtId="0">
      <sharedItems containsBlank="1"/>
    </cacheField>
    <cacheField name="Geolocalización domicilio" numFmtId="0">
      <sharedItems containsBlank="1"/>
    </cacheField>
    <cacheField name="Link de Geolocalización" numFmtId="0">
      <sharedItems containsBlank="1"/>
    </cacheField>
    <cacheField name="Castigado cartera" numFmtId="0">
      <sharedItems containsNonDate="0" containsString="0" containsBlank="1"/>
    </cacheField>
    <cacheField name="Nom. personal castiga cartera" numFmtId="0">
      <sharedItems containsNonDate="0" containsString="0" containsBlank="1"/>
    </cacheField>
    <cacheField name="Frecuencia" numFmtId="0">
      <sharedItems containsString="0" containsBlank="1" containsNumber="1" containsInteger="1" minValue="0" maxValue="32"/>
    </cacheField>
    <cacheField name="Criticidad" numFmtId="0">
      <sharedItems containsString="0" containsBlank="1" containsNumber="1" containsInteger="1" minValue="0" maxValue="32"/>
    </cacheField>
    <cacheField name="Forma de entrega" numFmtId="0">
      <sharedItems containsBlank="1"/>
    </cacheField>
    <cacheField name="Concepto Depósito" numFmtId="0">
      <sharedItems containsBlank="1"/>
    </cacheField>
    <cacheField name="Saldo riesgo capital" numFmtId="0">
      <sharedItems containsString="0" containsBlank="1" containsNumber="1" minValue="0" maxValue="210000"/>
    </cacheField>
    <cacheField name="Saldo riesgo total" numFmtId="0">
      <sharedItems containsString="0" containsBlank="1" containsNumber="1" minValue="0" maxValue="277809"/>
    </cacheField>
    <cacheField name="% MORA" numFmtId="0">
      <sharedItems containsString="0" containsBlank="1" containsNumber="1" minValue="0" maxValue="1.03908356579756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001039"/>
    <s v="Región Estado México"/>
    <x v="0"/>
    <s v="000008"/>
    <s v="Lopez Vargas Betsabe Yesenia"/>
    <x v="0"/>
    <x v="0"/>
    <s v="01"/>
    <s v="GARCIA REYES GUADALUPE"/>
    <d v="2024-01-31T00:00:00"/>
    <d v="2024-10-01T00:00:00"/>
    <n v="15000.01"/>
    <n v="15801.12"/>
    <n v="575"/>
    <x v="0"/>
    <n v="8"/>
    <s v="Mensual"/>
    <n v="3393.84"/>
    <n v="464"/>
    <n v="3480"/>
    <n v="0"/>
    <n v="5"/>
    <n v="11656.93"/>
    <n v="21254.720000000001"/>
    <n v="11656.93"/>
    <n v="5022.2700000000004"/>
    <n v="1095.52"/>
    <n v="3480"/>
    <n v="3400"/>
    <d v="2024-05-01T00:00:00"/>
    <s v="Entregado"/>
    <n v="5551538204"/>
    <m/>
    <m/>
    <s v="COMPRAVENTA DE ARTICULOS DE MERCERIA Y CEDERIA"/>
    <n v="6215017"/>
    <m/>
    <m/>
    <m/>
    <m/>
    <m/>
    <m/>
    <m/>
    <m/>
    <m/>
    <m/>
    <m/>
    <m/>
    <m/>
    <m/>
    <n v="21254.720000000001"/>
    <n v="0"/>
    <n v="1"/>
    <s v="Individual mensual garantia liquida nivel I TI"/>
    <s v="ANDADOR SAUCE SN  #SN"/>
    <s v="Valle de Bravo"/>
    <s v="México"/>
    <s v="Valle De Bravo"/>
    <m/>
    <s v="Ver en mapa"/>
    <m/>
    <m/>
    <n v="19"/>
    <n v="19"/>
    <s v="Desembolso en caja"/>
    <s v="100103901"/>
    <n v="11656.93"/>
    <n v="21254.720000000001"/>
    <n v="1"/>
  </r>
  <r>
    <s v="001004"/>
    <s v="Región Estado México"/>
    <x v="0"/>
    <s v="000005"/>
    <s v="Garduño Hernandez Miguel Angel"/>
    <x v="0"/>
    <x v="0"/>
    <s v="01"/>
    <s v="DE NOVA GABINO ROSA MARTHA"/>
    <d v="2023-08-04T00:00:00"/>
    <d v="2024-08-04T00:00:00"/>
    <n v="50000"/>
    <n v="52670.39"/>
    <n v="574"/>
    <x v="0"/>
    <n v="12"/>
    <s v="Mensual"/>
    <n v="8403.93"/>
    <n v="696"/>
    <n v="1715.44"/>
    <n v="0"/>
    <n v="2.6"/>
    <n v="18787.5"/>
    <n v="24059.17"/>
    <n v="18787.48"/>
    <n v="2512.25"/>
    <n v="1044"/>
    <n v="1715.44"/>
    <n v="4200"/>
    <d v="2025-02-21T00:00:00"/>
    <s v="Entregado"/>
    <n v="7443086818"/>
    <s v="reyesjosejuan738@gmail.com"/>
    <m/>
    <s v="COMPRAVENTA DE CARNE DE RES Y OTRAS ESPECIES DE GANADO"/>
    <n v="6122014"/>
    <m/>
    <m/>
    <m/>
    <m/>
    <m/>
    <m/>
    <m/>
    <m/>
    <m/>
    <m/>
    <m/>
    <m/>
    <m/>
    <m/>
    <n v="24059.19"/>
    <n v="0"/>
    <n v="1"/>
    <s v="Individual mensual con garantia nivel I TI"/>
    <s v="FLOR DE MARIA  #SN"/>
    <s v="San Antonio"/>
    <s v="México"/>
    <s v="Valle De Bravo"/>
    <m/>
    <s v="Ver en mapa"/>
    <m/>
    <m/>
    <n v="22"/>
    <n v="21"/>
    <s v="Desembolso en caja"/>
    <s v="100100401"/>
    <n v="18787.5"/>
    <n v="24059.19"/>
    <n v="0.99999916871681893"/>
  </r>
  <r>
    <s v="001027"/>
    <s v="Región Estado México"/>
    <x v="0"/>
    <s v="000005"/>
    <s v="Garduño Hernandez Miguel Angel"/>
    <x v="0"/>
    <x v="0"/>
    <s v="01"/>
    <s v="DE PAZ ESTRADA DIANA"/>
    <d v="2023-12-08T00:00:00"/>
    <d v="2024-12-08T00:00:00"/>
    <n v="40000"/>
    <n v="42136.31"/>
    <n v="568"/>
    <x v="0"/>
    <n v="12"/>
    <s v="Mensual"/>
    <n v="7264.24"/>
    <n v="696"/>
    <n v="3480"/>
    <n v="0"/>
    <n v="6.8"/>
    <n v="31607.599999999999"/>
    <n v="53523.88"/>
    <n v="31607.599999999999"/>
    <n v="17392.28"/>
    <n v="1044"/>
    <n v="3480"/>
    <n v="1500"/>
    <d v="2024-09-14T00:00:00"/>
    <s v="Entregado"/>
    <n v="7227163914"/>
    <m/>
    <m/>
    <s v="FABRICACION DE ALGODON ABSORBENTE VENDAS TELA ADHESIVA Y PRODUCTOS SIMILARES"/>
    <n v="2433019"/>
    <m/>
    <m/>
    <m/>
    <m/>
    <m/>
    <m/>
    <m/>
    <m/>
    <m/>
    <m/>
    <m/>
    <m/>
    <m/>
    <m/>
    <n v="53523.88"/>
    <n v="0"/>
    <n v="1"/>
    <s v="Individual mensual garantia liquida nivel I TI"/>
    <s v="SANTA MARIA PIPIOLTEPEC #SN"/>
    <s v="Santa María Pipioltepec (Pipioltepec)"/>
    <s v="México"/>
    <s v="Valle De Bravo"/>
    <m/>
    <s v="Ver en mapa"/>
    <m/>
    <m/>
    <n v="21"/>
    <n v="21"/>
    <s v="Transferencia electrónica"/>
    <s v="100102701"/>
    <n v="31607.599999999999"/>
    <n v="53523.88"/>
    <n v="1"/>
  </r>
  <r>
    <s v="001016"/>
    <s v="Región Estado México"/>
    <x v="1"/>
    <s v="000024"/>
    <s v="Navor Segura Cesar"/>
    <x v="0"/>
    <x v="0"/>
    <s v="01"/>
    <s v="GUADARRAMA CONDE ISAIAS"/>
    <d v="2023-09-25T00:00:00"/>
    <d v="2024-09-25T00:00:00"/>
    <n v="130000"/>
    <n v="136943.01"/>
    <n v="523"/>
    <x v="0"/>
    <n v="12"/>
    <s v="Mensual"/>
    <n v="20230.48"/>
    <n v="696"/>
    <n v="580"/>
    <n v="0"/>
    <n v="2.1"/>
    <n v="39682.01"/>
    <n v="44620.42"/>
    <n v="39682"/>
    <n v="3488.42"/>
    <n v="870"/>
    <n v="580"/>
    <n v="5050"/>
    <d v="2024-09-20T00:00:00"/>
    <s v="Entregado"/>
    <n v="7226478184"/>
    <m/>
    <m/>
    <s v="COMPRAVENTA DE MATERIALES PARA CONSTRUCCION"/>
    <n v="6629010"/>
    <m/>
    <m/>
    <m/>
    <m/>
    <m/>
    <m/>
    <m/>
    <m/>
    <m/>
    <m/>
    <m/>
    <m/>
    <m/>
    <m/>
    <n v="42942.09"/>
    <n v="0"/>
    <n v="3"/>
    <s v="Individual mensual con garantia nivel I TPref"/>
    <s v="MIGUEL HIDALGO #104"/>
    <s v="San Francisco Putla"/>
    <s v="México"/>
    <s v="Tenango Del Valle"/>
    <m/>
    <s v="Ver en mapa"/>
    <m/>
    <m/>
    <n v="27"/>
    <n v="27"/>
    <s v="Transferencia electrónica"/>
    <s v="100101601"/>
    <n v="39682.01"/>
    <n v="42942.09"/>
    <n v="1.0390835657975659"/>
  </r>
  <r>
    <s v="001037"/>
    <s v="Región Estado México"/>
    <x v="0"/>
    <s v="000005"/>
    <s v="Garduño Hernandez Miguel Angel"/>
    <x v="0"/>
    <x v="0"/>
    <s v="01"/>
    <s v="SEBASTIAN FLORES MARGARITA"/>
    <d v="2024-01-31T00:00:00"/>
    <d v="2024-10-01T00:00:00"/>
    <n v="20000"/>
    <n v="21068.16"/>
    <n v="516"/>
    <x v="0"/>
    <n v="8"/>
    <s v="Mensual"/>
    <n v="4505.78"/>
    <n v="464"/>
    <n v="2320"/>
    <n v="0"/>
    <n v="3"/>
    <n v="10454.49"/>
    <n v="16646.25"/>
    <n v="10454.51"/>
    <n v="2888.83"/>
    <n v="982.91"/>
    <n v="2320"/>
    <n v="4520"/>
    <d v="2024-07-25T00:00:00"/>
    <s v="Entregado"/>
    <n v="7224419211"/>
    <m/>
    <m/>
    <s v="COMPRAVENTA DE ARTICULOS DE MERCERIA Y CEDERIA"/>
    <n v="6215017"/>
    <s v="CASTILLO MIGUEL FELIPE"/>
    <s v="7224419212.0"/>
    <m/>
    <m/>
    <m/>
    <m/>
    <m/>
    <m/>
    <m/>
    <m/>
    <m/>
    <m/>
    <m/>
    <m/>
    <n v="16646.23"/>
    <n v="0"/>
    <n v="1"/>
    <s v="Individual mensual garantia liquida nivel I TI"/>
    <s v="LOS MISPEROS #SN"/>
    <s v="Loma Bonita"/>
    <s v="México"/>
    <s v="Valle De Bravo"/>
    <m/>
    <s v="Ver en mapa"/>
    <m/>
    <m/>
    <n v="20"/>
    <n v="20"/>
    <s v="Desembolso en caja"/>
    <s v="100103701"/>
    <n v="10454.49"/>
    <n v="16646.23"/>
    <n v="1.000001201473246"/>
  </r>
  <r>
    <s v="001069"/>
    <s v="Región Estado México"/>
    <x v="1"/>
    <s v="000002"/>
    <s v="Vargas Castañeda Javier Jesus"/>
    <x v="0"/>
    <x v="0"/>
    <s v="01"/>
    <s v="GARCIA VACA MARTHA"/>
    <d v="2024-07-19T00:00:00"/>
    <d v="2025-01-19T00:00:00"/>
    <n v="15000"/>
    <n v="15000"/>
    <n v="498"/>
    <x v="0"/>
    <n v="6"/>
    <s v="Mensual"/>
    <n v="2876.97"/>
    <n v="0"/>
    <n v="0"/>
    <n v="0"/>
    <n v="6"/>
    <n v="15000"/>
    <n v="17261.82"/>
    <n v="14999.99"/>
    <n v="2261.83"/>
    <n v="0"/>
    <n v="0"/>
    <m/>
    <m/>
    <s v="Entregado"/>
    <n v="7226072677"/>
    <s v="lau.garciavaca1981@gmail.com"/>
    <m/>
    <s v="EMPLEADO DEL SECTOR PRIVADO"/>
    <n v="9501009"/>
    <m/>
    <m/>
    <m/>
    <m/>
    <m/>
    <m/>
    <m/>
    <m/>
    <m/>
    <m/>
    <m/>
    <m/>
    <m/>
    <m/>
    <n v="17261.830000000002"/>
    <n v="0"/>
    <n v="1"/>
    <s v="Individual Especial Semanal"/>
    <s v="CERRADA POPOCATEPETL #1-SN"/>
    <s v="San Bartolomé Atlatlahuca"/>
    <s v="México"/>
    <s v="Tenango Del Valle"/>
    <m/>
    <s v="Ver en mapa"/>
    <m/>
    <m/>
    <n v="17"/>
    <n v="17"/>
    <s v="Desembolso en caja"/>
    <s v="100106901"/>
    <n v="15000"/>
    <n v="17261.830000000002"/>
    <n v="0.99999942068714598"/>
  </r>
  <r>
    <s v="001056"/>
    <s v="Región Estado México"/>
    <x v="2"/>
    <s v="000016"/>
    <s v="Basurto Lara Carmen Evelia"/>
    <x v="0"/>
    <x v="0"/>
    <s v="01"/>
    <s v="CELESTINO SEGUNDO MARIA DEL CARMEN"/>
    <d v="2024-05-24T00:00:00"/>
    <d v="2025-05-24T00:00:00"/>
    <n v="25000"/>
    <n v="26335.19"/>
    <n v="371"/>
    <x v="0"/>
    <n v="12"/>
    <s v="Mensual"/>
    <n v="4230.97"/>
    <n v="696"/>
    <n v="3898.82"/>
    <n v="0"/>
    <n v="6"/>
    <n v="17352.87"/>
    <n v="29632.639999999999"/>
    <n v="17352.87"/>
    <n v="7684.95"/>
    <n v="696"/>
    <n v="3898.82"/>
    <n v="2250"/>
    <d v="2024-12-30T00:00:00"/>
    <s v="Entregado"/>
    <n v="4471660443"/>
    <s v="carmencelestino@gmail.com"/>
    <m/>
    <s v="COMPRAVENTA DE ARTICULOS PARA DECORACION"/>
    <n v="6322010"/>
    <m/>
    <m/>
    <s v="ADRIANA TAPIA BRAVO"/>
    <s v="4471044505"/>
    <s v="JUANA RODEA TAPIA"/>
    <s v="4471735169"/>
    <s v="DOLORES SOLIS"/>
    <s v="4471731819"/>
    <s v="Garantía Prendaria"/>
    <s v="Valor 65,000.00, Nombre CAMIONETA EXPLORER XLT, Folio Factura 4663, Fecha Factura 05/02/2008, Número de serie 1FMDU32X7TZB66870, Número de motor SN, Modelo 1996, Marca FORD, Propietario CELESTINO SEGUNDO MARIA DEL CARMEN"/>
    <s v="CAMIONETA EXPLORER XLT"/>
    <m/>
    <m/>
    <m/>
    <n v="29632.639999999999"/>
    <n v="0"/>
    <n v="1"/>
    <s v="Individual mensual con garantia nivel I TI"/>
    <s v="LAZARO CARDENAS #25-SN"/>
    <s v="Guadalupe"/>
    <s v="Michoacán"/>
    <s v="Maravatio"/>
    <m/>
    <s v="Ver en mapa"/>
    <m/>
    <m/>
    <n v="18"/>
    <n v="18"/>
    <s v="Transferencia electrónica"/>
    <s v="100105601"/>
    <n v="17352.87"/>
    <n v="29632.639999999999"/>
    <n v="1"/>
  </r>
  <r>
    <s v="001062"/>
    <s v="Región Estado México"/>
    <x v="2"/>
    <s v="000017"/>
    <s v="Maya Luna Norma"/>
    <x v="1"/>
    <x v="1"/>
    <s v="01"/>
    <s v="LOPEZ ESPINOZA JESUS ARMANDO"/>
    <d v="2024-06-10T00:00:00"/>
    <d v="2025-06-19T00:00:00"/>
    <n v="60000"/>
    <n v="63204.47"/>
    <n v="286"/>
    <x v="0"/>
    <n v="12"/>
    <s v="Mensual"/>
    <n v="10073.120000000001"/>
    <n v="696"/>
    <n v="1740"/>
    <n v="0"/>
    <n v="3.3"/>
    <n v="27412.04"/>
    <n v="35498.44"/>
    <n v="27412.04"/>
    <n v="5824.4000000000005"/>
    <n v="522"/>
    <n v="1740"/>
    <n v="500"/>
    <d v="2025-12-04T00:00:00"/>
    <s v="Entregado"/>
    <n v="4476902875"/>
    <s v="armando.zurimi@gmail.com"/>
    <m/>
    <s v="RESTAURANTE"/>
    <n v="8711021"/>
    <m/>
    <m/>
    <s v="ESTEPHANI LOPEZ JIMENEZ"/>
    <s v="4471032764"/>
    <s v="MARTHA ESPINOZA JIMENEZ"/>
    <s v="4471736177"/>
    <s v="ERNESTO RUBIO MARTINEZ"/>
    <s v="4471005257"/>
    <s v="Garantía Prendaria"/>
    <s v="FACTURA DE OPERADORA DE AUTOS MAYA, S.A. DE C.V., , Valor 95,000.00, Nombre AUTOMOVIL BORA STYLE, Folio Factura 0538A, Fecha Factura 22/08/2005, Número de serie 3VWPF11KX6M608338, Número de motor BGP025303, Modelo 2006, Marca VOLKSWAGEN, Propietario LOPEZ ESPINOZA JESUS ARMANDO"/>
    <s v="AUTOMOVIL BORA STYLE"/>
    <m/>
    <m/>
    <m/>
    <n v="35498.44"/>
    <n v="0"/>
    <n v="1"/>
    <s v="Individual mensual con garantia nivel I TI"/>
    <s v="FRANCISCO J MUJICA  #220-SN"/>
    <s v="INFONAVIT"/>
    <s v="Michoacán"/>
    <s v="Maravatio"/>
    <m/>
    <s v="Ver en mapa"/>
    <m/>
    <m/>
    <n v="18"/>
    <n v="18"/>
    <s v="Transferencia electrónica"/>
    <s v="100106201"/>
    <n v="27412.04"/>
    <n v="35498.44"/>
    <n v="1"/>
  </r>
  <r>
    <s v="001035"/>
    <s v="Región Estado México"/>
    <x v="0"/>
    <s v="000014"/>
    <s v="Rios Osorio Maritere"/>
    <x v="2"/>
    <x v="2"/>
    <s v="02"/>
    <s v="RAMIREZ DIAZ REBECA"/>
    <d v="2024-07-19T00:00:00"/>
    <d v="2025-07-19T00:00:00"/>
    <n v="40000"/>
    <n v="42136.31"/>
    <n v="286"/>
    <x v="0"/>
    <n v="12"/>
    <s v="Mensual"/>
    <n v="6476.17"/>
    <n v="696"/>
    <n v="2900"/>
    <n v="0"/>
    <n v="4.9000000000000004"/>
    <n v="23860.74"/>
    <n v="34785.040000000001"/>
    <n v="23860.73"/>
    <n v="7502.31"/>
    <n v="522"/>
    <n v="2900"/>
    <n v="1000"/>
    <d v="2025-04-24T00:00:00"/>
    <s v="Entregado"/>
    <n v="7222671821"/>
    <s v="rebelu_2704@hotmail.com"/>
    <m/>
    <s v="RESTAURANTE"/>
    <n v="8711021"/>
    <s v="FAITAN GUERRA DANTE"/>
    <s v="5529416705.0"/>
    <s v="MIGUEL ANGEL PAGAZO PAGAZO"/>
    <s v="7221455287"/>
    <s v="LUIS ANTONIO MERCED CRUZ"/>
    <s v="5553343631"/>
    <s v="MAURICIO MERCADO ALVAREZ"/>
    <s v="7224863196"/>
    <m/>
    <m/>
    <m/>
    <m/>
    <m/>
    <m/>
    <n v="34785.050000000003"/>
    <n v="0"/>
    <n v="1"/>
    <s v="Individual mensual garantia liquida nivel I TI"/>
    <s v="SAN JOSE  #300-SN"/>
    <s v="Valle de Bravo"/>
    <s v="México"/>
    <s v="Valle De Bravo"/>
    <m/>
    <s v="Ver en mapa"/>
    <m/>
    <m/>
    <n v="17"/>
    <n v="17"/>
    <s v="Transferencia electrónica"/>
    <s v="100103502"/>
    <n v="23860.74"/>
    <n v="34785.050000000003"/>
    <n v="0.99999971252017739"/>
  </r>
  <r>
    <s v="001245"/>
    <s v="Región Estado México"/>
    <x v="3"/>
    <s v="000037"/>
    <s v="CREDIFLEXI CREDIFLEXI CREDIFLEXI"/>
    <x v="3"/>
    <x v="3"/>
    <s v="01"/>
    <s v="ACOSTA ACOSTA ELENA"/>
    <d v="2025-04-14T00:00:00"/>
    <d v="2025-10-14T00:00:00"/>
    <n v="10000"/>
    <n v="10534.08"/>
    <n v="230"/>
    <x v="0"/>
    <n v="6"/>
    <s v="Mensual"/>
    <n v="2351.3000000000002"/>
    <n v="348"/>
    <n v="3480"/>
    <n v="0"/>
    <n v="5.6000000000000014"/>
    <n v="10129.700000000001"/>
    <n v="16703.830000000002"/>
    <n v="10129.700000000001"/>
    <n v="2688.12"/>
    <n v="406.01"/>
    <n v="3480"/>
    <n v="1000"/>
    <d v="2025-10-02T00:00:00"/>
    <s v="Entregado"/>
    <n v="7203071835"/>
    <s v="elacosta@gmail.com"/>
    <m/>
    <s v="COMPRAVENTA DE LEGUMBRES Y HORTALIZAS"/>
    <n v="6112023"/>
    <s v="SEGOVIO VICTOR MANUEL"/>
    <m/>
    <s v="ROBERTO PALMA URBANO"/>
    <s v="6645477087"/>
    <s v="MA DEL SOCORRO DOMINGUEZ"/>
    <s v="7296081362"/>
    <s v="GABRIEL JUANA PEREZ DOMINGUEZ"/>
    <s v="7221696574"/>
    <m/>
    <m/>
    <m/>
    <m/>
    <m/>
    <m/>
    <n v="16703.830000000002"/>
    <n v="0"/>
    <n v="1"/>
    <s v="Individual sin Garantía"/>
    <s v="JUAN ESCUTIA #331-SN"/>
    <s v="San José el Cuartel"/>
    <s v="México"/>
    <s v="Tenancingo"/>
    <m/>
    <s v="Ver en mapa"/>
    <m/>
    <m/>
    <n v="8"/>
    <n v="8"/>
    <s v="Transferencia electrónica"/>
    <s v="100124501"/>
    <n v="10129.700000000001"/>
    <n v="16703.830000000002"/>
    <n v="1"/>
  </r>
  <r>
    <s v="001257"/>
    <s v="Región Estado México"/>
    <x v="2"/>
    <s v="000037"/>
    <s v="CREDIFLEXI CREDIFLEXI CREDIFLEXI"/>
    <x v="1"/>
    <x v="1"/>
    <s v="01"/>
    <s v="ARMENTA GARCIA AZUCENA"/>
    <d v="2025-04-21T00:00:00"/>
    <d v="2025-10-21T00:00:00"/>
    <n v="5000"/>
    <n v="5267.04"/>
    <n v="223"/>
    <x v="0"/>
    <n v="6"/>
    <s v="Mensual"/>
    <n v="1320.32"/>
    <n v="348"/>
    <n v="3480"/>
    <n v="0"/>
    <n v="5.2"/>
    <n v="4659.5200000000004"/>
    <n v="10467.9"/>
    <n v="4659.5200000000004"/>
    <n v="1922.38"/>
    <n v="406"/>
    <n v="3480"/>
    <n v="1050"/>
    <d v="2025-05-21T00:00:00"/>
    <s v="Entregado"/>
    <n v="4471516545"/>
    <s v="azucenaarmenta65@gmail.com"/>
    <m/>
    <s v="COMPRAVENTA DE ROPA"/>
    <n v="6211023"/>
    <m/>
    <m/>
    <s v="MARIA JOSEFINA ALONZO"/>
    <s v="4471252542"/>
    <s v="MICHEL ESTEFANI LIRA MIRRANDA"/>
    <s v="4471060791"/>
    <s v="ILIANA ABIGAIL MANRIQUEZ"/>
    <s v="4472036183"/>
    <m/>
    <m/>
    <m/>
    <m/>
    <m/>
    <m/>
    <n v="10467.9"/>
    <n v="0"/>
    <n v="1"/>
    <s v="Individual sin Garantía"/>
    <s v="SAN FRANCISCO #13-SN"/>
    <s v="Uripitio"/>
    <s v="Michoacán"/>
    <s v="Maravatio"/>
    <m/>
    <s v="Ver en mapa"/>
    <m/>
    <m/>
    <n v="8"/>
    <n v="8"/>
    <s v="Transferencia electrónica"/>
    <s v="100125701"/>
    <n v="4659.5200000000004"/>
    <n v="10467.9"/>
    <n v="1"/>
  </r>
  <r>
    <s v="001270"/>
    <s v="Región Estado México"/>
    <x v="2"/>
    <s v="000037"/>
    <s v="CREDIFLEXI CREDIFLEXI CREDIFLEXI"/>
    <x v="1"/>
    <x v="1"/>
    <s v="01"/>
    <s v="MORENO AGUILLON GEOVANNI MARTYN"/>
    <d v="2025-04-25T00:00:00"/>
    <d v="2025-10-25T00:00:00"/>
    <n v="7000"/>
    <n v="7373.85"/>
    <n v="218"/>
    <x v="0"/>
    <n v="6"/>
    <s v="Mensual"/>
    <n v="1825.24"/>
    <n v="348"/>
    <n v="3480"/>
    <n v="0"/>
    <n v="6"/>
    <n v="7373.85"/>
    <n v="14547.45"/>
    <n v="7373.85"/>
    <n v="3229.6"/>
    <n v="464"/>
    <n v="3480"/>
    <m/>
    <m/>
    <s v="Entregado"/>
    <n v="3349586209"/>
    <s v="morenogeovanni633@gmail.com"/>
    <m/>
    <s v="COMPRAVENTA DE MUEBLES"/>
    <n v="6312011"/>
    <s v="HERNANDEZ GONZALEZ EVA"/>
    <s v="3349586209.0"/>
    <s v="MARTIN AGUILAR HERNANDEZ"/>
    <s v="4622905488"/>
    <s v="BENJAMIN ACOSTA GARCIA"/>
    <s v="3311713150"/>
    <s v="EDGARDO MORENO BAUUTISTA"/>
    <s v="4778198022"/>
    <m/>
    <m/>
    <m/>
    <m/>
    <m/>
    <m/>
    <n v="14547.45"/>
    <n v="0"/>
    <n v="1"/>
    <s v="Individual sin Garantía"/>
    <s v="FRANCISCO J MUJICA #232-SN"/>
    <s v="INFONAVIT"/>
    <s v="Michoacán"/>
    <s v="Maravatio"/>
    <m/>
    <s v="Ver en mapa"/>
    <m/>
    <m/>
    <n v="8"/>
    <n v="8"/>
    <s v="Transferencia electrónica"/>
    <s v="100127001"/>
    <n v="7373.85"/>
    <n v="14547.45"/>
    <n v="1"/>
  </r>
  <r>
    <s v="001274"/>
    <s v="Región Estado México"/>
    <x v="3"/>
    <s v="000037"/>
    <s v="CREDIFLEXI CREDIFLEXI CREDIFLEXI"/>
    <x v="3"/>
    <x v="3"/>
    <s v="01"/>
    <s v="BERNAL BERNAL MARIA YESSENIA"/>
    <d v="2025-04-30T00:00:00"/>
    <d v="2025-10-30T00:00:00"/>
    <n v="15000"/>
    <n v="15801.12"/>
    <n v="214"/>
    <x v="0"/>
    <n v="6"/>
    <s v="Mensual"/>
    <n v="3844.95"/>
    <n v="348"/>
    <n v="3480"/>
    <n v="0"/>
    <n v="6"/>
    <n v="15801.12"/>
    <n v="26665.69"/>
    <n v="15801.12"/>
    <n v="6920.57"/>
    <n v="464"/>
    <n v="3480"/>
    <m/>
    <m/>
    <s v="Entregado"/>
    <n v="7224191963"/>
    <s v="maryessbb@gmail.com"/>
    <m/>
    <s v="CULTIVO DE FLORES Y PLANTAS DE ORNATO"/>
    <n v="131011"/>
    <s v="MORALES VAZQUEZ JESUS ARMANDO"/>
    <m/>
    <s v="MARI CARMEN MORALES VAZQUEZ"/>
    <s v="7225656079"/>
    <s v="ROSA ELENA BERNAL BERNAL"/>
    <s v="7221065423"/>
    <s v="ARNULFO BERNAL TRUJILLO"/>
    <s v="7291078655"/>
    <m/>
    <m/>
    <m/>
    <m/>
    <m/>
    <m/>
    <n v="26665.69"/>
    <n v="0"/>
    <n v="1"/>
    <s v="Individual sin Garantía"/>
    <s v="DOM CON  #SN"/>
    <s v="Villa Guerrero"/>
    <s v="México"/>
    <s v="Villa Guerrero"/>
    <m/>
    <s v="Ver en mapa"/>
    <m/>
    <m/>
    <n v="8"/>
    <n v="8"/>
    <s v="Transferencia electrónica"/>
    <s v="100127401"/>
    <n v="15801.12"/>
    <n v="26665.69"/>
    <n v="1"/>
  </r>
  <r>
    <s v="001285"/>
    <s v="Región Estado México"/>
    <x v="3"/>
    <s v="000037"/>
    <s v="CREDIFLEXI CREDIFLEXI CREDIFLEXI"/>
    <x v="3"/>
    <x v="3"/>
    <s v="01"/>
    <s v="GONZALEZ GUADARRAMA EDUARDO"/>
    <d v="2025-04-30T00:00:00"/>
    <d v="2026-04-30T00:00:00"/>
    <n v="12000"/>
    <n v="12640.89"/>
    <n v="214"/>
    <x v="0"/>
    <n v="12"/>
    <s v="Mensual"/>
    <n v="2031.63"/>
    <n v="696"/>
    <n v="4060"/>
    <n v="0"/>
    <n v="8"/>
    <n v="12640.89"/>
    <n v="20313.033427333299"/>
    <n v="8427.26"/>
    <n v="7361.77"/>
    <n v="464"/>
    <n v="4060"/>
    <m/>
    <m/>
    <s v="Entregado"/>
    <n v="7222031200"/>
    <s v="pgg250789@gmail.com"/>
    <m/>
    <s v="RESTAURANTE"/>
    <n v="8711021"/>
    <s v="GARCIA GALLEGOS PATRICIA"/>
    <m/>
    <s v="LETICIA GARCIA GALLEGOS"/>
    <s v="7223878493"/>
    <s v="MARIA GABRIELA BAUTISTA GARCIA"/>
    <s v="7224940976"/>
    <s v="VICTOR BALCAZAR"/>
    <s v="7226835984"/>
    <m/>
    <m/>
    <m/>
    <m/>
    <m/>
    <m/>
    <n v="28207.55"/>
    <n v="0"/>
    <n v="1"/>
    <s v="Individual sin Garantía"/>
    <s v="CEDROS #122-SN"/>
    <s v="Shiperes"/>
    <s v="México"/>
    <s v="Tenancingo"/>
    <m/>
    <s v="Ver en mapa"/>
    <m/>
    <m/>
    <n v="8"/>
    <n v="8"/>
    <s v="Transferencia electrónica"/>
    <s v="100128501"/>
    <n v="12640.89"/>
    <n v="28207.55"/>
    <n v="0.72012753420035769"/>
  </r>
  <r>
    <s v="001295"/>
    <s v="Región Estado México"/>
    <x v="0"/>
    <s v="000037"/>
    <s v="CREDIFLEXI CREDIFLEXI CREDIFLEXI"/>
    <x v="2"/>
    <x v="2"/>
    <s v="01"/>
    <s v="TRINIDAD ORTEGA MARIBEL"/>
    <d v="2025-05-07T00:00:00"/>
    <d v="2025-11-07T00:00:00"/>
    <n v="5000"/>
    <n v="5267.04"/>
    <n v="204"/>
    <x v="0"/>
    <n v="6"/>
    <s v="Mensual"/>
    <n v="1322.42"/>
    <n v="348"/>
    <n v="2900"/>
    <n v="0"/>
    <n v="5.6000000000000014"/>
    <n v="5091.62"/>
    <n v="10272.5"/>
    <n v="5091.62"/>
    <n v="1932.88"/>
    <n v="348"/>
    <n v="2900"/>
    <n v="1200"/>
    <d v="2025-06-18T00:00:00"/>
    <s v="Entregado"/>
    <n v="7205451836"/>
    <s v="maribeltrinidad78@gmail.com"/>
    <m/>
    <s v="COMPRAVENTA DE LEGUMBRES Y HORTALIZAS"/>
    <n v="6112023"/>
    <m/>
    <m/>
    <s v="MARIA GUADALUPE EMETERIO"/>
    <s v="7297364541"/>
    <s v="JERONIMO RAMIREZ DE LA CRUZ"/>
    <s v="7471491786"/>
    <s v="JOSEFINA EMETERIO GARCIA"/>
    <s v="5513416476"/>
    <m/>
    <m/>
    <m/>
    <m/>
    <m/>
    <m/>
    <n v="10272.5"/>
    <n v="0"/>
    <n v="1"/>
    <s v="Individual sin Garantía"/>
    <s v="DOM CON #SN"/>
    <s v="San Mateo"/>
    <s v="México"/>
    <s v="Amanalco"/>
    <m/>
    <s v="Ver en mapa"/>
    <m/>
    <m/>
    <n v="7"/>
    <n v="7"/>
    <s v="Transferencia electrónica"/>
    <s v="100129501"/>
    <n v="5091.62"/>
    <n v="10272.5"/>
    <n v="1"/>
  </r>
  <r>
    <s v="001324"/>
    <s v="Región Estado México"/>
    <x v="3"/>
    <s v="000042"/>
    <s v="Avila Nieto Luis Alfredo"/>
    <x v="3"/>
    <x v="3"/>
    <s v="01"/>
    <s v="AGUILAR ORTIZ DIANA KAREN"/>
    <d v="2025-05-20T00:00:00"/>
    <d v="2025-11-04T00:00:00"/>
    <n v="5000"/>
    <n v="5267.04"/>
    <n v="203"/>
    <x v="0"/>
    <n v="24"/>
    <s v="Semanal"/>
    <n v="365.7"/>
    <n v="1392"/>
    <n v="12760"/>
    <n v="24"/>
    <n v="21.8"/>
    <n v="4828.12"/>
    <n v="21134.81"/>
    <n v="4828.12"/>
    <n v="1864.69"/>
    <n v="1682"/>
    <n v="12760"/>
    <n v="500"/>
    <d v="2025-06-04T00:00:00"/>
    <s v="Entregado"/>
    <n v="5615319505"/>
    <s v="da2789515@gmail.com"/>
    <m/>
    <s v="TORTILLERIA"/>
    <n v="2093011"/>
    <m/>
    <m/>
    <s v="ADRIANA BLANCAS RAMIREZ"/>
    <s v="7293002621"/>
    <s v="BERENICE RUBI ESTRADA TETATZIN"/>
    <s v="7228010787"/>
    <s v="ANAHI RAMIREZ ZAMORA"/>
    <s v="7228010787"/>
    <m/>
    <m/>
    <m/>
    <m/>
    <m/>
    <m/>
    <n v="21134.81"/>
    <n v="0"/>
    <n v="1"/>
    <s v="Individual sin Garantía"/>
    <s v="CLL BENITO JUAREZ #2-SN"/>
    <s v="San Nicolás"/>
    <s v="México"/>
    <s v="Malinalco"/>
    <m/>
    <s v="Ver en mapa"/>
    <m/>
    <m/>
    <n v="32"/>
    <n v="32"/>
    <s v="Transferencia electrónica"/>
    <s v="100132401"/>
    <n v="4828.12"/>
    <n v="21134.81"/>
    <n v="1"/>
  </r>
  <r>
    <s v="001341"/>
    <s v="Región Estado México"/>
    <x v="3"/>
    <s v="000042"/>
    <s v="Avila Nieto Luis Alfredo"/>
    <x v="3"/>
    <x v="3"/>
    <s v="01"/>
    <s v="DOMINGUEZ VELAZQUEZ GABRIELA"/>
    <d v="2025-05-26T00:00:00"/>
    <d v="2025-11-10T00:00:00"/>
    <n v="5000"/>
    <n v="5267.04"/>
    <n v="190"/>
    <x v="0"/>
    <n v="12"/>
    <s v="Catorcenal"/>
    <n v="673.4"/>
    <n v="696"/>
    <n v="6380"/>
    <n v="12"/>
    <n v="10.3"/>
    <n v="4562"/>
    <n v="13460.81"/>
    <n v="4562"/>
    <n v="1764.81"/>
    <n v="754"/>
    <n v="6380"/>
    <n v="500"/>
    <d v="2025-10-28T00:00:00"/>
    <s v="Entregado"/>
    <n v="7228634600"/>
    <s v="gabita24.a2@gmail.com"/>
    <m/>
    <s v="SERVICIOS DE ALIMENTOS EN LENCERIAS TAQUERIAS Y TORTERIAS"/>
    <n v="8712011"/>
    <m/>
    <m/>
    <s v="LUCIA EUSEVIA SANDOVAL"/>
    <s v="7221218282"/>
    <s v="LETICIA MEDINA PAREDES"/>
    <s v="7223018763"/>
    <s v="DIANA GRANADOS REZA"/>
    <s v="7299507509"/>
    <m/>
    <m/>
    <m/>
    <m/>
    <m/>
    <m/>
    <n v="13460.81"/>
    <n v="0"/>
    <n v="1"/>
    <s v="Individual sin Garantía"/>
    <s v="PASANDO EL PANTEON #SN"/>
    <s v="Portezuelos Uno (San Andrés)"/>
    <s v="México"/>
    <s v="Ixtapan De La Sal"/>
    <m/>
    <s v="Ver en mapa"/>
    <m/>
    <m/>
    <n v="14"/>
    <n v="14"/>
    <s v="Transferencia electrónica"/>
    <s v="100134101"/>
    <n v="4562"/>
    <n v="13460.81"/>
    <n v="1"/>
  </r>
  <r>
    <s v="001061"/>
    <s v="Región Estado México"/>
    <x v="2"/>
    <s v="000016"/>
    <s v="Basurto Lara Carmen Evelia"/>
    <x v="1"/>
    <x v="1"/>
    <s v="01"/>
    <s v="RAMIREZ ALVARADO EDUARDO FELIPE"/>
    <d v="2024-06-04T00:00:00"/>
    <d v="2025-09-04T00:00:00"/>
    <n v="80000"/>
    <n v="84272.62"/>
    <n v="179"/>
    <x v="0"/>
    <n v="15"/>
    <s v="Mensual"/>
    <n v="12168.07"/>
    <n v="870"/>
    <n v="1740"/>
    <n v="0"/>
    <n v="3"/>
    <n v="29287.439999999999"/>
    <n v="38277.06"/>
    <n v="29287.43"/>
    <n v="6959.63"/>
    <n v="290"/>
    <n v="1740"/>
    <n v="12170"/>
    <d v="2025-06-03T00:00:00"/>
    <s v="Entregado"/>
    <n v="4471051698"/>
    <s v="arcangellamaravilla248@gmail.com"/>
    <m/>
    <s v="CULTIVO DE FRESA"/>
    <n v="119017"/>
    <m/>
    <m/>
    <s v="JOSE ALFREDO VILLANUEVA"/>
    <s v="4471505629"/>
    <s v="MIGUEL JIMENEZ CABRERA"/>
    <s v="4471506587"/>
    <s v="JUAN GUADALUPE RAMIREZ"/>
    <s v="7861655445"/>
    <s v="Garantía Prendaria"/>
    <s v="TITULO DE STATE OF OKLAHOMA, Valor 166,666.00, Nombre VEHICULO AC F15 , Folio Factura 810010811822, Fecha Factura 08/11/2020, Número de serie 1FTRX12W24NC25538, Número de motor SIN NUMERO, Modelo 2004, Marca FORD, Propietario RAMIREZ ALVARADO EDUARDO FELIPE"/>
    <s v="VEHICULO AC F15"/>
    <m/>
    <m/>
    <m/>
    <n v="38277.07"/>
    <n v="0"/>
    <n v="1"/>
    <s v="Individual mensual con garantia nivel I TI"/>
    <s v="BENIGNO BUSTAMANTE #110A-SN"/>
    <s v="San Pedro Tungareo"/>
    <s v="Michoacán"/>
    <s v="Maravatio"/>
    <m/>
    <s v="Ver en mapa"/>
    <m/>
    <m/>
    <n v="16"/>
    <n v="9"/>
    <s v="Transferencia electrónica"/>
    <s v="100106101"/>
    <n v="29287.439999999999"/>
    <n v="38277.07"/>
    <n v="0.99999973874698345"/>
  </r>
  <r>
    <s v="001378"/>
    <s v="Región Estado México"/>
    <x v="0"/>
    <s v="000029"/>
    <s v="Colin Garduño Estefani"/>
    <x v="2"/>
    <x v="2"/>
    <s v="01"/>
    <s v="BAUTISTA REBOLLAR DANIEL"/>
    <d v="2025-06-06T00:00:00"/>
    <d v="2026-06-06T00:00:00"/>
    <n v="30000"/>
    <n v="31602.23"/>
    <n v="176"/>
    <x v="0"/>
    <n v="12"/>
    <s v="Mensual"/>
    <n v="4992.07"/>
    <n v="696"/>
    <n v="3480"/>
    <n v="0"/>
    <n v="6"/>
    <n v="31602.23"/>
    <n v="33432.445"/>
    <n v="15801.12"/>
    <n v="13803.33"/>
    <n v="348"/>
    <n v="3480"/>
    <m/>
    <m/>
    <s v="Entregado"/>
    <n v="7226159497"/>
    <s v="7226159497"/>
    <m/>
    <s v="FABRICACION DE HELADOS NIEVES Y PALETAS"/>
    <n v="2097013"/>
    <s v="VERONICO POMPA BLANCA YESENIA"/>
    <s v="7861219357.0"/>
    <s v="WALTER TINOCO BAUTISTA"/>
    <s v="7223712601"/>
    <s v="FRANCISCO ESQUIVEL"/>
    <s v="7226839207"/>
    <s v="ARMANDO DE LA ROSA GARDUÑO"/>
    <s v="9517772748"/>
    <m/>
    <m/>
    <m/>
    <m/>
    <m/>
    <m/>
    <n v="63036.88"/>
    <n v="0"/>
    <n v="1"/>
    <s v="Individual sin Garantía"/>
    <s v="RINCON CHICO  #SN"/>
    <s v="Colorines"/>
    <s v="México"/>
    <s v="Valle De Bravo"/>
    <s v="19°10'04.1&quot;N 100°13'11.1&quot;W"/>
    <s v="Ver en mapa"/>
    <m/>
    <m/>
    <n v="6"/>
    <n v="6"/>
    <s v="Transferencia electrónica"/>
    <s v="100137801"/>
    <n v="31602.23"/>
    <n v="63036.88"/>
    <n v="0.530363257191663"/>
  </r>
  <r>
    <s v="001304"/>
    <s v="Región Estado México"/>
    <x v="0"/>
    <s v="000037"/>
    <s v="CREDIFLEXI CREDIFLEXI CREDIFLEXI"/>
    <x v="2"/>
    <x v="2"/>
    <s v="01"/>
    <s v="BLANCO FLORES MIRELLA"/>
    <d v="2025-05-09T00:00:00"/>
    <d v="2026-05-09T00:00:00"/>
    <n v="10000"/>
    <n v="10534.08"/>
    <n v="174"/>
    <x v="0"/>
    <n v="12"/>
    <s v="Mensual"/>
    <n v="1702.69"/>
    <n v="696"/>
    <n v="3480"/>
    <n v="0"/>
    <n v="6"/>
    <n v="9656.24"/>
    <n v="13695.8423386667"/>
    <n v="5267.04"/>
    <n v="4601.1099999999997"/>
    <n v="347.69"/>
    <n v="3480"/>
    <n v="1703"/>
    <d v="2025-06-09T00:00:00"/>
    <s v="Entregado"/>
    <n v="7226786248"/>
    <s v="m2152334@gmail.com"/>
    <m/>
    <s v="EMPLEADO PRIVADO"/>
    <n v="8944098"/>
    <m/>
    <m/>
    <s v="KARINA REYES URBINA"/>
    <s v="7294499383"/>
    <s v="NANCI CASTILLO VYVA"/>
    <s v="7223487516"/>
    <s v="JOSEFINA MARIN CRUZ"/>
    <s v="7227871773"/>
    <m/>
    <m/>
    <m/>
    <m/>
    <m/>
    <m/>
    <n v="21919.3"/>
    <n v="0"/>
    <n v="1"/>
    <s v="Individual sin Garantía"/>
    <s v="CERRADA ISIDRO FABELA EL CALVA  #SN"/>
    <s v="Barranca Seca"/>
    <s v="México"/>
    <s v="Valle De Bravo"/>
    <m/>
    <s v="Ver en mapa"/>
    <m/>
    <m/>
    <n v="6"/>
    <n v="6"/>
    <s v="Transferencia electrónica"/>
    <s v="100130401"/>
    <n v="9656.24"/>
    <n v="21919.3"/>
    <n v="0.62483027919079082"/>
  </r>
  <r>
    <s v="001352"/>
    <s v="Región Estado México"/>
    <x v="3"/>
    <s v="000041"/>
    <s v="Martinez Perez Juan Daniel"/>
    <x v="3"/>
    <x v="3"/>
    <s v="01"/>
    <s v="ESCOBAR AGUILAR OSCAR"/>
    <d v="2025-05-28T00:00:00"/>
    <d v="2026-04-29T00:00:00"/>
    <n v="10000"/>
    <n v="10534.08"/>
    <n v="174"/>
    <x v="0"/>
    <n v="24"/>
    <s v="Catorcenal"/>
    <n v="849.88"/>
    <n v="1392"/>
    <n v="7540"/>
    <n v="15"/>
    <n v="13"/>
    <n v="9656.24"/>
    <n v="18588.23"/>
    <n v="5705.96"/>
    <n v="4588.51"/>
    <n v="753.76"/>
    <n v="7540"/>
    <n v="850"/>
    <d v="2025-06-25T00:00:00"/>
    <s v="Entregado"/>
    <n v="7292923057"/>
    <s v="oscarescobaraguilar@gmail.com"/>
    <m/>
    <s v="FABRICACION DE PAN Y PASTELES"/>
    <n v="2071017"/>
    <m/>
    <m/>
    <s v="YOVANI ZAMORA"/>
    <s v="6084501672"/>
    <s v="CRISOFORO CORTEZ FRANCO"/>
    <s v="7203042712"/>
    <s v="MANUEL VEGA"/>
    <s v="7141088208"/>
    <m/>
    <m/>
    <m/>
    <m/>
    <m/>
    <m/>
    <n v="25715.17"/>
    <n v="0"/>
    <n v="1"/>
    <s v="Individual sin Garantía"/>
    <s v="PROL INDEPENDENCIA #SN"/>
    <s v="San Pedro Ejido Tecomatlán"/>
    <s v="México"/>
    <s v="Tenancingo"/>
    <m/>
    <s v="Ver en mapa"/>
    <m/>
    <m/>
    <n v="13"/>
    <n v="13"/>
    <s v="Transferencia electrónica"/>
    <s v="100135201"/>
    <n v="9656.24"/>
    <n v="25715.17"/>
    <n v="0.72285075307688018"/>
  </r>
  <r>
    <s v="001342"/>
    <s v="Región Estado México"/>
    <x v="3"/>
    <s v="000042"/>
    <s v="Avila Nieto Luis Alfredo"/>
    <x v="3"/>
    <x v="3"/>
    <s v="01"/>
    <s v="GAMA GONZALEZ PEDRO"/>
    <d v="2025-05-26T00:00:00"/>
    <d v="2025-11-26T00:00:00"/>
    <n v="5000"/>
    <n v="5267.04"/>
    <n v="155"/>
    <x v="0"/>
    <n v="6"/>
    <s v="Mensual"/>
    <n v="1322.42"/>
    <n v="348"/>
    <n v="3460.42"/>
    <n v="0"/>
    <n v="5"/>
    <n v="4389.2"/>
    <n v="10072.5"/>
    <n v="4389.2"/>
    <n v="1932.88"/>
    <n v="290"/>
    <n v="3460.42"/>
    <n v="200"/>
    <d v="2025-12-16T00:00:00"/>
    <s v="Entregado"/>
    <n v="7228065155"/>
    <s v="espinoza222318@gmail.com"/>
    <m/>
    <s v="PENSIONADO"/>
    <n v="9900907"/>
    <m/>
    <m/>
    <s v="REYNA GARCIA GONZALEZ"/>
    <s v="5565256507"/>
    <s v="VICTOR CORNELIO GARCIA SOTELO"/>
    <s v="7223554519"/>
    <s v="MARIA TERESA ROGEL GARCIA"/>
    <s v="7226018034"/>
    <m/>
    <m/>
    <m/>
    <m/>
    <m/>
    <m/>
    <n v="10072.5"/>
    <n v="0"/>
    <n v="1"/>
    <s v="Individual sin Garantía"/>
    <s v="5 DE MAYO #SN"/>
    <s v="Ixtapan de la Sal"/>
    <s v="México"/>
    <s v="Ixtapan De La Sal"/>
    <m/>
    <s v="Ver en mapa"/>
    <m/>
    <m/>
    <n v="7"/>
    <n v="7"/>
    <s v="Transferencia electrónica"/>
    <s v="100134201"/>
    <n v="4389.2"/>
    <n v="10072.5"/>
    <n v="1"/>
  </r>
  <r>
    <s v="001451"/>
    <s v="Región Estado México"/>
    <x v="0"/>
    <s v="000040"/>
    <s v="Olayo Gaytan Luis Enrique"/>
    <x v="2"/>
    <x v="2"/>
    <s v="01"/>
    <s v="BAUTISTA GONZALEZ BRIANDA"/>
    <d v="2025-06-26T00:00:00"/>
    <d v="2026-07-01T00:00:00"/>
    <n v="10000"/>
    <n v="10534.08"/>
    <n v="151"/>
    <x v="0"/>
    <n v="12"/>
    <s v="Mensual"/>
    <n v="1713.2"/>
    <n v="696"/>
    <n v="2320"/>
    <n v="0"/>
    <n v="4.3"/>
    <n v="10199.44"/>
    <n v="9715.9838133333324"/>
    <n v="4054.56"/>
    <n v="3109.42"/>
    <n v="232"/>
    <n v="2320"/>
    <n v="1750"/>
    <d v="2025-08-04T00:00:00"/>
    <s v="Entregado"/>
    <n v="7297872956"/>
    <s v="bribavo705@gmail.com"/>
    <m/>
    <s v="COMPRAVENTA DE OTROS ARTICULOS DE PLASTICO"/>
    <n v="6999041"/>
    <m/>
    <m/>
    <s v="ANGELICA VERENICE BAUTISTA"/>
    <s v="7223669091"/>
    <s v="DANA LAURA BAUTISTA"/>
    <s v="7293461613"/>
    <s v="GONZALO GUZMAN GONZALEZ"/>
    <s v="7297053779"/>
    <m/>
    <m/>
    <m/>
    <m/>
    <m/>
    <m/>
    <n v="21302.36"/>
    <n v="0"/>
    <n v="1"/>
    <s v="Individual sin Garantía"/>
    <s v="ISIDRO FABELA  #SN"/>
    <s v="Barranca Seca"/>
    <s v="México"/>
    <s v="Valle De Bravo"/>
    <s v="19°12'12.2&quot;N 100°07'51.8&quot;W"/>
    <s v="Ver en mapa"/>
    <m/>
    <m/>
    <n v="5"/>
    <n v="5"/>
    <s v="Transferencia electrónica"/>
    <s v="100145101"/>
    <n v="10199.44"/>
    <n v="21302.36"/>
    <n v="0.45609893989836492"/>
  </r>
  <r>
    <s v="001145"/>
    <s v="Región Estado México"/>
    <x v="1"/>
    <s v="000037"/>
    <s v="CREDIFLEXI CREDIFLEXI CREDIFLEXI"/>
    <x v="4"/>
    <x v="4"/>
    <s v="02"/>
    <s v="NAVOR SEGURA CESAR"/>
    <d v="2025-05-06T00:00:00"/>
    <d v="2026-05-06T00:00:00"/>
    <n v="14000"/>
    <n v="14000"/>
    <n v="146"/>
    <x v="0"/>
    <n v="12"/>
    <s v="Mensual"/>
    <n v="1506.19"/>
    <n v="0"/>
    <n v="0"/>
    <n v="0"/>
    <n v="5"/>
    <n v="12115.83"/>
    <n v="7527.14"/>
    <n v="5441.8"/>
    <n v="2085.34"/>
    <n v="0"/>
    <n v="0"/>
    <n v="1506.19"/>
    <d v="2025-07-31T00:00:00"/>
    <s v="Entregado"/>
    <n v="7293862169"/>
    <s v="cnavorsegura@gmail.com"/>
    <m/>
    <s v="EMPLEADO PRIVADO"/>
    <n v="8944098"/>
    <m/>
    <m/>
    <m/>
    <m/>
    <m/>
    <m/>
    <m/>
    <m/>
    <m/>
    <m/>
    <m/>
    <m/>
    <m/>
    <m/>
    <n v="14201.17"/>
    <n v="0"/>
    <n v="1"/>
    <s v="Individual Especial Semanal"/>
    <s v="FRANCISCO VILLA #134-4"/>
    <s v="El Llano del Compromiso"/>
    <s v="México"/>
    <s v="Ocoyoacac"/>
    <m/>
    <s v="Ver en mapa"/>
    <m/>
    <m/>
    <n v="6"/>
    <n v="6"/>
    <s v="Transferencia electrónica"/>
    <s v="100114502"/>
    <n v="12115.83"/>
    <n v="14201.17"/>
    <n v="0.53003660965962662"/>
  </r>
  <r>
    <s v="001354"/>
    <s v="Región Estado México"/>
    <x v="3"/>
    <s v="000042"/>
    <s v="Avila Nieto Luis Alfredo"/>
    <x v="3"/>
    <x v="3"/>
    <s v="01"/>
    <s v="ROMERO ROSALIO MARIA DEL CARMEN"/>
    <d v="2025-05-29T00:00:00"/>
    <d v="2025-11-13T00:00:00"/>
    <n v="10000"/>
    <n v="10534.08"/>
    <n v="145"/>
    <x v="0"/>
    <n v="12"/>
    <s v="Catorcenal"/>
    <n v="1288.8"/>
    <n v="696"/>
    <n v="4640"/>
    <n v="12"/>
    <n v="8"/>
    <n v="7022.73"/>
    <n v="15124.42"/>
    <n v="7022.73"/>
    <n v="2823.69"/>
    <n v="638"/>
    <n v="4640"/>
    <n v="1288.8"/>
    <d v="2025-07-24T00:00:00"/>
    <s v="Entregado"/>
    <n v="7223114459"/>
    <s v="rosaliomariadelcarmen378@gmail.com"/>
    <m/>
    <s v="RESTAURANTE"/>
    <n v="8711021"/>
    <m/>
    <m/>
    <s v="MARICRUZ GARCIA ESCOBAR"/>
    <s v="7211021471"/>
    <s v="ARIANA GOMEZ SOTELO"/>
    <s v="7227536718"/>
    <s v="MARIA ISABEL GARCIA PEREZ"/>
    <s v="7221691659"/>
    <m/>
    <m/>
    <m/>
    <m/>
    <m/>
    <m/>
    <n v="15124.42"/>
    <n v="0"/>
    <n v="1"/>
    <s v="Individual sin Garantía"/>
    <s v="CAMINO REAL S #SN"/>
    <s v="Ixtapan de la Sal"/>
    <s v="México"/>
    <s v="Ixtapan De La Sal"/>
    <m/>
    <s v="Ver en mapa"/>
    <m/>
    <m/>
    <n v="11"/>
    <n v="11"/>
    <s v="Transferencia electrónica"/>
    <s v="100135401"/>
    <n v="7022.73"/>
    <n v="15124.42"/>
    <n v="1"/>
  </r>
  <r>
    <s v="001397"/>
    <s v="Región Estado México"/>
    <x v="3"/>
    <s v="000042"/>
    <s v="Avila Nieto Luis Alfredo"/>
    <x v="3"/>
    <x v="3"/>
    <s v="01"/>
    <s v="CARBAJAL VAZQUEZ RICARDO"/>
    <d v="2025-06-12T00:00:00"/>
    <d v="2025-11-27T00:00:00"/>
    <n v="8000"/>
    <n v="8427.26"/>
    <n v="145"/>
    <x v="0"/>
    <n v="12"/>
    <s v="Catorcenal"/>
    <n v="1042.6400000000001"/>
    <n v="696"/>
    <n v="5220"/>
    <n v="12"/>
    <n v="9"/>
    <n v="6320.4400000000014"/>
    <n v="14718.26"/>
    <n v="6320.4400000000014"/>
    <n v="2541.3200000000002"/>
    <n v="636.5"/>
    <n v="5220"/>
    <n v="43"/>
    <d v="2025-07-28T00:00:00"/>
    <s v="Entregado"/>
    <n v="7225288410"/>
    <s v="ricardocarbajalvazquez842@gmail.com"/>
    <m/>
    <s v="EMPLEADO PRIVADO"/>
    <n v="8944098"/>
    <s v="GARCIA TRUJILLO MARICELA"/>
    <m/>
    <s v="GUSTAVO ANGEL DESIDERIO"/>
    <s v="7218890536"/>
    <s v="EDUARDO CARBAJAL GARCIA"/>
    <s v="5647483002"/>
    <m/>
    <m/>
    <m/>
    <m/>
    <m/>
    <m/>
    <m/>
    <m/>
    <n v="14718.26"/>
    <n v="0"/>
    <n v="1"/>
    <s v="Individual sin Garantía"/>
    <s v="PROGRESO #SN"/>
    <s v="El Progreso"/>
    <s v="México"/>
    <s v="Ixtapan De La Sal"/>
    <s v="18°50'55.0&quot;N 99°40'04.8&quot;W"/>
    <s v="Ver en mapa"/>
    <m/>
    <m/>
    <n v="13"/>
    <n v="13"/>
    <s v="Transferencia electrónica"/>
    <s v="100139701"/>
    <n v="6320.4400000000014"/>
    <n v="14718.26"/>
    <n v="1"/>
  </r>
  <r>
    <s v="001312"/>
    <s v="Región Estado México"/>
    <x v="0"/>
    <s v="000037"/>
    <s v="CREDIFLEXI CREDIFLEXI CREDIFLEXI"/>
    <x v="2"/>
    <x v="2"/>
    <s v="01"/>
    <s v="GARCIA GARCIA ROSALBA ERICA"/>
    <d v="2025-05-13T00:00:00"/>
    <d v="2026-05-13T00:00:00"/>
    <n v="10000"/>
    <n v="10534.08"/>
    <n v="139"/>
    <x v="0"/>
    <n v="12"/>
    <s v="Mensual"/>
    <n v="1702.69"/>
    <n v="696"/>
    <n v="2900"/>
    <n v="0"/>
    <n v="4.4000000000000004"/>
    <n v="8595.9500000000007"/>
    <n v="10406.1523386667"/>
    <n v="4206.75"/>
    <n v="3067.4"/>
    <n v="232"/>
    <n v="2900"/>
    <n v="500"/>
    <d v="2025-12-11T00:00:00"/>
    <s v="Entregado"/>
    <n v="7223586415"/>
    <s v="garcia83erika@gmail.com"/>
    <m/>
    <s v="COMPRAVENTA DE ROPA"/>
    <n v="6211023"/>
    <m/>
    <m/>
    <s v="MARI CRUZ GARCIA BENITEZ"/>
    <s v="7224444593"/>
    <s v="MARINA MACIEL SANCHEZ MORALES"/>
    <s v="7228160540"/>
    <s v="MARIA DE JESUS GONZALEZ REYES"/>
    <s v="7223635713"/>
    <m/>
    <m/>
    <m/>
    <m/>
    <m/>
    <m/>
    <n v="18629.61"/>
    <n v="0"/>
    <n v="1"/>
    <s v="Individual sin Garantía"/>
    <s v="COLORINES #SN"/>
    <s v="Colorines"/>
    <s v="México"/>
    <s v="Valle De Bravo"/>
    <m/>
    <s v="Ver en mapa"/>
    <m/>
    <m/>
    <n v="6"/>
    <n v="6"/>
    <s v="Transferencia electrónica"/>
    <s v="100131201"/>
    <n v="8595.9500000000007"/>
    <n v="18629.61"/>
    <n v="0.55858133040180113"/>
  </r>
  <r>
    <s v="001317"/>
    <s v="Región Estado México"/>
    <x v="3"/>
    <s v="000041"/>
    <s v="Martinez Perez Juan Daniel"/>
    <x v="3"/>
    <x v="3"/>
    <s v="01"/>
    <s v="MACHADO GONZALEZ ALEJANDRO"/>
    <d v="2025-05-14T00:00:00"/>
    <d v="2026-05-14T00:00:00"/>
    <n v="20000"/>
    <n v="21068.16"/>
    <n v="138"/>
    <x v="0"/>
    <n v="12"/>
    <s v="Mensual"/>
    <n v="3347.38"/>
    <n v="696"/>
    <n v="2900"/>
    <n v="0"/>
    <n v="4.9000000000000004"/>
    <n v="17556.8"/>
    <n v="19136.9246773333"/>
    <n v="8778.4"/>
    <n v="7226.52"/>
    <n v="232"/>
    <n v="2900"/>
    <n v="500"/>
    <d v="2025-09-22T00:00:00"/>
    <s v="Entregado"/>
    <n v="7294809159"/>
    <s v="alexmlzm@gmail.com"/>
    <m/>
    <s v="EMPLEADO PRIVADO"/>
    <n v="8944098"/>
    <m/>
    <m/>
    <s v="LUIS JAVIER SOTELO VELA"/>
    <s v="7201229534"/>
    <s v="SABINA GUARDA RAMIREZ"/>
    <s v="7225973209"/>
    <s v="ROSI ITZEL ESCOBAR GUARDA"/>
    <s v="7225450074"/>
    <m/>
    <m/>
    <m/>
    <m/>
    <m/>
    <m/>
    <n v="35583.839999999997"/>
    <n v="0"/>
    <n v="1"/>
    <s v="Individual sin Garantía"/>
    <s v="CDA DE LOS PINOS #5-SN"/>
    <s v="San José el Cuartel"/>
    <s v="México"/>
    <s v="Tenancingo"/>
    <m/>
    <s v="Ver en mapa"/>
    <m/>
    <m/>
    <n v="5"/>
    <n v="5"/>
    <s v="Transferencia electrónica"/>
    <s v="100131701"/>
    <n v="17556.8"/>
    <n v="35583.839999999997"/>
    <n v="0.53779818809137236"/>
  </r>
  <r>
    <s v="001076"/>
    <s v="Región Estado México"/>
    <x v="2"/>
    <s v="000016"/>
    <s v="Basurto Lara Carmen Evelia"/>
    <x v="1"/>
    <x v="1"/>
    <s v="01"/>
    <s v="GONZALEZ BELTRAN JOSE EMANUEL"/>
    <d v="2024-08-23T00:00:00"/>
    <d v="2025-09-15T00:00:00"/>
    <n v="30000"/>
    <n v="31602.23"/>
    <n v="137"/>
    <x v="0"/>
    <n v="12"/>
    <s v="Mensual"/>
    <n v="5448.58"/>
    <n v="696"/>
    <n v="1740"/>
    <n v="0"/>
    <n v="1.8"/>
    <n v="9158.56"/>
    <n v="11836.96"/>
    <n v="9158.57"/>
    <n v="706.39"/>
    <n v="232"/>
    <n v="1740"/>
    <n v="1000"/>
    <d v="2025-12-11T00:00:00"/>
    <s v="Entregado"/>
    <n v="4171576513"/>
    <s v="josebeltran18@gmail.com"/>
    <m/>
    <s v="FABRICACION DE MUEBLES DE MADERA"/>
    <n v="2711019"/>
    <s v="BAUTISTA GARCIA MARIA DEL ROSARIO"/>
    <m/>
    <s v="MIGUEL GONZALEZ BAUTISTA"/>
    <s v="4471466258"/>
    <s v="SANDRA MARIELA GARCIA MEJIA"/>
    <s v="4471260680"/>
    <s v="FELIPE MUÑOZ"/>
    <s v="4471083180"/>
    <s v="Garantía Prendaria"/>
    <s v="TITILO EXPEDIDO POR STATE OF IOWA, Valor 59,650.00, Nombre VEHICULO GRAND CARAVAN SPORT SV, Folio Factura 77AL67194, Fecha Factura 20/03/2013, Número de serie 1D4GP44R43B300517, Número de motor SIN NUMERO, Modelo 2003, Marca DODGE, Propietario GONZALEZ BELTRAN JOSE EMANUEL"/>
    <s v="VEHICULO GRAND CARAVAN SPORT SV"/>
    <m/>
    <m/>
    <m/>
    <n v="11836.95"/>
    <n v="0"/>
    <n v="1"/>
    <s v="Individual mensual con garantia nivel I TI"/>
    <s v="REVOLUCION #591 C-SN"/>
    <s v="San Miguel Curinhuato"/>
    <s v="Michoacán"/>
    <s v="Maravatio"/>
    <m/>
    <s v="Ver en mapa"/>
    <m/>
    <m/>
    <n v="10"/>
    <n v="9"/>
    <s v="Transferencia electrónica"/>
    <s v="100107601"/>
    <n v="9158.56"/>
    <n v="11836.95"/>
    <n v="1.0000008448122191"/>
  </r>
  <r>
    <s v="001332"/>
    <s v="Región Estado México"/>
    <x v="3"/>
    <s v="000041"/>
    <s v="Martinez Perez Juan Daniel"/>
    <x v="3"/>
    <x v="3"/>
    <s v="01"/>
    <s v="NUÑEZ VALLEJO ADRIANA DANIELA"/>
    <d v="2025-05-22T00:00:00"/>
    <d v="2025-11-22T00:00:00"/>
    <n v="30000"/>
    <n v="31602.23"/>
    <n v="130"/>
    <x v="0"/>
    <n v="6"/>
    <s v="Mensual"/>
    <n v="7059.79"/>
    <n v="348"/>
    <n v="2320"/>
    <n v="0"/>
    <n v="4"/>
    <n v="21068.15"/>
    <n v="30606.74"/>
    <n v="21068.15"/>
    <n v="6939.01"/>
    <n v="279.58"/>
    <n v="2320"/>
    <n v="7650"/>
    <d v="2025-07-30T00:00:00"/>
    <s v="Entregado"/>
    <n v="7222506939"/>
    <s v="danielavallejo18@icloud.com"/>
    <m/>
    <s v="COMPRAVENTA DE ROPA"/>
    <n v="6211023"/>
    <m/>
    <m/>
    <s v="VICTOR VILLA VILLEGAS"/>
    <s v="7221551295"/>
    <s v="MONICA GARCIA NUÑEZ"/>
    <s v="7295030367"/>
    <s v="MIRIAM QUIROZ RAMIREZ"/>
    <s v="7298576589"/>
    <m/>
    <m/>
    <m/>
    <m/>
    <m/>
    <m/>
    <n v="30606.74"/>
    <n v="0"/>
    <n v="1"/>
    <s v="Individual sin Garantía"/>
    <s v="CALLE EL CRUCERO #SN"/>
    <s v="San Nicolás"/>
    <s v="México"/>
    <s v="Tenancingo"/>
    <m/>
    <s v="Ver en mapa"/>
    <m/>
    <m/>
    <n v="7"/>
    <n v="7"/>
    <s v="Transferencia electrónica"/>
    <s v="100133201"/>
    <n v="21068.15"/>
    <n v="30606.74"/>
    <n v="1"/>
  </r>
  <r>
    <s v="001431"/>
    <s v="Región Estado México"/>
    <x v="0"/>
    <s v="000040"/>
    <s v="Olayo Gaytan Luis Enrique"/>
    <x v="2"/>
    <x v="2"/>
    <s v="01"/>
    <s v="ESQUIVEL SOTO LETICIA"/>
    <d v="2025-06-24T00:00:00"/>
    <d v="2025-12-24T00:00:00"/>
    <n v="5000"/>
    <n v="5267.04"/>
    <n v="127"/>
    <x v="0"/>
    <n v="6"/>
    <s v="Mensual"/>
    <n v="1320.32"/>
    <n v="348"/>
    <n v="2900"/>
    <n v="0"/>
    <n v="4.5"/>
    <n v="4111.67"/>
    <n v="8781.58"/>
    <n v="4111.67"/>
    <n v="1537.91"/>
    <n v="232"/>
    <n v="2900"/>
    <n v="1300"/>
    <d v="2025-09-29T00:00:00"/>
    <s v="Entregado"/>
    <n v="5642385924"/>
    <s v="esquivelsotoleticia83@gmail.com"/>
    <m/>
    <s v="TIENDA DE ABARROTES Y MISCELANEA"/>
    <n v="6131023"/>
    <s v="SALVADOR ARIAS LORENZO"/>
    <s v="5642385924.0"/>
    <s v="ELVIRA AGUILAR CASTILLO"/>
    <s v="7293358332"/>
    <s v="CARLOS SALVADOR ARIES"/>
    <s v="7225310616"/>
    <s v="LORENZO SALVADOR  ARIES"/>
    <s v="5665416876"/>
    <m/>
    <m/>
    <m/>
    <m/>
    <m/>
    <m/>
    <n v="8781.58"/>
    <n v="0"/>
    <n v="1"/>
    <s v="Individual sin Garantía"/>
    <s v="SAN BARTOLO AMANALCO #SN -SN"/>
    <s v="San Bartolo"/>
    <s v="México"/>
    <s v="Amanalco"/>
    <s v="https://www.google.com/maps/@1"/>
    <s v="Ver en mapa"/>
    <m/>
    <m/>
    <n v="6"/>
    <n v="6"/>
    <s v="Transferencia electrónica"/>
    <s v="100143101"/>
    <n v="4111.67"/>
    <n v="8781.58"/>
    <n v="1"/>
  </r>
  <r>
    <s v="001272"/>
    <s v="Región Estado México"/>
    <x v="2"/>
    <s v="000037"/>
    <s v="CREDIFLEXI CREDIFLEXI CREDIFLEXI"/>
    <x v="1"/>
    <x v="1"/>
    <s v="01"/>
    <s v="GONZALEZ AGUIRRE JOSE"/>
    <d v="2025-04-25T00:00:00"/>
    <d v="2026-04-25T00:00:00"/>
    <n v="10000"/>
    <n v="10534.08"/>
    <n v="127"/>
    <x v="0"/>
    <n v="12"/>
    <s v="Mensual"/>
    <n v="1702.69"/>
    <n v="696"/>
    <n v="3023.39"/>
    <n v="0"/>
    <n v="5"/>
    <n v="7900.56"/>
    <n v="11478.844101333299"/>
    <n v="4389.2"/>
    <n v="3834.25"/>
    <n v="232"/>
    <n v="3023.39"/>
    <n v="1000"/>
    <d v="2025-12-17T00:00:00"/>
    <s v="Entregado"/>
    <n v="4472170440"/>
    <s v="tecladosiamo512@gmail.com"/>
    <m/>
    <s v="EMPLEADO PUBLICO"/>
    <n v="9411998"/>
    <s v="RAMOS GUERRERO ARACELI"/>
    <m/>
    <s v="J ISABEL ESQUIVEL"/>
    <s v="4471072858"/>
    <s v="ALEJANDRO FLORES"/>
    <s v="4431747146"/>
    <s v="JUAN REFUGIO MORALES"/>
    <s v="JUAN REFUGIO MORALES"/>
    <m/>
    <m/>
    <m/>
    <m/>
    <m/>
    <m/>
    <n v="18057.61"/>
    <n v="0"/>
    <n v="1"/>
    <s v="Individual sin Garantía"/>
    <s v="HIDALGO #216-SN"/>
    <s v="Lázaro Cárdenas (El Llano)"/>
    <s v="Michoacán"/>
    <s v="Maravatio"/>
    <m/>
    <s v="Ver en mapa"/>
    <m/>
    <m/>
    <n v="7"/>
    <n v="7"/>
    <s v="Transferencia electrónica"/>
    <s v="100127201"/>
    <n v="7900.56"/>
    <n v="18057.61"/>
    <n v="0.63567903511778689"/>
  </r>
  <r>
    <s v="001336"/>
    <s v="Región Estado México"/>
    <x v="4"/>
    <s v="000047"/>
    <s v="Juarez Matias Alejandro"/>
    <x v="1"/>
    <x v="1"/>
    <s v="01"/>
    <s v="SANCHEZ LINARES OSCAR"/>
    <d v="2025-05-23T00:00:00"/>
    <d v="2026-05-23T00:00:00"/>
    <n v="20000"/>
    <n v="21068.16"/>
    <n v="127"/>
    <x v="0"/>
    <n v="12"/>
    <s v="Mensual"/>
    <n v="3347.38"/>
    <n v="696"/>
    <n v="2900"/>
    <n v="0"/>
    <n v="5"/>
    <n v="17556.8"/>
    <n v="19491.684677333302"/>
    <n v="8778.4"/>
    <n v="7581.28"/>
    <n v="232"/>
    <n v="2900"/>
    <n v="6000"/>
    <d v="2025-08-14T00:00:00"/>
    <s v="Entregado"/>
    <n v="7122175275"/>
    <s v="refaccionariadelpunto@gmail.com"/>
    <m/>
    <s v="COMPRAVENTA DE REFACCIONES Y ACCESORIOS NUEVOS PARA AUTOS Y CAMIONES"/>
    <n v="6815015"/>
    <m/>
    <m/>
    <s v="RUBEN DANIEL GUTIERREZ GARCIA"/>
    <s v="2292504100"/>
    <s v="VICTOR HUGO SANCHEZ LINARES"/>
    <s v="7121074554"/>
    <s v="MARIA FERNANDA SANCHO SANCHEZ"/>
    <s v="7121365176"/>
    <m/>
    <m/>
    <m/>
    <m/>
    <m/>
    <m/>
    <n v="35938.6"/>
    <n v="0"/>
    <n v="1"/>
    <s v="Individual sin Garantía"/>
    <s v="LAGUNA SUPERIOR #4-4"/>
    <s v="Río Lerma (Tic Ti)"/>
    <s v="México"/>
    <s v="Atlacomulco"/>
    <m/>
    <s v="Ver en mapa"/>
    <m/>
    <m/>
    <n v="7"/>
    <n v="7"/>
    <s v="Transferencia electrónica"/>
    <s v="100133601"/>
    <n v="17556.8"/>
    <n v="35938.6"/>
    <n v="0.54236071180661749"/>
  </r>
  <r>
    <s v="001280"/>
    <s v="Región Estado México"/>
    <x v="2"/>
    <s v="000037"/>
    <s v="CREDIFLEXI CREDIFLEXI CREDIFLEXI"/>
    <x v="1"/>
    <x v="1"/>
    <s v="01"/>
    <s v="FRAGA LUGO ALEJANDRA"/>
    <d v="2025-04-28T00:00:00"/>
    <d v="2026-04-28T00:00:00"/>
    <n v="10000"/>
    <n v="10534.08"/>
    <n v="124"/>
    <x v="0"/>
    <n v="12"/>
    <s v="Mensual"/>
    <n v="1702.69"/>
    <n v="696"/>
    <n v="2900"/>
    <n v="0"/>
    <n v="4.6000000000000014"/>
    <n v="7900.56"/>
    <n v="10712.844101333299"/>
    <n v="4389.2"/>
    <n v="3191.64"/>
    <n v="232"/>
    <n v="2900"/>
    <n v="500"/>
    <d v="2025-10-29T00:00:00"/>
    <s v="Entregado"/>
    <n v="4471414092"/>
    <s v="fraga1601@gmail.com"/>
    <m/>
    <s v="TALLER DE CONFECCION DE VESTIDOS"/>
    <n v="2411023"/>
    <s v="RUIZ AGUILAR ISRAEL"/>
    <s v="4432638938.0"/>
    <s v="DIANA REYES"/>
    <s v="4472222231"/>
    <s v="LUZ MARIA REYES"/>
    <s v="4471092915"/>
    <s v="JUAN CARLOS GARCIA"/>
    <s v="4471532962"/>
    <m/>
    <m/>
    <m/>
    <m/>
    <m/>
    <m/>
    <n v="17291.61"/>
    <n v="0"/>
    <n v="1"/>
    <s v="Individual sin Garantía"/>
    <s v="HIDALGO #368-SN"/>
    <s v="Guadalupe"/>
    <s v="Michoacán"/>
    <s v="Maravatio"/>
    <m/>
    <s v="Ver en mapa"/>
    <m/>
    <m/>
    <n v="6"/>
    <n v="6"/>
    <s v="Transferencia electrónica"/>
    <s v="100128001"/>
    <n v="7900.56"/>
    <n v="17291.61"/>
    <n v="0.61954000242506624"/>
  </r>
  <r>
    <s v="001331"/>
    <s v="Región Estado México"/>
    <x v="0"/>
    <s v="000040"/>
    <s v="Olayo Gaytan Luis Enrique"/>
    <x v="2"/>
    <x v="2"/>
    <s v="01"/>
    <s v="CARBAJAL AGUILAR MARLEN"/>
    <d v="2025-05-23T00:00:00"/>
    <d v="2025-11-07T00:00:00"/>
    <n v="5000"/>
    <n v="5267.04"/>
    <n v="123"/>
    <x v="0"/>
    <n v="12"/>
    <s v="Catorcenal"/>
    <n v="673.4"/>
    <n v="696"/>
    <n v="3480"/>
    <n v="12"/>
    <n v="6"/>
    <n v="2633.52"/>
    <n v="7660.81"/>
    <n v="2633.52"/>
    <n v="1058.8800000000001"/>
    <n v="488.41"/>
    <n v="3480"/>
    <n v="680"/>
    <d v="2025-08-15T00:00:00"/>
    <s v="Entregado"/>
    <n v="7224078649"/>
    <s v="marlenhdsn@gmail.com"/>
    <m/>
    <s v="EMPLEADO PRIVADO"/>
    <n v="8944098"/>
    <m/>
    <m/>
    <s v="MARIA DEL CARMEN BARCENAS RODR"/>
    <s v="7226663905"/>
    <s v="ISMAEL PEÑALOZA GARDUÑO"/>
    <s v="7293220268"/>
    <s v="BRANDON FRANCISCO VELAZQUEZ ME"/>
    <s v="7224255678"/>
    <m/>
    <m/>
    <m/>
    <m/>
    <m/>
    <m/>
    <n v="7660.81"/>
    <n v="0"/>
    <n v="1"/>
    <s v="Individual sin Garantía"/>
    <s v="ALFAREROS  #129-SN"/>
    <s v="Valle de Bravo"/>
    <s v="México"/>
    <s v="Valle De Bravo"/>
    <m/>
    <s v="Ver en mapa"/>
    <m/>
    <m/>
    <n v="10"/>
    <n v="9"/>
    <s v="Transferencia electrónica"/>
    <s v="100133101"/>
    <n v="2633.52"/>
    <n v="7660.81"/>
    <n v="1"/>
  </r>
  <r>
    <s v="001357"/>
    <s v="Región Estado México"/>
    <x v="3"/>
    <s v="000042"/>
    <s v="Avila Nieto Luis Alfredo"/>
    <x v="3"/>
    <x v="3"/>
    <s v="01"/>
    <s v="CARRILLO SALINAS TATIANA"/>
    <d v="2025-05-30T00:00:00"/>
    <d v="2026-01-09T00:00:00"/>
    <n v="10000"/>
    <n v="10534.08"/>
    <n v="116"/>
    <x v="0"/>
    <n v="16"/>
    <s v="Catorcenal"/>
    <n v="1069.3399999999999"/>
    <n v="928"/>
    <n v="5220"/>
    <n v="15"/>
    <n v="9"/>
    <n v="6583.8"/>
    <n v="14840.13"/>
    <n v="5925.42"/>
    <n v="3176.66"/>
    <n v="518.04999999999995"/>
    <n v="5220"/>
    <n v="1070"/>
    <d v="2025-08-22T00:00:00"/>
    <s v="Entregado"/>
    <n v="7221191802"/>
    <s v="tatiscarrillo0201@hotmail.com"/>
    <m/>
    <s v="EMPLEADO PRIVADO"/>
    <n v="8944098"/>
    <m/>
    <m/>
    <s v="ROSA MARIA SANCHEZ GARCIA"/>
    <s v="7221459037"/>
    <s v="JUAN CARLOS GONZALEZ LARA"/>
    <s v="7224918355"/>
    <s v="RAFAEL SANCHEZ MADARIAGA"/>
    <s v="7224446260"/>
    <m/>
    <m/>
    <m/>
    <m/>
    <m/>
    <m/>
    <n v="15851.47"/>
    <n v="0"/>
    <n v="1"/>
    <s v="Individual sin Garantía"/>
    <s v="5 DE MAYO  #303-SN"/>
    <s v="Santiaguito Cuaxustenco"/>
    <s v="México"/>
    <s v="Tenango Del Valle"/>
    <m/>
    <s v="Ver en mapa"/>
    <m/>
    <m/>
    <n v="9"/>
    <n v="9"/>
    <s v="Transferencia electrónica"/>
    <s v="100135701"/>
    <n v="6583.8"/>
    <n v="15851.47"/>
    <n v="0.9361989771295659"/>
  </r>
  <r>
    <s v="001423"/>
    <s v="Región Estado México"/>
    <x v="1"/>
    <s v="000037"/>
    <s v="CREDIFLEXI CREDIFLEXI CREDIFLEXI"/>
    <x v="5"/>
    <x v="5"/>
    <s v="01"/>
    <s v="AGUADO MARTINEZ RENE JOAQUIN"/>
    <d v="2025-08-05T00:00:00"/>
    <d v="2025-11-05T00:00:00"/>
    <n v="0"/>
    <n v="210000"/>
    <n v="116"/>
    <x v="0"/>
    <n v="3"/>
    <s v="Mensual"/>
    <n v="18403"/>
    <n v="17409"/>
    <n v="0"/>
    <n v="0"/>
    <n v="7.2"/>
    <n v="210000"/>
    <n v="277809"/>
    <n v="210000"/>
    <n v="50400"/>
    <n v="17409"/>
    <n v="0"/>
    <m/>
    <m/>
    <s v="Entregado"/>
    <n v="5510686525"/>
    <s v="reneaguado@gmail.com"/>
    <m/>
    <s v="PRESTACION DE OTROS SERVICIOS TECNICOS"/>
    <n v="8429012"/>
    <s v="ESPINOZA SUZETTE MARIE"/>
    <s v="5540792811.0"/>
    <s v="JORGE RODRIGUEZ DUPOND"/>
    <s v="5544790066"/>
    <m/>
    <m/>
    <m/>
    <m/>
    <m/>
    <m/>
    <m/>
    <m/>
    <m/>
    <m/>
    <n v="277809"/>
    <n v="0"/>
    <n v="2"/>
    <s v="Individual Especial Revolvente"/>
    <s v="JESUS DEL MONTE #47-SN"/>
    <s v="Jesús del Monte"/>
    <s v="México"/>
    <s v="Huixquilucan"/>
    <m/>
    <s v="Ver en mapa"/>
    <m/>
    <m/>
    <n v="4"/>
    <n v="4"/>
    <s v="Transferencia electrónica"/>
    <s v="100142301"/>
    <n v="210000"/>
    <n v="277809"/>
    <n v="1"/>
  </r>
  <r>
    <s v="001473"/>
    <s v="Región Estado México"/>
    <x v="3"/>
    <s v="000042"/>
    <s v="Avila Nieto Luis Alfredo"/>
    <x v="3"/>
    <x v="3"/>
    <s v="01"/>
    <s v="ALBARRAN ACACIO MARIA DEL CARMEN"/>
    <d v="2025-07-08T00:00:00"/>
    <d v="2026-07-08T00:00:00"/>
    <n v="10000"/>
    <n v="10534.08"/>
    <n v="113"/>
    <x v="0"/>
    <n v="12"/>
    <s v="Mensual"/>
    <n v="1702.69"/>
    <n v="696"/>
    <n v="2320"/>
    <n v="0"/>
    <n v="4"/>
    <n v="9656.24"/>
    <n v="9129.4600000000009"/>
    <n v="3511.36"/>
    <n v="3067.41"/>
    <n v="230.69"/>
    <n v="2320"/>
    <n v="2284"/>
    <d v="2025-08-21T00:00:00"/>
    <s v="Entregado"/>
    <n v="7226407121"/>
    <s v="caralba00@gmail.com"/>
    <m/>
    <s v="COMPRAVENTA DE OTROS ARTICULOS DE PLASTICO"/>
    <n v="6999041"/>
    <m/>
    <m/>
    <s v="ESTRELLA RUIZ GARCIA"/>
    <s v="7226682127"/>
    <s v="RAMIRO SILVA MORALES"/>
    <s v="7221854627"/>
    <s v="ELIZABETH GONZALEZ VAZQUEZ"/>
    <s v="7221056419"/>
    <m/>
    <m/>
    <m/>
    <m/>
    <m/>
    <m/>
    <n v="20642.3"/>
    <n v="0"/>
    <n v="1"/>
    <s v="Individual sin Garantía"/>
    <s v="BUENAVISTA #SN"/>
    <s v="Buenavista"/>
    <s v="México"/>
    <s v="Villa Guerrero"/>
    <s v="18°56'39.4&quot;N 99°39'19.0&quot;W"/>
    <s v="Ver en mapa"/>
    <m/>
    <m/>
    <n v="5"/>
    <n v="5"/>
    <s v="Transferencia electrónica"/>
    <s v="100147301"/>
    <n v="9656.24"/>
    <n v="20642.3"/>
    <n v="0.44226951454053087"/>
  </r>
  <r>
    <s v="001360"/>
    <s v="Región Estado México"/>
    <x v="0"/>
    <s v="000029"/>
    <s v="Colin Garduño Estefani"/>
    <x v="2"/>
    <x v="2"/>
    <s v="01"/>
    <s v="CAMBRON NAVA VICTOR"/>
    <d v="2025-06-03T00:00:00"/>
    <d v="2025-11-18T00:00:00"/>
    <n v="7000"/>
    <n v="7373.85"/>
    <n v="112"/>
    <x v="0"/>
    <n v="12"/>
    <s v="Catorcenal"/>
    <n v="919.56000000000006"/>
    <n v="696"/>
    <n v="3480.01"/>
    <n v="12"/>
    <n v="6"/>
    <n v="3686.92"/>
    <n v="9170.73"/>
    <n v="3686.92"/>
    <n v="1482.44"/>
    <n v="521.36"/>
    <n v="3480.01"/>
    <n v="1498"/>
    <d v="2025-09-08T00:00:00"/>
    <s v="Entregado"/>
    <n v="7292966799"/>
    <s v="victorcambro1971@gmail.com"/>
    <m/>
    <s v="TRANSPORTE EN AUTOMOVILES DE SITIO Y TURISMO"/>
    <n v="7114010"/>
    <m/>
    <m/>
    <s v="ORLANDO SALGADO BERNAL"/>
    <s v="7224318100"/>
    <s v="JULIO GABRIEL PALACIOS GARCIA"/>
    <s v="7228048725"/>
    <s v="JOHAN RAMIREZ VAZQUEZ"/>
    <s v="7226734465"/>
    <m/>
    <m/>
    <m/>
    <m/>
    <m/>
    <m/>
    <n v="9170.73"/>
    <n v="0"/>
    <n v="1"/>
    <s v="Individual sin Garantía"/>
    <s v="CDA LAURELES  #20-SN"/>
    <s v="Loma Bonita"/>
    <s v="México"/>
    <s v="Valle De Bravo"/>
    <m/>
    <s v="Ver en mapa"/>
    <m/>
    <m/>
    <n v="14"/>
    <n v="14"/>
    <s v="Transferencia electrónica"/>
    <s v="100136001"/>
    <n v="3686.92"/>
    <n v="9170.73"/>
    <n v="1"/>
  </r>
  <r>
    <s v="001362"/>
    <s v="Región Estado México"/>
    <x v="0"/>
    <s v="000029"/>
    <s v="Colin Garduño Estefani"/>
    <x v="2"/>
    <x v="2"/>
    <s v="01"/>
    <s v="ESTRADA CRUZ BEATRIZ"/>
    <d v="2025-06-03T00:00:00"/>
    <d v="2026-05-05T00:00:00"/>
    <n v="25000"/>
    <n v="26335.19"/>
    <n v="112"/>
    <x v="0"/>
    <n v="24"/>
    <s v="Catorcenal"/>
    <n v="2037.7"/>
    <n v="1392"/>
    <n v="5153.43"/>
    <n v="15"/>
    <n v="9"/>
    <n v="19751.39"/>
    <n v="23434.763800000001"/>
    <n v="9875.69"/>
    <n v="7941.64"/>
    <n v="464"/>
    <n v="5153.43"/>
    <n v="700"/>
    <d v="2025-10-14T00:00:00"/>
    <s v="Entregado"/>
    <n v="7293511678"/>
    <s v="beatriz.e89@gmail.com"/>
    <m/>
    <s v="COMPRAVENTA DE ROPA"/>
    <n v="6211023"/>
    <s v="SANEMO SANCHEZ PEDRO"/>
    <s v="7293511678.0"/>
    <s v="JOSEFINA CRUZ FRUTIS"/>
    <s v="7225023325"/>
    <s v="MARIA GUADALUPE OLIVEROS CHAMORRO"/>
    <s v="7295970168"/>
    <s v="PEDRAZA NAVA REYNA"/>
    <s v="7235672081"/>
    <m/>
    <m/>
    <m/>
    <m/>
    <m/>
    <m/>
    <n v="41252.1"/>
    <n v="0"/>
    <n v="1"/>
    <s v="Individual sin Garantía"/>
    <s v="LAZARO CARDENAS  #SN"/>
    <s v="La Capilla"/>
    <s v="México"/>
    <s v="Valle De Bravo"/>
    <s v="19°12'07.3&quot;N 100°07'39.6&quot;W"/>
    <s v="Ver en mapa"/>
    <m/>
    <m/>
    <n v="12"/>
    <n v="11"/>
    <s v="Transferencia electrónica"/>
    <s v="100136201"/>
    <n v="19751.39"/>
    <n v="41252.1"/>
    <n v="0.56808656529000956"/>
  </r>
  <r>
    <s v="001490"/>
    <s v="Región Estado México"/>
    <x v="3"/>
    <s v="000042"/>
    <s v="Avila Nieto Luis Alfredo"/>
    <x v="3"/>
    <x v="3"/>
    <s v="01"/>
    <s v="FACIO VARA LUZ MARIA"/>
    <d v="2025-07-10T00:00:00"/>
    <d v="2026-01-10T00:00:00"/>
    <n v="5000"/>
    <n v="5267.04"/>
    <n v="111"/>
    <x v="0"/>
    <n v="6"/>
    <s v="Mensual"/>
    <n v="1322.42"/>
    <n v="348"/>
    <n v="2780.42"/>
    <n v="0"/>
    <n v="4"/>
    <n v="4389.2"/>
    <n v="8012.09"/>
    <n v="3511.36"/>
    <n v="1546.31"/>
    <n v="174"/>
    <n v="2780.42"/>
    <n v="500"/>
    <d v="2025-12-03T00:00:00"/>
    <s v="Entregado"/>
    <n v="7223150550"/>
    <s v="2305luzfacio@gmail.com"/>
    <m/>
    <s v="TIENDA DE ABARROTES Y MISCELANEA"/>
    <n v="6131023"/>
    <m/>
    <m/>
    <s v="JOSE JUAN FACIO VARA"/>
    <s v="7227861311"/>
    <s v="DULCE CRISTINA FACIO VARA"/>
    <s v="7295040120"/>
    <s v="MARINA VARA FUENTES"/>
    <s v="5532502067"/>
    <m/>
    <m/>
    <m/>
    <m/>
    <m/>
    <m/>
    <n v="9276.5"/>
    <n v="0"/>
    <n v="1"/>
    <s v="Individual sin Garantía"/>
    <s v="LA VALENCIANA #SN"/>
    <s v="San Francisco"/>
    <s v="México"/>
    <s v="Villa Guerrero"/>
    <s v="18°56'00.7&quot;N 99°38'40.3&quot;W"/>
    <s v="Ver en mapa"/>
    <m/>
    <m/>
    <n v="5"/>
    <n v="5"/>
    <s v="Transferencia electrónica"/>
    <s v="100149001"/>
    <n v="4389.2"/>
    <n v="9276.5"/>
    <n v="0.86369751522664795"/>
  </r>
  <r>
    <s v="001333"/>
    <s v="Región Estado México"/>
    <x v="3"/>
    <s v="000041"/>
    <s v="Martinez Perez Juan Daniel"/>
    <x v="3"/>
    <x v="3"/>
    <s v="01"/>
    <s v="CASTAÑEDA PADILLA IVETTE"/>
    <d v="2025-05-22T00:00:00"/>
    <d v="2025-11-06T00:00:00"/>
    <n v="5000"/>
    <n v="5267.04"/>
    <n v="110"/>
    <x v="0"/>
    <n v="12"/>
    <s v="Catorcenal"/>
    <n v="673.4"/>
    <n v="696"/>
    <n v="2900"/>
    <n v="12"/>
    <n v="5"/>
    <n v="2194.6"/>
    <n v="6430.81"/>
    <n v="2194.6"/>
    <n v="882.4"/>
    <n v="453.81"/>
    <n v="2900"/>
    <n v="675"/>
    <d v="2025-08-28T00:00:00"/>
    <s v="Entregado"/>
    <n v="7298803794"/>
    <s v="ivettecastaneda@gmail.com"/>
    <m/>
    <s v="RESTAURANTE"/>
    <n v="8711021"/>
    <m/>
    <m/>
    <s v="CLEMENTE GALINDO"/>
    <s v="7221196228"/>
    <s v="MAYRA CORTES"/>
    <s v="7222459682"/>
    <s v="JAZMIN PEREZ"/>
    <s v="7225119418"/>
    <m/>
    <m/>
    <m/>
    <m/>
    <m/>
    <m/>
    <n v="6430.81"/>
    <n v="0"/>
    <n v="1"/>
    <s v="Individual sin Garantía"/>
    <s v="CALLE JAIME TORRES #SN"/>
    <s v="San Nicolás"/>
    <s v="México"/>
    <s v="Tenancingo"/>
    <m/>
    <s v="Ver en mapa"/>
    <m/>
    <m/>
    <n v="9"/>
    <n v="9"/>
    <s v="Transferencia electrónica"/>
    <s v="100133301"/>
    <n v="2194.6"/>
    <n v="6430.81"/>
    <n v="1"/>
  </r>
  <r>
    <s v="001765"/>
    <s v="Región Estado México"/>
    <x v="3"/>
    <s v="000042"/>
    <s v="Avila Nieto Luis Alfredo"/>
    <x v="3"/>
    <x v="3"/>
    <s v="01"/>
    <s v="CAMACHO PEDROZA LIZETH VALERIA"/>
    <d v="2025-08-14T00:00:00"/>
    <d v="2026-02-14T00:00:00"/>
    <n v="10000"/>
    <n v="10534.08"/>
    <n v="106"/>
    <x v="0"/>
    <n v="6"/>
    <s v="Mensual"/>
    <n v="2586.83"/>
    <n v="348"/>
    <n v="2320"/>
    <n v="0"/>
    <n v="3.6"/>
    <n v="10365.23"/>
    <n v="11667.34"/>
    <n v="6853.87"/>
    <n v="2319.46"/>
    <n v="174.01"/>
    <n v="2320"/>
    <n v="1000"/>
    <d v="2025-10-25T00:00:00"/>
    <s v="Entregado"/>
    <n v="7201474818"/>
    <s v="valerializeth.campedroza@gmail.com"/>
    <m/>
    <s v="CULTIVO DE FLORES Y PLANTAS DE ORNATO"/>
    <n v="131011"/>
    <s v="CRUZ CHAVEZ LINO ARTURO"/>
    <m/>
    <s v="MARIBEL PEDROZA CASTREJON"/>
    <s v="7224658183"/>
    <s v="ANA XIMENA CAMACHO PEDROZA"/>
    <s v="7221315918"/>
    <s v="FERNANDO CRUZ CHAVEZ"/>
    <s v="7224592356"/>
    <m/>
    <m/>
    <m/>
    <m/>
    <m/>
    <m/>
    <n v="16725.009999999998"/>
    <n v="0"/>
    <n v="1"/>
    <s v="Individual sin Garantía"/>
    <s v="CJON ADOLFO LOPEZ MATEOS #SN"/>
    <s v="Santa Ana Ixtlahuatzingo (Santa Ana)"/>
    <s v="México"/>
    <s v="Tenancingo"/>
    <s v="18°58'17.3&quot;N 99°37'55.7&quot;W"/>
    <s v="Ver en mapa"/>
    <m/>
    <m/>
    <n v="4"/>
    <n v="4"/>
    <s v="Transferencia electrónica"/>
    <s v="100176501"/>
    <n v="10365.23"/>
    <n v="16725.009999999998"/>
    <n v="0.69759838708616606"/>
  </r>
  <r>
    <s v="001540"/>
    <s v="Región Estado México"/>
    <x v="3"/>
    <s v="000041"/>
    <s v="Martinez Perez Juan Daniel"/>
    <x v="3"/>
    <x v="3"/>
    <s v="01"/>
    <s v="GARCES PACHECO ISABEL"/>
    <d v="2025-07-15T00:00:00"/>
    <d v="2026-07-15T00:00:00"/>
    <n v="10000"/>
    <n v="10534.08"/>
    <n v="106"/>
    <x v="0"/>
    <n v="12"/>
    <s v="Mensual"/>
    <n v="1702.69"/>
    <n v="696"/>
    <n v="2320"/>
    <n v="0"/>
    <n v="3.2"/>
    <n v="9043.7800000000007"/>
    <n v="7693.46"/>
    <n v="2898.9"/>
    <n v="2300.56"/>
    <n v="174"/>
    <n v="2320"/>
    <n v="2000"/>
    <d v="2025-11-14T00:00:00"/>
    <s v="Entregado"/>
    <n v="7223455461"/>
    <s v="isabelgarces3@gmail.com"/>
    <m/>
    <s v="FABRICACION DE PAN Y PASTELES"/>
    <n v="2071017"/>
    <s v="PALOMARES CRUZ ROBERTO VICTOR"/>
    <m/>
    <s v="ANA ROSA PALOMARES GARCES"/>
    <s v="7228600375"/>
    <s v="GABRIELA MICHEL PALOMARES"/>
    <s v="5530791723"/>
    <s v="ANAYELI OFELIA PALOMARES GARCES"/>
    <s v="7205832505"/>
    <m/>
    <m/>
    <m/>
    <m/>
    <m/>
    <m/>
    <n v="19206.3"/>
    <n v="0"/>
    <n v="1"/>
    <s v="Individual sin Garantía"/>
    <s v="GUERRERO #SN"/>
    <s v="Tecomatlán (San Miguel Tecomatlán)"/>
    <s v="México"/>
    <s v="Tenancingo"/>
    <s v="18°58'58.3&quot;N 99°31'37.3&quot;W"/>
    <s v="Ver en mapa"/>
    <m/>
    <m/>
    <n v="5"/>
    <n v="5"/>
    <s v="Transferencia electrónica"/>
    <s v="100154001"/>
    <n v="9043.7800000000007"/>
    <n v="19206.3"/>
    <n v="0.40056960476510312"/>
  </r>
  <r>
    <s v="001340"/>
    <s v="Región Estado México"/>
    <x v="3"/>
    <s v="000042"/>
    <s v="Avila Nieto Luis Alfredo"/>
    <x v="3"/>
    <x v="3"/>
    <s v="01"/>
    <s v="FIGUEROA VARA MARIA EUGENIA"/>
    <d v="2025-05-26T00:00:00"/>
    <d v="2025-09-15T00:00:00"/>
    <n v="5000"/>
    <n v="5267.04"/>
    <n v="106"/>
    <x v="0"/>
    <n v="16"/>
    <s v="Semanal"/>
    <n v="475.43"/>
    <n v="928"/>
    <n v="0"/>
    <n v="16"/>
    <n v="0.1"/>
    <n v="26.89"/>
    <n v="490.89"/>
    <n v="26.89"/>
    <n v="0"/>
    <n v="464"/>
    <n v="0"/>
    <n v="478"/>
    <d v="2025-11-06T00:00:00"/>
    <s v="Entregado"/>
    <n v="7201686870"/>
    <s v="mariafigueroa151168@gmail.com"/>
    <m/>
    <s v="COMPRAVENTA DE CALZADO"/>
    <n v="6212013"/>
    <m/>
    <m/>
    <s v="GABRIELA DOMINGUEZ VELAZQUEZ"/>
    <s v="7228634600"/>
    <s v="JORGE AYALA VILLA"/>
    <s v="7228634600"/>
    <s v="CARMEN GUARDA VAZQUEZ"/>
    <s v="5564729233"/>
    <m/>
    <m/>
    <m/>
    <m/>
    <m/>
    <m/>
    <n v="490.89"/>
    <n v="0"/>
    <n v="1"/>
    <s v="Individual sin Garantía"/>
    <s v="PROL OBREGON PASANDO EL PUENT #49-SN"/>
    <s v="El Progreso"/>
    <s v="México"/>
    <s v="Ixtapan De La Sal"/>
    <m/>
    <s v="Ver en mapa"/>
    <m/>
    <m/>
    <n v="18"/>
    <n v="17"/>
    <s v="Transferencia electrónica"/>
    <s v="100134001"/>
    <n v="26.89"/>
    <n v="490.89"/>
    <n v="1"/>
  </r>
  <r>
    <s v="001439"/>
    <s v="Región Estado México"/>
    <x v="3"/>
    <s v="000041"/>
    <s v="Martinez Perez Juan Daniel"/>
    <x v="3"/>
    <x v="3"/>
    <s v="01"/>
    <s v="CHAVEZ PEDROZA IRENE"/>
    <d v="2025-06-24T00:00:00"/>
    <d v="2025-12-09T00:00:00"/>
    <n v="8000"/>
    <n v="8427.26"/>
    <n v="104"/>
    <x v="0"/>
    <n v="12"/>
    <s v="Catorcenal"/>
    <n v="1042.6400000000001"/>
    <n v="696"/>
    <n v="4060"/>
    <n v="12"/>
    <n v="7"/>
    <n v="4915.9000000000005"/>
    <n v="11379.69"/>
    <n v="4915.9000000000005"/>
    <n v="1976.58"/>
    <n v="427.21"/>
    <n v="4060"/>
    <n v="1650"/>
    <d v="2025-09-05T00:00:00"/>
    <s v="Entregado"/>
    <n v="7122231528"/>
    <s v="irenechavez01843@hotmail.com"/>
    <m/>
    <s v="EMPLEADO PRIVADO"/>
    <n v="8944098"/>
    <s v="GUADARRAMA GARCIA CARLOS"/>
    <m/>
    <s v="MAGALI SANCHEZ CASTILLO"/>
    <s v="7225205121"/>
    <s v="JUANA DEL ROSARIO MARTINEZ"/>
    <s v="7222024897"/>
    <s v="PABLO CABRERA SANCHEZ"/>
    <s v="7228353081"/>
    <m/>
    <m/>
    <m/>
    <m/>
    <m/>
    <m/>
    <n v="11379.69"/>
    <n v="0"/>
    <n v="1"/>
    <s v="Individual sin Garantía"/>
    <s v="C SIN NOMBRE  #SN"/>
    <s v="La Ocotalera cu"/>
    <s v="México"/>
    <s v="Tenancingo"/>
    <s v="18°57'57.5&quot;N 99°36'07.0&quot;W"/>
    <s v="Ver en mapa"/>
    <m/>
    <m/>
    <n v="9"/>
    <n v="9"/>
    <s v="Transferencia electrónica"/>
    <s v="100143901"/>
    <n v="4915.9000000000005"/>
    <n v="11379.69"/>
    <n v="1"/>
  </r>
  <r>
    <s v="001408"/>
    <s v="Región Estado México"/>
    <x v="1"/>
    <s v="000044"/>
    <s v="Gonzalez Irala Jesus"/>
    <x v="6"/>
    <x v="6"/>
    <s v="01"/>
    <s v="MIRAFUENTES GONZALEZ ALAN YAMIR"/>
    <d v="2025-06-17T00:00:00"/>
    <d v="2025-12-17T00:00:00"/>
    <n v="10000"/>
    <n v="10534.08"/>
    <n v="104"/>
    <x v="0"/>
    <n v="6"/>
    <s v="Mensual"/>
    <n v="2582.63"/>
    <n v="348"/>
    <n v="2320"/>
    <n v="0"/>
    <n v="3.9"/>
    <n v="7022.72"/>
    <n v="12312.17"/>
    <n v="7022.72"/>
    <n v="2795.45"/>
    <n v="174"/>
    <n v="2320"/>
    <n v="1000"/>
    <d v="2025-11-27T00:00:00"/>
    <s v="Entregado"/>
    <n v="7201031689"/>
    <s v="titog0369@gmail.com"/>
    <m/>
    <s v="SALON DE BELLEZA"/>
    <n v="8933013"/>
    <m/>
    <m/>
    <s v="JAVIER ACOSTA"/>
    <s v="7205964302"/>
    <s v="SANTOS GONZALEZ"/>
    <s v="7221416489"/>
    <s v="VICTOR CALLEJAS"/>
    <s v="7205747763"/>
    <m/>
    <m/>
    <m/>
    <m/>
    <m/>
    <m/>
    <n v="12312.17"/>
    <n v="0"/>
    <n v="1"/>
    <s v="Individual sin Garantía"/>
    <s v="INDEPENCIA  #38-SN"/>
    <s v="San Pedro Cholula"/>
    <s v="México"/>
    <s v="Ocoyoacac"/>
    <s v="19°15'51.3&quot;N 99°29'12.7&quot;W"/>
    <s v="Ver en mapa"/>
    <m/>
    <m/>
    <n v="6"/>
    <n v="6"/>
    <s v="Transferencia electrónica"/>
    <s v="100140801"/>
    <n v="7022.72"/>
    <n v="12312.17"/>
    <n v="1"/>
  </r>
  <r>
    <s v="001256"/>
    <s v="Región Estado México"/>
    <x v="2"/>
    <s v="000037"/>
    <s v="CREDIFLEXI CREDIFLEXI CREDIFLEXI"/>
    <x v="1"/>
    <x v="1"/>
    <s v="01"/>
    <s v="GARFIAS MARTINEZ MARIA ADRIANA"/>
    <d v="2025-04-16T00:00:00"/>
    <d v="2026-04-16T00:00:00"/>
    <n v="10000"/>
    <n v="10534.08"/>
    <n v="104"/>
    <x v="0"/>
    <n v="12"/>
    <s v="Mensual"/>
    <n v="1702.69"/>
    <n v="696"/>
    <n v="2320"/>
    <n v="0"/>
    <n v="3.2"/>
    <n v="6509.34"/>
    <n v="7792.5341013333336"/>
    <n v="2997.98"/>
    <n v="2300.5500000000002"/>
    <n v="174"/>
    <n v="2320"/>
    <n v="500"/>
    <d v="2025-12-11T00:00:00"/>
    <s v="Entregado"/>
    <n v="4472218943"/>
    <s v="garfiasmartinezmariaadriana@gmail.com"/>
    <m/>
    <s v="EMPLEADO PRIVADO"/>
    <n v="8944098"/>
    <m/>
    <m/>
    <s v="ROSARIO GUERRA SOTO"/>
    <s v="4471155225"/>
    <s v="LUZ MARIA MARTINEZ CORDOBA"/>
    <s v="4471153604"/>
    <s v="ALICIA YASMIN GONZALEZ"/>
    <s v="4434603050"/>
    <m/>
    <m/>
    <m/>
    <m/>
    <m/>
    <m/>
    <n v="14371.3"/>
    <n v="0"/>
    <n v="1"/>
    <s v="Individual sin Garantía"/>
    <s v="MORELIA #218-SN"/>
    <s v="Melchor Ocampo"/>
    <s v="Michoacán"/>
    <s v="Maravatio"/>
    <m/>
    <s v="Ver en mapa"/>
    <m/>
    <m/>
    <n v="6"/>
    <n v="6"/>
    <s v="Transferencia electrónica"/>
    <s v="100125601"/>
    <n v="6509.34"/>
    <n v="14371.3"/>
    <n v="0.54222889379063366"/>
  </r>
  <r>
    <s v="001492"/>
    <s v="Región Estado México"/>
    <x v="1"/>
    <s v="000043"/>
    <s v="Cedillo Gonzalez Hugo"/>
    <x v="6"/>
    <x v="6"/>
    <s v="01"/>
    <s v="MONTES ZEPEDA GRACIELA ESMERALDA"/>
    <d v="2025-07-10T00:00:00"/>
    <d v="2025-12-25T00:00:00"/>
    <n v="5000"/>
    <n v="5267.04"/>
    <n v="103"/>
    <x v="0"/>
    <n v="12"/>
    <s v="Catorcenal"/>
    <n v="673.4"/>
    <n v="696"/>
    <n v="4640"/>
    <n v="12"/>
    <n v="8"/>
    <n v="3511.36"/>
    <n v="10024.81"/>
    <n v="3511.36"/>
    <n v="1411.85"/>
    <n v="461.6"/>
    <n v="4640"/>
    <n v="674"/>
    <d v="2025-09-04T00:00:00"/>
    <s v="Entregado"/>
    <n v="7226795168"/>
    <s v="esmeraldamonteszepeda@gmail.com"/>
    <m/>
    <s v="COMPRAVENTA DE ROPA"/>
    <n v="6211023"/>
    <s v="CARREÑO ANAYA IVAN"/>
    <m/>
    <s v="QUETZALIN ALICE CORTEZ"/>
    <s v="7224647788"/>
    <s v="IVAN CARREÑO ANAYA"/>
    <s v="7226795168"/>
    <s v="ESTHELA ZEPEDA SANCHEZ"/>
    <s v="7223477860"/>
    <m/>
    <m/>
    <m/>
    <m/>
    <m/>
    <m/>
    <n v="10024.81"/>
    <n v="0"/>
    <n v="1"/>
    <s v="Individual sin Garantía"/>
    <s v="NICOLAS BRAVO #192-SN"/>
    <s v="San Miguel"/>
    <s v="México"/>
    <s v="Metepec"/>
    <s v="19°14'56.8&quot;N 99°35'25.7&quot;W"/>
    <s v="Ver en mapa"/>
    <m/>
    <m/>
    <n v="8"/>
    <n v="8"/>
    <s v="Transferencia electrónica"/>
    <s v="100149201"/>
    <n v="3511.36"/>
    <n v="10024.81"/>
    <n v="1"/>
  </r>
  <r>
    <s v="001807"/>
    <s v="Región Estado México"/>
    <x v="3"/>
    <s v="000042"/>
    <s v="Avila Nieto Luis Alfredo"/>
    <x v="3"/>
    <x v="3"/>
    <s v="01"/>
    <s v="JIMENEZ VIQUEZ ALEJANDRA"/>
    <d v="2025-08-22T00:00:00"/>
    <d v="2026-02-06T00:00:00"/>
    <n v="10000"/>
    <n v="10534.08"/>
    <n v="102"/>
    <x v="0"/>
    <n v="12"/>
    <s v="Catorcenal"/>
    <n v="1288.8"/>
    <n v="696"/>
    <n v="4640"/>
    <n v="9"/>
    <n v="8"/>
    <n v="9656.24"/>
    <n v="14950.42"/>
    <n v="7022.72"/>
    <n v="2823.7"/>
    <n v="464"/>
    <n v="4640"/>
    <n v="1288.8"/>
    <d v="2025-09-05T00:00:00"/>
    <s v="Entregado"/>
    <n v="7222950728"/>
    <s v="alem.viq@gmail.com"/>
    <m/>
    <s v="SERVICIOS DE ALIMENTOS EN LENCERIAS TAQUERIAS Y TORTERIAS"/>
    <n v="8712011"/>
    <s v="ACEVEDO GOMEZ WILVER OMAR"/>
    <m/>
    <s v="GRISELDA MERIDA GARCIA"/>
    <s v="7224239669"/>
    <s v="INOSENTA LOPEZ VELAZCO"/>
    <s v="7294677816"/>
    <s v="MIGUEL LOPEZ MARTINEZ"/>
    <s v="7224673273"/>
    <m/>
    <m/>
    <m/>
    <m/>
    <m/>
    <m/>
    <n v="18642.82"/>
    <n v="0"/>
    <n v="1"/>
    <s v="Individual sin Garantía"/>
    <s v="PABLO GONZALEZ CASANOVA #39-SN"/>
    <s v="Tenancingo de Degollado Centro"/>
    <s v="México"/>
    <s v="Tenancingo"/>
    <s v="18°57'51.9&quot;N 99°35'36.2&quot;W"/>
    <s v="Ver en mapa"/>
    <m/>
    <m/>
    <n v="8"/>
    <n v="8"/>
    <s v="Transferencia electrónica"/>
    <s v="100180701"/>
    <n v="9656.24"/>
    <n v="18642.82"/>
    <n v="0.80193983528243051"/>
  </r>
  <r>
    <s v="001420"/>
    <s v="Región Estado México"/>
    <x v="3"/>
    <s v="000042"/>
    <s v="Avila Nieto Luis Alfredo"/>
    <x v="3"/>
    <x v="3"/>
    <s v="01"/>
    <s v="GUADARRAMA LOPEZ MARIA EUGENIA"/>
    <d v="2025-06-19T00:00:00"/>
    <d v="2026-06-19T00:00:00"/>
    <n v="25000"/>
    <n v="26335.19"/>
    <n v="102"/>
    <x v="0"/>
    <n v="12"/>
    <s v="Mensual"/>
    <n v="4169.7299999999996"/>
    <n v="696"/>
    <n v="2320"/>
    <n v="0"/>
    <n v="3.3"/>
    <n v="20920.57"/>
    <n v="15998.3670721667"/>
    <n v="7752.98"/>
    <n v="5751.39"/>
    <n v="174"/>
    <n v="2320"/>
    <n v="2000"/>
    <d v="2025-12-10T00:00:00"/>
    <s v="Entregado"/>
    <n v="7228603189"/>
    <s v="marug6737@gmail.com"/>
    <m/>
    <s v="RESTAURANTE"/>
    <n v="8711021"/>
    <s v="MILLAN HERRERA JOSE MIGUEL"/>
    <m/>
    <s v="VIANEY JACINTO DIAZ"/>
    <s v="7228603189"/>
    <s v="JUANA DIAZ HERNANDEZ"/>
    <s v="7224516487"/>
    <s v="JOSE ANGEL GARCIA VERA"/>
    <s v="7294881432"/>
    <m/>
    <m/>
    <m/>
    <m/>
    <m/>
    <m/>
    <n v="40668.730000000003"/>
    <n v="0"/>
    <n v="1"/>
    <s v="Individual sin Garantía"/>
    <s v="PROL RAYON #SN"/>
    <s v="Villa Guerrero"/>
    <s v="México"/>
    <s v="Villa Guerrero"/>
    <s v="18°57'33.5&quot;N 99°38'21.2&quot;W"/>
    <s v="Ver en mapa"/>
    <m/>
    <m/>
    <n v="4"/>
    <n v="4"/>
    <s v="Transferencia electrónica"/>
    <s v="100142001"/>
    <n v="20920.57"/>
    <n v="40668.730000000003"/>
    <n v="0.39338250966201049"/>
  </r>
  <r>
    <s v="001612"/>
    <s v="Región Estado México"/>
    <x v="3"/>
    <s v="000042"/>
    <s v="Avila Nieto Luis Alfredo"/>
    <x v="3"/>
    <x v="3"/>
    <s v="01"/>
    <s v="NOVERON MARTINEZ HAZURI ARANZAZU"/>
    <d v="2025-07-23T00:00:00"/>
    <d v="2026-01-23T00:00:00"/>
    <n v="10000"/>
    <n v="10534.08"/>
    <n v="98"/>
    <x v="0"/>
    <n v="6"/>
    <s v="Mensual"/>
    <n v="2586.83"/>
    <n v="348"/>
    <n v="2320"/>
    <n v="0"/>
    <n v="4"/>
    <n v="8779.23"/>
    <n v="12668.1732693333"/>
    <n v="7023.55"/>
    <n v="3092.62"/>
    <n v="232"/>
    <n v="2320"/>
    <n v="2586"/>
    <d v="2025-08-25T00:00:00"/>
    <s v="Entregado"/>
    <n v="7299320496"/>
    <s v="noveronaranza622@gmail.com"/>
    <m/>
    <s v="FABRICACION DE PAN Y PASTELES"/>
    <n v="2071017"/>
    <s v="ARRIAGA NAVA FRANCISCO"/>
    <m/>
    <s v="SABDI SINAHI MARTINEZ SUAREZ"/>
    <s v="7227716303"/>
    <s v="FRANCISCO ARRIAGA NAVA"/>
    <s v="7203867108"/>
    <s v="MICAELA NOVERON MARTINEZ"/>
    <s v="7146904661"/>
    <m/>
    <m/>
    <m/>
    <m/>
    <m/>
    <m/>
    <n v="15197.01"/>
    <n v="0"/>
    <n v="1"/>
    <s v="Individual sin Garantía"/>
    <s v="ALDAMA  #54-3"/>
    <s v="Villa Guerrero"/>
    <s v="México"/>
    <s v="Villa Guerrero"/>
    <s v="18°57'54.7&quot;N 99°38'26.9&quot;W"/>
    <s v="Ver en mapa"/>
    <m/>
    <m/>
    <n v="4"/>
    <n v="4"/>
    <s v="Transferencia electrónica"/>
    <s v="100161201"/>
    <n v="8779.23"/>
    <n v="15197.01"/>
    <n v="0.83359642912212994"/>
  </r>
  <r>
    <s v="001587"/>
    <s v="Región Estado México"/>
    <x v="3"/>
    <s v="000042"/>
    <s v="Avila Nieto Luis Alfredo"/>
    <x v="3"/>
    <x v="3"/>
    <s v="01"/>
    <s v="MONTERO BRAVO AARON"/>
    <d v="2025-07-17T00:00:00"/>
    <d v="2026-01-01T00:00:00"/>
    <n v="10000"/>
    <n v="10534.08"/>
    <n v="96"/>
    <x v="0"/>
    <n v="12"/>
    <s v="Catorcenal"/>
    <n v="1288.8"/>
    <n v="696"/>
    <n v="3480"/>
    <n v="11"/>
    <n v="6.1000000000000014"/>
    <n v="6312.89"/>
    <n v="11380.8209792"/>
    <n v="5435.05"/>
    <n v="2117.77"/>
    <n v="348"/>
    <n v="3480"/>
    <n v="500"/>
    <d v="2025-10-22T00:00:00"/>
    <s v="Entregado"/>
    <n v="7145498442"/>
    <s v="monterobravoaaron06@gmail.com"/>
    <m/>
    <s v="CULTIVO DE FLORES Y PLANTAS DE ORNATO"/>
    <n v="131011"/>
    <s v="MENDEZ SANDOVAL YOVANA ROCIO"/>
    <m/>
    <s v="MIKE RODRIGUEZ RODRIGUEZ"/>
    <s v="7291195882"/>
    <s v="YOVANA ROCIO MENDEZ SANDOVAL"/>
    <s v="7145493921"/>
    <s v="MARIA DEL SOCORRO TRUJILLO GONZALEZ"/>
    <s v="7291464902"/>
    <m/>
    <m/>
    <m/>
    <m/>
    <m/>
    <m/>
    <n v="12611.62"/>
    <n v="0"/>
    <n v="1"/>
    <s v="Individual sin Garantía"/>
    <s v="LOS PINOS #SN"/>
    <s v="El Islote"/>
    <s v="México"/>
    <s v="Villa Guerrero"/>
    <s v="18°58'10.4&quot;N 99°39'42.0&quot;W"/>
    <s v="Ver en mapa"/>
    <m/>
    <m/>
    <n v="11"/>
    <n v="11"/>
    <s v="Transferencia electrónica"/>
    <s v="100158701"/>
    <n v="6312.89"/>
    <n v="12611.62"/>
    <n v="0.90240753996710965"/>
  </r>
  <r>
    <s v="001194"/>
    <s v="Región Estado México"/>
    <x v="0"/>
    <s v="000029"/>
    <s v="Colin Garduño Estefani"/>
    <x v="2"/>
    <x v="2"/>
    <s v="01"/>
    <s v="GOMEZ TAGLE HUERTA FRANCISCO ABDIEL"/>
    <d v="2025-02-26T00:00:00"/>
    <d v="2026-02-26T00:00:00"/>
    <n v="35000"/>
    <n v="36869.269999999997"/>
    <n v="95"/>
    <x v="0"/>
    <n v="12"/>
    <s v="Mensual"/>
    <n v="6532.14"/>
    <n v="696"/>
    <n v="2320"/>
    <n v="0"/>
    <n v="3.5"/>
    <n v="18278.63"/>
    <n v="24832.853973611102"/>
    <n v="12133.75"/>
    <n v="10205.1"/>
    <n v="174"/>
    <n v="2320"/>
    <n v="2000"/>
    <d v="2025-12-12T00:00:00"/>
    <s v="Entregado"/>
    <n v="7225031264"/>
    <s v="franciscoagth@hotmail.com"/>
    <m/>
    <s v="COMPRAVENTA DE MEDICINAS"/>
    <n v="6231013"/>
    <s v="CASTRO CAMPOS BEATRIZ"/>
    <m/>
    <s v="CELIA BARCENAS VILCHIS"/>
    <s v="7221846492"/>
    <s v="OLGA MARIA SANTILLAN FLORES"/>
    <s v="7228507375"/>
    <s v="DAMARIS JANET LEMUS ORTIZ"/>
    <s v="DAMARIS JANET LEMUS ORTIZ"/>
    <s v="Garantía Prendaria"/>
    <s v="TITULO EXPEDIDO  POR COMMONWEALTH OF PENNSYLVANIA, , , , Valor 26,251.00, Nombre VEHICULO SW, Folio Factura 50829795103 TI, Fecha Factura 30/03/2007, Número de serie 1C4GP54R9VB331168, Número de motor SN, Modelo 1997, Marca CHRYSLER, Propietario GOMEZ TAGLE HUERTA FRANCISCO ABDIEL"/>
    <s v="VEHICULO SW"/>
    <s v="Garantía Prendaria"/>
    <s v="TITULO EXPEDIDO POR TEXAS CERTIFICATE OF TITLE, Valor 25,000.00, Nombre VEHICULO SABLE, Folio Factura 01525736137152854, Fecha Factura 23/12/1998, Número de serie 1MELM50U5TA643085, Número de motor SN, Modelo 1996, Marca MERCURY, Propietario GOMEZ TAGLE HUERTA FRANCISCO ABDIEL"/>
    <s v="VEHICULO SABLE"/>
    <n v="37781.14"/>
    <n v="0"/>
    <n v="1"/>
    <s v="Individual sin Garantía"/>
    <s v="EL LOBO SOLITARIO #SN"/>
    <s v="Santa María Pipioltepec (Pipioltepec)"/>
    <s v="México"/>
    <s v="Valle De Bravo"/>
    <m/>
    <s v="Ver en mapa"/>
    <m/>
    <m/>
    <n v="8"/>
    <n v="8"/>
    <s v="Transferencia electrónica"/>
    <s v="100119401"/>
    <n v="18278.63"/>
    <n v="37781.14"/>
    <n v="0.65728175416652601"/>
  </r>
  <r>
    <s v="001166"/>
    <s v="Región Estado México"/>
    <x v="1"/>
    <s v="000037"/>
    <s v="CREDIFLEXI CREDIFLEXI CREDIFLEXI"/>
    <x v="6"/>
    <x v="6"/>
    <s v="01"/>
    <s v="ALVAREZ CARMONA MARIA GUADALUPE"/>
    <d v="2025-04-28T00:00:00"/>
    <d v="2026-04-28T00:00:00"/>
    <n v="15000"/>
    <n v="15801.12"/>
    <n v="92"/>
    <x v="0"/>
    <n v="12"/>
    <s v="Mensual"/>
    <n v="2525.04"/>
    <n v="696"/>
    <n v="2320"/>
    <n v="0"/>
    <n v="3.4"/>
    <n v="10226.51"/>
    <n v="10904.301152"/>
    <n v="4959.47"/>
    <n v="3450.83"/>
    <n v="174"/>
    <n v="2320"/>
    <n v="500"/>
    <d v="2025-12-11T00:00:00"/>
    <s v="Entregado"/>
    <n v="7225619622"/>
    <s v="ma.guadalupe68@gmail.com"/>
    <m/>
    <s v="SERVICIOS DE ALIMENTOS EN LENCERIAS TAQUERIAS Y TORTERIAS"/>
    <n v="8712011"/>
    <m/>
    <m/>
    <s v="EDITH LOPEZ"/>
    <s v="7223944200"/>
    <s v="LILIANA DIAZ"/>
    <s v="7226756628"/>
    <s v="MICHELL RIOS"/>
    <s v="7291409879"/>
    <m/>
    <m/>
    <m/>
    <m/>
    <m/>
    <m/>
    <n v="20772.45"/>
    <n v="0"/>
    <n v="1"/>
    <s v="Individual sin Garantía"/>
    <s v="JUAN ESCUTIA #103-SN"/>
    <s v="San Marcos Yachihuacaltepec"/>
    <s v="México"/>
    <s v="Toluca"/>
    <m/>
    <s v="Ver en mapa"/>
    <m/>
    <m/>
    <n v="7"/>
    <n v="7"/>
    <s v="Transferencia electrónica"/>
    <s v="100116601"/>
    <n v="10226.51"/>
    <n v="20772.45"/>
    <n v="0.52494054153458058"/>
  </r>
  <r>
    <s v="001443"/>
    <s v="Región Estado México"/>
    <x v="1"/>
    <s v="000044"/>
    <s v="Gonzalez Irala Jesus"/>
    <x v="6"/>
    <x v="6"/>
    <s v="01"/>
    <s v="DAVILA CRUZ EDGAR"/>
    <d v="2025-06-25T00:00:00"/>
    <d v="2025-12-10T00:00:00"/>
    <n v="7000"/>
    <n v="7373.85"/>
    <n v="90"/>
    <x v="1"/>
    <n v="12"/>
    <s v="Catorcenal"/>
    <n v="919.56000000000006"/>
    <n v="696"/>
    <n v="3480"/>
    <n v="12"/>
    <n v="5.9"/>
    <n v="3686.92"/>
    <n v="8872.73"/>
    <n v="3686.92"/>
    <n v="1357.8"/>
    <n v="348.01"/>
    <n v="3480"/>
    <n v="920"/>
    <d v="2025-11-28T00:00:00"/>
    <s v="Entregado"/>
    <n v="7226713715"/>
    <s v="gatitome1954@gmail.com"/>
    <m/>
    <s v="RESTAURANTE"/>
    <n v="8711021"/>
    <s v="LUCAS GONZALEZ MA. DEL CARMEN"/>
    <m/>
    <s v="ARIANA LUCAS GONZALEZ"/>
    <s v="7205505507"/>
    <s v="JUAN LUCAS GONZALEZ"/>
    <s v="7293140618"/>
    <s v="JANETH DAVILA CRUZ"/>
    <s v="7226570890"/>
    <m/>
    <m/>
    <m/>
    <m/>
    <m/>
    <m/>
    <n v="8872.73"/>
    <n v="0"/>
    <n v="1"/>
    <s v="Individual sin Garantía"/>
    <s v="CUITLAHUAC #202"/>
    <s v="San Juan de las Huertas cu"/>
    <s v="México"/>
    <s v="Zinacantepec"/>
    <s v="19°14'58.1&quot;N 99°45'38.9&quot;W"/>
    <s v="Ver en mapa"/>
    <m/>
    <m/>
    <n v="11"/>
    <n v="10"/>
    <s v="Transferencia electrónica"/>
    <s v="100144301"/>
    <n v="3686.92"/>
    <n v="8872.73"/>
    <n v="1"/>
  </r>
  <r>
    <s v="001316"/>
    <s v="Región Estado México"/>
    <x v="2"/>
    <s v="000037"/>
    <s v="CREDIFLEXI CREDIFLEXI CREDIFLEXI"/>
    <x v="1"/>
    <x v="1"/>
    <s v="01"/>
    <s v="FLORES LEYVA JOSE ALEXIS"/>
    <d v="2025-05-14T00:00:00"/>
    <d v="2025-10-29T00:00:00"/>
    <n v="5000"/>
    <n v="5267.04"/>
    <n v="90"/>
    <x v="1"/>
    <n v="24"/>
    <s v="Semanal"/>
    <n v="365.7"/>
    <n v="1392"/>
    <n v="2965.07"/>
    <n v="24"/>
    <n v="5"/>
    <n v="1097.3"/>
    <n v="5199.57"/>
    <n v="1097.3"/>
    <n v="441.2"/>
    <n v="696"/>
    <n v="2965.07"/>
    <n v="1825.24"/>
    <d v="2025-11-03T00:00:00"/>
    <s v="Entregado"/>
    <n v="5513324034"/>
    <s v="alexleyva998@gmail.com"/>
    <m/>
    <s v="TALLER DE REPARACION DE CALZADO"/>
    <n v="8921018"/>
    <m/>
    <m/>
    <s v="CRISTIAN JIMENEZ"/>
    <s v="4472173415"/>
    <s v="ADELAIDA GARCIA"/>
    <s v="4431669365"/>
    <s v="ANA KAREN MUÑOZ"/>
    <s v="5513104248"/>
    <m/>
    <m/>
    <m/>
    <m/>
    <m/>
    <m/>
    <n v="5199.57"/>
    <n v="0"/>
    <n v="1"/>
    <s v="Individual sin Garantía"/>
    <s v="AV DREN CASA BLANCA #53-SN"/>
    <s v="Maravatio"/>
    <s v="Michoacán"/>
    <s v="Maravatio"/>
    <m/>
    <s v="Ver en mapa"/>
    <m/>
    <m/>
    <n v="15"/>
    <n v="15"/>
    <s v="Transferencia electrónica"/>
    <s v="100131601"/>
    <n v="1097.3"/>
    <n v="5199.57"/>
    <n v="1"/>
  </r>
  <r>
    <s v="001300"/>
    <s v="Región Estado México"/>
    <x v="1"/>
    <s v="000037"/>
    <s v="CREDIFLEXI CREDIFLEXI CREDIFLEXI"/>
    <x v="6"/>
    <x v="6"/>
    <s v="01"/>
    <s v="SERRANO ALVAREZ BUENAVENTURA"/>
    <d v="2025-05-06T00:00:00"/>
    <d v="2026-05-06T00:00:00"/>
    <n v="10000"/>
    <n v="10534.08"/>
    <n v="85"/>
    <x v="1"/>
    <n v="12"/>
    <s v="Mensual"/>
    <n v="1702.69"/>
    <n v="696"/>
    <n v="1740"/>
    <n v="0"/>
    <n v="2.6"/>
    <n v="7022.72"/>
    <n v="6095.8423386666664"/>
    <n v="2633.52"/>
    <n v="1606.32"/>
    <n v="116"/>
    <n v="1740"/>
    <n v="800"/>
    <d v="2025-11-24T00:00:00"/>
    <s v="Entregado"/>
    <n v="5573771781"/>
    <s v="litzyjeanycerinocolin@gmai.com"/>
    <m/>
    <s v="TORTILLERIA"/>
    <n v="2093011"/>
    <m/>
    <m/>
    <s v="KAREN VERA"/>
    <s v="7223987277"/>
    <s v="URIEL ALAVAREZ"/>
    <s v="7226611760"/>
    <s v="RICARDO COLIN"/>
    <s v="7224760204"/>
    <m/>
    <m/>
    <m/>
    <m/>
    <m/>
    <m/>
    <n v="14319.3"/>
    <n v="0"/>
    <n v="1"/>
    <s v="Individual sin Garantía"/>
    <s v="CUAUHTEMOC #125-1"/>
    <s v="San José"/>
    <s v="México"/>
    <s v="Rayon"/>
    <m/>
    <s v="Ver en mapa"/>
    <m/>
    <m/>
    <n v="7"/>
    <n v="7"/>
    <s v="Transferencia electrónica"/>
    <s v="100130001"/>
    <n v="7022.72"/>
    <n v="14319.3"/>
    <n v="0.4257081239073604"/>
  </r>
  <r>
    <s v="001303"/>
    <s v="Región Estado México"/>
    <x v="3"/>
    <s v="000037"/>
    <s v="CREDIFLEXI CREDIFLEXI CREDIFLEXI"/>
    <x v="3"/>
    <x v="3"/>
    <s v="01"/>
    <s v="ALVAREZ ESQUIVEL MA DE LOURDES"/>
    <d v="2025-05-08T00:00:00"/>
    <d v="2026-05-08T00:00:00"/>
    <n v="10000"/>
    <n v="10534.08"/>
    <n v="83"/>
    <x v="1"/>
    <n v="24"/>
    <s v="Quincenal"/>
    <n v="880.35"/>
    <n v="1392"/>
    <n v="3958.11"/>
    <n v="0"/>
    <n v="6"/>
    <n v="6583.8"/>
    <n v="9182.19"/>
    <n v="2633.52"/>
    <n v="2300.56"/>
    <n v="290"/>
    <n v="3958.11"/>
    <n v="1500"/>
    <d v="2025-10-17T00:00:00"/>
    <s v="Entregado"/>
    <n v="7225060623"/>
    <s v="lulualvarezctll@gmail.com"/>
    <m/>
    <s v="EMPLEADO PRIVADO"/>
    <n v="8944098"/>
    <m/>
    <m/>
    <s v="SALVADOR PONCE PEREZ"/>
    <s v="7226978030"/>
    <s v="DIEGO CAMACHO"/>
    <s v="7221195350"/>
    <s v="MARIA DE LOS ANGELEZ MILLAN"/>
    <s v="7223544346"/>
    <m/>
    <m/>
    <m/>
    <m/>
    <m/>
    <m/>
    <n v="16583.3"/>
    <n v="0"/>
    <n v="1"/>
    <s v="Individual sin Garantía"/>
    <s v="CALLE LAZARO  CARDENAS SN #SN"/>
    <s v="Emiliano Zapata"/>
    <s v="México"/>
    <s v="Tenancingo"/>
    <m/>
    <s v="Ver en mapa"/>
    <m/>
    <m/>
    <n v="12"/>
    <n v="10"/>
    <s v="Transferencia electrónica"/>
    <s v="100130301"/>
    <n v="6583.8"/>
    <n v="16583.3"/>
    <n v="0.55370101246434666"/>
  </r>
  <r>
    <s v="001405"/>
    <s v="Región Estado México"/>
    <x v="4"/>
    <s v="000046"/>
    <s v="Pech Muñoz Oscar Adrian"/>
    <x v="1"/>
    <x v="1"/>
    <s v="01"/>
    <s v="ESPINOZA RUIZ MA TERESA"/>
    <d v="2025-06-16T00:00:00"/>
    <d v="2025-12-16T00:00:00"/>
    <n v="10000"/>
    <n v="10534.08"/>
    <n v="75"/>
    <x v="1"/>
    <n v="6"/>
    <s v="Mensual"/>
    <n v="2582.63"/>
    <n v="348"/>
    <n v="1160"/>
    <n v="0"/>
    <n v="2.7"/>
    <n v="5267.04"/>
    <n v="8194.7999999999993"/>
    <n v="5267.04"/>
    <n v="1651.76"/>
    <n v="116"/>
    <n v="1160"/>
    <n v="1292"/>
    <d v="2025-11-05T00:00:00"/>
    <s v="Entregado"/>
    <n v="7121352721"/>
    <s v="espinozatere682@gmail.com"/>
    <m/>
    <s v="COMPRAVENTA DE ROPA"/>
    <n v="6211023"/>
    <s v="MIRANDA LEGORRETA ALFONSO"/>
    <s v="7122420463.0"/>
    <s v="LUZ AIDE MONROY"/>
    <s v="7123382847"/>
    <s v="KARINA MENDOZA"/>
    <s v="7204361258"/>
    <s v="CESAR DE LA CRUZ"/>
    <s v="7121754870"/>
    <m/>
    <m/>
    <m/>
    <m/>
    <m/>
    <m/>
    <n v="8194.7999999999993"/>
    <n v="0"/>
    <n v="1"/>
    <s v="Individual sin Garantía"/>
    <s v="PROL PORFIRIO ALCANTARA B #108-SN"/>
    <s v="Cuatro Milpas"/>
    <s v="México"/>
    <s v="Atlacomulco"/>
    <s v="19°47'42.2&quot;N 99°53'01.2&quot;W"/>
    <s v="Ver en mapa"/>
    <m/>
    <m/>
    <n v="3"/>
    <n v="3"/>
    <s v="Transferencia electrónica"/>
    <s v="100140501"/>
    <n v="5267.04"/>
    <n v="8194.7999999999993"/>
    <n v="1"/>
  </r>
  <r>
    <s v="001251"/>
    <s v="Región Estado México"/>
    <x v="0"/>
    <s v="000037"/>
    <s v="CREDIFLEXI CREDIFLEXI CREDIFLEXI"/>
    <x v="2"/>
    <x v="2"/>
    <s v="01"/>
    <s v="ROCHA MERCADO MARIA TERESA"/>
    <d v="2025-04-16T00:00:00"/>
    <d v="2026-04-16T00:00:00"/>
    <n v="12000"/>
    <n v="12640.89"/>
    <n v="75"/>
    <x v="1"/>
    <n v="12"/>
    <s v="Mensual"/>
    <n v="2031.63"/>
    <n v="696"/>
    <n v="1740"/>
    <n v="0"/>
    <n v="2.2999999999999998"/>
    <n v="6928.22"/>
    <n v="6411.0334273333328"/>
    <n v="2714.59"/>
    <n v="1840.44"/>
    <n v="116"/>
    <n v="1740"/>
    <n v="2000"/>
    <d v="2025-11-27T00:00:00"/>
    <s v="Entregado"/>
    <n v="7221087019"/>
    <s v="tereroch619@gmail.com"/>
    <m/>
    <s v="LAVANDERIA"/>
    <n v="8934011"/>
    <m/>
    <m/>
    <s v="DOLORES RIVERA CRISANTOS"/>
    <s v="7221491699"/>
    <s v="ROSA MARIA MILLAN LEGORRETA"/>
    <s v="7226929434"/>
    <s v="FRANCISCO LISEA ORTEGA"/>
    <s v="7261022128"/>
    <m/>
    <m/>
    <m/>
    <m/>
    <m/>
    <m/>
    <n v="14305.55"/>
    <n v="0"/>
    <n v="1"/>
    <s v="Individual sin Garantía"/>
    <s v="AV DE LAS FLORES  #SN"/>
    <s v="Santa María Pipioltepec (Pipioltepec)"/>
    <s v="México"/>
    <s v="Valle De Bravo"/>
    <m/>
    <s v="Ver en mapa"/>
    <m/>
    <m/>
    <n v="8"/>
    <n v="8"/>
    <s v="Transferencia electrónica"/>
    <s v="100125101"/>
    <n v="6928.22"/>
    <n v="14305.55"/>
    <n v="0.44815008352236252"/>
  </r>
  <r>
    <s v="001349"/>
    <s v="Región Estado México"/>
    <x v="0"/>
    <s v="000029"/>
    <s v="Colin Garduño Estefani"/>
    <x v="2"/>
    <x v="2"/>
    <s v="01"/>
    <s v="LOPEZ CABALLERO MARIA DEL ROCIO"/>
    <d v="2025-06-02T00:00:00"/>
    <d v="2026-05-04T00:00:00"/>
    <n v="15000"/>
    <n v="15801.12"/>
    <n v="71"/>
    <x v="1"/>
    <n v="24"/>
    <s v="Catorcenal"/>
    <n v="1245.82"/>
    <n v="1392"/>
    <n v="3480"/>
    <n v="15"/>
    <n v="5.5"/>
    <n v="9835.5500000000011"/>
    <n v="10327.342912"/>
    <n v="3910.13"/>
    <n v="2647.21"/>
    <n v="290"/>
    <n v="3480"/>
    <n v="3000"/>
    <d v="2025-12-18T00:00:00"/>
    <s v="Entregado"/>
    <n v="7225103543"/>
    <s v="guillermo_severiano@gmail.com"/>
    <m/>
    <s v="TIENDA DE ABARROTES Y MISCELANEA"/>
    <n v="6131023"/>
    <s v="GUILLERMO SEVERIANO FERNANDO"/>
    <s v="7225103543.0"/>
    <s v="VIRGINIA ROSALES POSADAS"/>
    <s v="7221582962"/>
    <s v="CECILIA REYES MORALES"/>
    <s v="7225848395"/>
    <s v="FERNANDA HERNANDEZ"/>
    <s v="7225496034"/>
    <m/>
    <m/>
    <m/>
    <m/>
    <m/>
    <m/>
    <n v="21017.75"/>
    <n v="0"/>
    <n v="1"/>
    <s v="Individual sin Garantía"/>
    <s v="CALLEJON DE LAS ANIMAS #SN"/>
    <s v="Valle de Bravo"/>
    <s v="México"/>
    <s v="Valle De Bravo"/>
    <m/>
    <s v="Ver en mapa"/>
    <m/>
    <m/>
    <n v="9"/>
    <n v="8"/>
    <s v="Transferencia electrónica"/>
    <s v="100134901"/>
    <n v="9835.5500000000011"/>
    <n v="21017.75"/>
    <n v="0.4913629152502052"/>
  </r>
  <r>
    <s v="001030"/>
    <s v="Región Estado México"/>
    <x v="0"/>
    <s v="000029"/>
    <s v="Colin Garduño Estefani"/>
    <x v="2"/>
    <x v="2"/>
    <s v="02"/>
    <s v="CABALLERO CHAMORRO JUAN PATRICIO"/>
    <d v="2024-09-18T00:00:00"/>
    <d v="2026-03-18T00:00:00"/>
    <n v="80000"/>
    <n v="84272.62"/>
    <n v="71"/>
    <x v="1"/>
    <n v="18"/>
    <s v="Mensual"/>
    <n v="9747.24"/>
    <n v="1044"/>
    <n v="1160"/>
    <n v="0"/>
    <n v="2.1"/>
    <n v="38531.39"/>
    <n v="21595.68"/>
    <n v="14048.7"/>
    <n v="6270.98"/>
    <n v="116"/>
    <n v="1160"/>
    <n v="4000"/>
    <d v="2025-12-12T00:00:00"/>
    <s v="Entregado"/>
    <n v="7261018239"/>
    <s v="caballerochamorrojuanpatricio@gmail.com"/>
    <m/>
    <s v="HOTEL"/>
    <n v="8611015"/>
    <m/>
    <m/>
    <s v="PAULINA CABALLERO MERCADO"/>
    <s v="7224210374"/>
    <s v="ANTONIA PONCIANO ARIAS"/>
    <s v="7224210374"/>
    <s v="FERNANDO CABALLERO LEON"/>
    <s v="7293556085"/>
    <m/>
    <m/>
    <m/>
    <m/>
    <m/>
    <m/>
    <n v="46078.37"/>
    <n v="0"/>
    <n v="1"/>
    <s v="Individual mensual garantia liquida nivel I TI"/>
    <s v="BOCA NEGRA #SN"/>
    <s v="Valle de Bravo"/>
    <s v="México"/>
    <s v="Valle De Bravo"/>
    <m/>
    <s v="Ver en mapa"/>
    <m/>
    <m/>
    <n v="8"/>
    <n v="6"/>
    <s v="Transferencia electrónica"/>
    <s v="100103002"/>
    <n v="38531.39"/>
    <n v="46078.37"/>
    <n v="0.46867282848763958"/>
  </r>
  <r>
    <s v="001109"/>
    <s v="Región Estado México"/>
    <x v="1"/>
    <s v="000028"/>
    <s v="Jimenez Garcia Angelica Maribel"/>
    <x v="6"/>
    <x v="6"/>
    <s v="02"/>
    <s v="DELGADO SANCHEZ DAVID"/>
    <d v="2025-05-19T00:00:00"/>
    <d v="2025-11-19T00:00:00"/>
    <n v="50000"/>
    <n v="52670.39"/>
    <n v="71"/>
    <x v="1"/>
    <n v="6"/>
    <s v="Mensual"/>
    <n v="11727.65"/>
    <n v="348"/>
    <n v="1217.33"/>
    <n v="0"/>
    <n v="2"/>
    <n v="17556.8"/>
    <n v="24672.639999999999"/>
    <n v="17556.8"/>
    <n v="5782.51"/>
    <n v="116"/>
    <n v="1217.33"/>
    <n v="12307"/>
    <d v="2025-10-27T00:00:00"/>
    <s v="Entregado"/>
    <n v="7293597278"/>
    <s v="abejasdelgado@gmail.com"/>
    <m/>
    <s v="TRATAMIENTO Y ENVASE DE MIEL DE ABEJA"/>
    <n v="2084010"/>
    <s v="GARCIA ROMERO MARIA ELENA"/>
    <m/>
    <s v="MARLEN ALEJANDRA VELAZQUEZ"/>
    <s v="7293280241"/>
    <s v="RITA MENDOZA ROMERO"/>
    <s v="7204392072"/>
    <s v="MA ELENA SANCHEZ ROSALES"/>
    <s v="7226076142"/>
    <s v="Garantía Prendaria"/>
    <s v="FACTURA EXPEDIDA POR EXCELENCIA AUTOMOTRIZS.ADE C.V, Valor 63,500.00, Nombre VEHICULO CHEVY STATION WAGON, Folio Factura 33843, Fecha Factura 06/12/2000, Número de serie 8AGSM35N71R112539, Número de motor 1R112539, Modelo 2001, Marca CHEVROLET, Propietario DELGADO SANCHEZ DAVID"/>
    <s v="VEHICULO CHEVY STATION WAGON"/>
    <m/>
    <m/>
    <m/>
    <n v="24672.639999999999"/>
    <n v="0"/>
    <n v="1"/>
    <s v="Individual sin Garantía"/>
    <s v="ALFONSO GOMEZ OROZCO #6-SN"/>
    <s v="Rancho Buenavista"/>
    <s v="México"/>
    <s v="Toluca"/>
    <m/>
    <s v="Ver en mapa"/>
    <m/>
    <m/>
    <n v="5"/>
    <n v="5"/>
    <s v="Transferencia electrónica"/>
    <s v="100110902"/>
    <n v="17556.8"/>
    <n v="24672.639999999999"/>
    <n v="1"/>
  </r>
  <r>
    <s v="001548"/>
    <s v="Región Estado México"/>
    <x v="1"/>
    <s v="000044"/>
    <s v="Gonzalez Irala Jesus"/>
    <x v="6"/>
    <x v="6"/>
    <s v="01"/>
    <s v="ALFARO CAMACHO NORMA"/>
    <d v="2025-07-15T00:00:00"/>
    <d v="2025-12-30T00:00:00"/>
    <n v="5000"/>
    <n v="5267.04"/>
    <n v="70"/>
    <x v="1"/>
    <n v="12"/>
    <s v="Catorcenal"/>
    <n v="673.4"/>
    <n v="696"/>
    <n v="3232.4"/>
    <n v="12"/>
    <n v="6"/>
    <n v="2633.52"/>
    <n v="7214.81"/>
    <n v="2633.52"/>
    <n v="1058.8900000000001"/>
    <n v="290"/>
    <n v="3232.4"/>
    <n v="673"/>
    <d v="2025-11-29T00:00:00"/>
    <s v="Entregado"/>
    <n v="7293711279"/>
    <s v="alfaronorma244@gmail.com"/>
    <m/>
    <s v="RESTAURANTE"/>
    <n v="8711021"/>
    <m/>
    <m/>
    <s v="AMERICA JOCELYN ROSALES"/>
    <s v="7223899388"/>
    <s v="FABIOLA GOMEZ"/>
    <s v="7291669165"/>
    <s v="NAYELI GONZALEZ"/>
    <s v="7293110453"/>
    <m/>
    <m/>
    <m/>
    <m/>
    <m/>
    <m/>
    <n v="7214.81"/>
    <n v="0"/>
    <n v="1"/>
    <s v="Individual sin Garantía"/>
    <s v="PTO MEXICO #10"/>
    <s v="San Jerónimo Chicahualco"/>
    <s v="México"/>
    <s v="Metepec"/>
    <s v="19°16'50.5&quot;N 99°35'02.8&quot;W"/>
    <s v="Ver en mapa"/>
    <m/>
    <m/>
    <n v="10"/>
    <n v="10"/>
    <s v="Transferencia electrónica"/>
    <s v="100154801"/>
    <n v="2633.52"/>
    <n v="7214.81"/>
    <n v="1"/>
  </r>
  <r>
    <s v="001339"/>
    <s v="Región Estado México"/>
    <x v="2"/>
    <s v="000033"/>
    <s v="Garcia Ezquivel Jordi Nazaret"/>
    <x v="1"/>
    <x v="1"/>
    <s v="01"/>
    <s v="MOLINA CRUZ ANAI VERONICA"/>
    <d v="2025-05-23T00:00:00"/>
    <d v="2025-11-23T00:00:00"/>
    <n v="5000"/>
    <n v="5267.04"/>
    <n v="68"/>
    <x v="1"/>
    <n v="6"/>
    <s v="Mensual"/>
    <n v="1322.42"/>
    <n v="348"/>
    <n v="1740"/>
    <n v="0"/>
    <n v="2"/>
    <n v="1755.68"/>
    <n v="4432.08"/>
    <n v="1755.68"/>
    <n v="773.15"/>
    <n v="163.25"/>
    <n v="1740"/>
    <n v="1323"/>
    <d v="2025-10-23T00:00:00"/>
    <s v="Entregado"/>
    <n v="4472036771"/>
    <s v="ana072327@gmail.com"/>
    <m/>
    <s v="SERVICIOS DE CONSULTORIOS Y CLINICAS DENTALES"/>
    <n v="9213018"/>
    <m/>
    <m/>
    <s v="LORENA MAYA"/>
    <s v="4471738397"/>
    <s v="SERGIO MARTINEZ"/>
    <s v="3344322446"/>
    <s v="DANA ESPINOZA"/>
    <s v="4472232778"/>
    <m/>
    <m/>
    <m/>
    <m/>
    <m/>
    <m/>
    <n v="4432.08"/>
    <n v="0"/>
    <n v="1"/>
    <s v="Individual sin Garantía"/>
    <s v="PROL LEONA VICARIO #715-SN"/>
    <s v="INFONAVIT"/>
    <s v="Michoacán"/>
    <s v="Maravatio"/>
    <m/>
    <s v="Ver en mapa"/>
    <m/>
    <m/>
    <n v="4"/>
    <n v="4"/>
    <s v="Transferencia electrónica"/>
    <s v="100133901"/>
    <n v="1755.68"/>
    <n v="4432.08"/>
    <n v="1"/>
  </r>
  <r>
    <s v="001482"/>
    <s v="Región Estado México"/>
    <x v="3"/>
    <s v="000042"/>
    <s v="Avila Nieto Luis Alfredo"/>
    <x v="3"/>
    <x v="3"/>
    <s v="01"/>
    <s v="CANO MARTINEZ BERTHA XARENI"/>
    <d v="2025-07-17T00:00:00"/>
    <d v="2026-01-01T00:00:00"/>
    <n v="5000"/>
    <n v="5267.04"/>
    <n v="68"/>
    <x v="1"/>
    <n v="24"/>
    <s v="Semanal"/>
    <n v="365.7"/>
    <n v="1392"/>
    <n v="6075.47"/>
    <n v="23"/>
    <n v="10"/>
    <n v="2414.06"/>
    <n v="9674.4709664000002"/>
    <n v="2194.6"/>
    <n v="882.4"/>
    <n v="522"/>
    <n v="6075.47"/>
    <n v="500"/>
    <d v="2025-12-10T00:00:00"/>
    <s v="Entregado"/>
    <n v="5649639680"/>
    <s v="bercano598@gmail.com"/>
    <m/>
    <s v="FABRICACION DE OTROS PREPARADOS ALIMENTICIOS DERIVADOS DE CEREALES"/>
    <n v="2094027"/>
    <s v="GALLEGOS GARCIA AARON ISMAEL"/>
    <m/>
    <s v="LUZ FRANCO SANCHEZ"/>
    <s v="7224567448"/>
    <s v="JOSE LUIS TINOCO MOLINA"/>
    <s v="7223153613"/>
    <s v="FABIOLA CANO SOTELO"/>
    <s v="7222405074"/>
    <m/>
    <m/>
    <m/>
    <m/>
    <m/>
    <m/>
    <n v="9982.17"/>
    <n v="0"/>
    <n v="1"/>
    <s v="Individual sin Garantía"/>
    <s v="ALLENDE #SN"/>
    <s v="Villa Guerrero"/>
    <s v="México"/>
    <s v="Villa Guerrero"/>
    <s v="18°57'52.9&quot;N 99°38'24.4&quot;W"/>
    <s v="Ver en mapa"/>
    <m/>
    <m/>
    <n v="22"/>
    <n v="20"/>
    <s v="Transferencia electrónica"/>
    <s v="100148201"/>
    <n v="2414.06"/>
    <n v="9982.17"/>
    <n v="0.96917513590732274"/>
  </r>
  <r>
    <s v="001101"/>
    <s v="Región Estado México"/>
    <x v="2"/>
    <s v="000053"/>
    <s v="Santos Gomez Mahogany"/>
    <x v="1"/>
    <x v="1"/>
    <s v="01"/>
    <s v="VILLEGAS RUIZ AZUCENA"/>
    <d v="2025-07-24T00:00:00"/>
    <d v="2026-07-24T00:00:00"/>
    <n v="20000"/>
    <n v="21068.16"/>
    <n v="67"/>
    <x v="1"/>
    <n v="12"/>
    <s v="Mensual"/>
    <n v="3347.38"/>
    <n v="696"/>
    <n v="1740"/>
    <n v="0"/>
    <n v="2.2999999999999998"/>
    <n v="16643.27"/>
    <n v="9276.92"/>
    <n v="4353.51"/>
    <n v="3067.41"/>
    <n v="116"/>
    <n v="1740"/>
    <n v="1000"/>
    <d v="2025-12-18T00:00:00"/>
    <s v="Entregado"/>
    <n v="7861289536"/>
    <s v="vazucena254@gmail.com"/>
    <m/>
    <s v="RESTAURANTE"/>
    <n v="8711021"/>
    <s v="GOMEZ VALDEZ JULIO CESAR"/>
    <m/>
    <s v="LUCIA GARCIA ALANIS"/>
    <s v="4471511369"/>
    <s v="ALEJANDRA MARTINEZ"/>
    <s v="4471035445"/>
    <s v="CAMILO EDUARDO LOPEZ"/>
    <s v="4471736466"/>
    <m/>
    <m/>
    <m/>
    <m/>
    <m/>
    <m/>
    <n v="32302.6"/>
    <n v="0"/>
    <n v="1"/>
    <s v="Individual sin Garantía"/>
    <s v="VISTA ALEGRE #29-SN"/>
    <s v="Diana Laura"/>
    <s v="Michoacán"/>
    <s v="Maravatio"/>
    <s v="19°53'32.3&quot;N 100°27'49.5&quot;W"/>
    <s v="Ver en mapa"/>
    <m/>
    <m/>
    <n v="4"/>
    <n v="3"/>
    <s v="Transferencia electrónica"/>
    <s v="100110101"/>
    <n v="16643.27"/>
    <n v="32302.6"/>
    <n v="0.28718802820825567"/>
  </r>
  <r>
    <s v="001167"/>
    <s v="Región Estado México"/>
    <x v="0"/>
    <s v="000029"/>
    <s v="Colin Garduño Estefani"/>
    <x v="2"/>
    <x v="2"/>
    <s v="01"/>
    <s v="PONCE JARAMILLO ERNESTO"/>
    <d v="2025-01-27T00:00:00"/>
    <d v="2026-01-27T00:00:00"/>
    <n v="35000"/>
    <n v="36869.269999999997"/>
    <n v="64"/>
    <x v="1"/>
    <n v="12"/>
    <s v="Mensual"/>
    <n v="5232.78"/>
    <n v="696"/>
    <n v="1740"/>
    <n v="0"/>
    <n v="2.4"/>
    <n v="15308.32"/>
    <n v="14438.24"/>
    <n v="10565.1"/>
    <n v="2017.14"/>
    <n v="116"/>
    <n v="1740"/>
    <n v="500"/>
    <d v="2025-12-15T00:00:00"/>
    <s v="Entregado"/>
    <n v="7229076845"/>
    <s v="hernesto01@gmail.com"/>
    <m/>
    <s v="FABRICACION DE PIEZAS METALICAS POR FUNDICION Y MOLDEO EXCEPTO PARA MAQUINARIA EQUIPO Y MATERIAL DE TRANSPORTE"/>
    <n v="3596014"/>
    <s v="MARTINEZ AGUILAR MARINA"/>
    <s v="7229076844.0"/>
    <s v="LEONARDO GARCIA VALDEZ"/>
    <s v="7225518180"/>
    <s v="ALONSO BARCENAS OLVERA"/>
    <s v="7222438793"/>
    <s v="RAMON HERNANDEZ ESTRADA"/>
    <s v="7222438793"/>
    <s v="Garantía Prendaria"/>
    <s v="TITULO EXPEDIDO POR STATE OF IOWA, Valor 80,000.00, Nombre CAMIONETA PICK UP RANGER, Folio Factura 30W098509, Fecha Factura 28/06/2000, Número de serie 1FTCR15T3KPB22390, Número de motor SIN NUMERO, Modelo 1989, Marca FORD, Propietario PONCE JARAMILLO ERNESTO"/>
    <s v="CAMIONETA PICK UP RANGER"/>
    <m/>
    <m/>
    <m/>
    <n v="19181.46"/>
    <n v="0"/>
    <n v="4"/>
    <s v="Individual mensual con garantia nivel I Tprem"/>
    <s v="AV BENITO JUAREZ #420-SN"/>
    <s v="Valle de Bravo"/>
    <s v="México"/>
    <s v="Valle De Bravo"/>
    <m/>
    <s v="Ver en mapa"/>
    <m/>
    <m/>
    <n v="6"/>
    <n v="5"/>
    <s v="Transferencia electrónica"/>
    <s v="100116701"/>
    <n v="15308.32"/>
    <n v="19181.46"/>
    <n v="0.75271851047834737"/>
  </r>
  <r>
    <s v="001337"/>
    <s v="Región Estado México"/>
    <x v="4"/>
    <s v="000045"/>
    <s v="Galindo Reyes Leticia"/>
    <x v="1"/>
    <x v="1"/>
    <s v="01"/>
    <s v="TORRES CRUZ MARTHA"/>
    <d v="2025-05-27T00:00:00"/>
    <d v="2025-11-27T00:00:00"/>
    <n v="7000"/>
    <n v="7373.85"/>
    <n v="64"/>
    <x v="1"/>
    <n v="6"/>
    <s v="Mensual"/>
    <n v="1828.18"/>
    <n v="348"/>
    <n v="1642.55"/>
    <n v="0"/>
    <n v="2"/>
    <n v="2457.9499999999998"/>
    <n v="5298.92"/>
    <n v="2457.9499999999998"/>
    <n v="1082.42"/>
    <n v="116"/>
    <n v="1642.55"/>
    <n v="500"/>
    <d v="2025-12-26T00:00:00"/>
    <s v="Entregado"/>
    <n v="7122282815"/>
    <s v="marthacruz83@gmail.com"/>
    <m/>
    <s v="SERVICIOS DE ALIMENTOS EN LENCERIAS TAQUERIAS Y TORTERIAS"/>
    <n v="8712011"/>
    <m/>
    <m/>
    <s v="ALAN SAUL SANCHEZ FELIPE"/>
    <s v="7121385731"/>
    <s v="VIVIANA PIÑA SANTOS"/>
    <s v="7291363725"/>
    <s v="HIPOLITA FELIPE SANCHEZ"/>
    <s v="5562120395"/>
    <m/>
    <m/>
    <m/>
    <m/>
    <m/>
    <m/>
    <n v="5298.92"/>
    <n v="0"/>
    <n v="1"/>
    <s v="Individual sin Garantía"/>
    <s v="MARIPOSA MONARCA #SN"/>
    <s v="Calvario Buenavista"/>
    <s v="México"/>
    <s v="San Felipe Del Progreso"/>
    <m/>
    <s v="Ver en mapa"/>
    <m/>
    <m/>
    <n v="6"/>
    <n v="6"/>
    <s v="Transferencia electrónica"/>
    <s v="100133701"/>
    <n v="2457.9499999999998"/>
    <n v="5298.92"/>
    <n v="1"/>
  </r>
  <r>
    <s v="001275"/>
    <s v="Región Estado México"/>
    <x v="2"/>
    <s v="000037"/>
    <s v="CREDIFLEXI CREDIFLEXI CREDIFLEXI"/>
    <x v="1"/>
    <x v="1"/>
    <s v="01"/>
    <s v="SORIA ARGUETA HORTENSIA"/>
    <d v="2025-04-28T00:00:00"/>
    <d v="2025-10-28T00:00:00"/>
    <n v="6000"/>
    <n v="6320.45"/>
    <n v="63"/>
    <x v="1"/>
    <n v="6"/>
    <s v="Mensual"/>
    <n v="1572.78"/>
    <n v="348"/>
    <n v="580"/>
    <n v="0"/>
    <n v="1"/>
    <n v="1053.4100000000001"/>
    <n v="2241.12"/>
    <n v="1053.4100000000001"/>
    <n v="461.37"/>
    <n v="146.34"/>
    <n v="580"/>
    <n v="1573"/>
    <d v="2025-09-29T00:00:00"/>
    <s v="Entregado"/>
    <n v="4471151624"/>
    <s v="hortensiasoria132@gmail.com"/>
    <m/>
    <s v="EMPLEADO PRIVADO"/>
    <n v="8944098"/>
    <m/>
    <m/>
    <s v="LORENA MAYA CRUZ"/>
    <s v="4471738397"/>
    <s v="MARICELA HERNANDEZ"/>
    <s v="4471536062"/>
    <s v="ANAI VERONICA MOLINA"/>
    <s v="4472036771"/>
    <m/>
    <m/>
    <m/>
    <m/>
    <m/>
    <m/>
    <n v="2241.12"/>
    <n v="0"/>
    <n v="1"/>
    <s v="Individual sin Garantía"/>
    <s v="CONSTITUYENTES #233-SN"/>
    <s v="Cuartel V"/>
    <s v="Michoacán"/>
    <s v="Maravatio"/>
    <m/>
    <s v="Ver en mapa"/>
    <m/>
    <m/>
    <n v="4"/>
    <n v="3"/>
    <s v="Transferencia electrónica"/>
    <s v="100127501"/>
    <n v="1053.4100000000001"/>
    <n v="2241.12"/>
    <n v="1"/>
  </r>
  <r>
    <s v="001494"/>
    <s v="Región Estado México"/>
    <x v="3"/>
    <s v="000041"/>
    <s v="Martinez Perez Juan Daniel"/>
    <x v="3"/>
    <x v="3"/>
    <s v="01"/>
    <s v="ORIHUELA GONZALEZ ESPERANZA"/>
    <d v="2025-07-24T00:00:00"/>
    <d v="2026-06-25T00:00:00"/>
    <n v="10000"/>
    <n v="10534.08"/>
    <n v="61"/>
    <x v="1"/>
    <n v="24"/>
    <s v="Catorcenal"/>
    <n v="849.88"/>
    <n v="1392"/>
    <n v="2900"/>
    <n v="11"/>
    <n v="5"/>
    <n v="7900.56"/>
    <n v="7148.8209791999998"/>
    <n v="2194.6"/>
    <n v="1764.81"/>
    <n v="289.41000000000003"/>
    <n v="2900"/>
    <n v="849.88"/>
    <d v="2025-10-16T00:00:00"/>
    <s v="Entregado"/>
    <n v="7222295955"/>
    <s v="perisorihuela@gmail.com"/>
    <m/>
    <s v="FABRICACION DE PAN Y PASTELES"/>
    <n v="2071017"/>
    <m/>
    <m/>
    <s v="CITLALLI ORIHUELA GONZALEZ"/>
    <s v="7296122538"/>
    <s v="KARLA FLORES ORIHUELA"/>
    <s v="7294528035"/>
    <s v="ROSA FLORES ORIHUELA"/>
    <s v="7294564515"/>
    <m/>
    <m/>
    <m/>
    <m/>
    <m/>
    <m/>
    <n v="17443.29"/>
    <n v="0"/>
    <n v="1"/>
    <s v="Individual sin Garantía"/>
    <s v="VICENTE GUERRERO #SN"/>
    <s v="Zepayautla"/>
    <s v="México"/>
    <s v="Tenancingo"/>
    <s v="19°00'48.5&quot;N 99°33'24.9&quot;W"/>
    <s v="Ver en mapa"/>
    <m/>
    <m/>
    <n v="5"/>
    <n v="5"/>
    <s v="Transferencia electrónica"/>
    <s v="100149401"/>
    <n v="7900.56"/>
    <n v="17443.29"/>
    <n v="0.40983214629808939"/>
  </r>
  <r>
    <s v="001562"/>
    <s v="Región Estado México"/>
    <x v="0"/>
    <s v="000040"/>
    <s v="Olayo Gaytan Luis Enrique"/>
    <x v="2"/>
    <x v="2"/>
    <s v="01"/>
    <s v="GARCIA ALVAREZ EDITH"/>
    <d v="2025-07-18T00:00:00"/>
    <d v="2025-11-07T00:00:00"/>
    <n v="10000"/>
    <n v="10534.08"/>
    <n v="60"/>
    <x v="2"/>
    <n v="16"/>
    <s v="Semanal"/>
    <n v="892.86"/>
    <n v="928"/>
    <n v="1160"/>
    <n v="16"/>
    <n v="1.3"/>
    <n v="923.44"/>
    <n v="2723.92"/>
    <n v="923.44"/>
    <n v="176.48"/>
    <n v="464"/>
    <n v="1160"/>
    <n v="893"/>
    <d v="2025-11-10T00:00:00"/>
    <s v="Entregado"/>
    <n v="7228467516"/>
    <s v="gonzalezrebollarflorencio@gmail.com"/>
    <m/>
    <s v="COMPRAVENTA DE PAN Y PASTELES"/>
    <n v="6132055"/>
    <s v="GONZALEZ REBOLLAR FLORENCIO"/>
    <s v="7228467516.0"/>
    <s v="FLORENCIO GONZALEZ REBOLLAR"/>
    <s v="7223579556"/>
    <s v="ROCIO GONZALEZ GARCIA"/>
    <s v="7228756678"/>
    <s v="EMMANUEL GONZALEZ GARCIA"/>
    <s v="7227869733"/>
    <m/>
    <m/>
    <m/>
    <m/>
    <m/>
    <m/>
    <n v="2723.92"/>
    <n v="0"/>
    <n v="1"/>
    <s v="Individual sin Garantía"/>
    <s v="SAN FRANCISCO MIHUAL #SN -SN"/>
    <s v="San Francisco Mihualtepec cu"/>
    <s v="México"/>
    <s v="Donato Guerra"/>
    <s v="19°14'59.7&quot;N 100°06'04.3&quot;W"/>
    <s v="Ver en mapa"/>
    <m/>
    <m/>
    <n v="11"/>
    <n v="11"/>
    <s v="Transferencia electrónica"/>
    <s v="100156201"/>
    <n v="923.44"/>
    <n v="2723.92"/>
    <n v="1"/>
  </r>
  <r>
    <s v="001433"/>
    <s v="Región Estado México"/>
    <x v="0"/>
    <s v="000040"/>
    <s v="Olayo Gaytan Luis Enrique"/>
    <x v="2"/>
    <x v="2"/>
    <s v="01"/>
    <s v="MARCOS CLEMENTE IVON"/>
    <d v="2025-06-30T00:00:00"/>
    <d v="2026-01-01T00:00:00"/>
    <n v="5000"/>
    <n v="5267.04"/>
    <n v="57"/>
    <x v="2"/>
    <n v="6"/>
    <s v="Mensual"/>
    <n v="1324.52"/>
    <n v="348"/>
    <n v="1521.55"/>
    <n v="0"/>
    <n v="2"/>
    <n v="2633.52"/>
    <n v="4112.5949680000003"/>
    <n v="1755.68"/>
    <n v="777.36"/>
    <n v="58"/>
    <n v="1521.55"/>
    <n v="1000"/>
    <d v="2025-12-22T00:00:00"/>
    <s v="Entregado"/>
    <n v="7227829505"/>
    <s v="ivonemarcos325@gmail.com"/>
    <m/>
    <s v="EMPLEADO PRIVADO"/>
    <n v="8944098"/>
    <s v="GARCIA RODRIGUEZ MARIO"/>
    <s v="7227829505.0"/>
    <s v="BLANCA IVON CLEMENTE"/>
    <s v="7297561792"/>
    <s v="ZARAHI LUCAS EUGENIO"/>
    <s v="7191325520"/>
    <s v="DULCE MARIA GONZALEZ"/>
    <s v="7203569453"/>
    <m/>
    <m/>
    <m/>
    <m/>
    <m/>
    <m/>
    <n v="5379.11"/>
    <n v="0"/>
    <n v="1"/>
    <s v="Individual sin Garantía"/>
    <s v="SAN JUAN AMANALCO 2DA SECCION  #SN-SN"/>
    <s v="San Juan"/>
    <s v="México"/>
    <s v="Amanalco"/>
    <s v="19°14'51.1&quot;N 100°01'51.7&quot;W"/>
    <s v="Ver en mapa"/>
    <m/>
    <m/>
    <n v="3"/>
    <n v="3"/>
    <s v="Transferencia electrónica"/>
    <s v="100143301"/>
    <n v="2633.52"/>
    <n v="5379.11"/>
    <n v="0.7645493339976317"/>
  </r>
  <r>
    <s v="001570"/>
    <s v="Región Estado México"/>
    <x v="2"/>
    <s v="000053"/>
    <s v="Santos Gomez Mahogany"/>
    <x v="1"/>
    <x v="1"/>
    <s v="01"/>
    <s v="FERRER AVILA MIGUEL ANGEL"/>
    <d v="2025-07-28T00:00:00"/>
    <d v="2026-01-12T00:00:00"/>
    <n v="5000"/>
    <n v="5267.04"/>
    <n v="57"/>
    <x v="2"/>
    <n v="12"/>
    <s v="Catorcenal"/>
    <n v="673.4"/>
    <n v="696"/>
    <n v="2900"/>
    <n v="11"/>
    <n v="5"/>
    <n v="2633.52"/>
    <n v="6265.4104895999999"/>
    <n v="2194.6"/>
    <n v="882.4"/>
    <n v="288.41000000000003"/>
    <n v="2900"/>
    <n v="674"/>
    <d v="2025-10-20T00:00:00"/>
    <s v="Entregado"/>
    <n v="4472278159"/>
    <s v="angelferrer25.avila@gmail.com"/>
    <m/>
    <s v="COMPRAVENTA DE MUEBLES"/>
    <n v="6312011"/>
    <m/>
    <m/>
    <s v="DIANA HERRERA AVILA"/>
    <s v="4472267183"/>
    <s v="LEONILA AVILA MARTINEZ"/>
    <s v="4437947350"/>
    <s v="NATALI JAQUELIN CRUZ HERNANDEZ"/>
    <s v="4471006209"/>
    <m/>
    <m/>
    <m/>
    <m/>
    <m/>
    <m/>
    <n v="6880.81"/>
    <n v="0"/>
    <n v="1"/>
    <s v="Individual sin Garantía"/>
    <s v="C NIÑOS HEROES  #961-SN"/>
    <s v="San Antonio"/>
    <s v="Michoacán"/>
    <s v="Maravatio"/>
    <s v="19°53'20.1&quot;N 100°27'19.0&quot;W"/>
    <s v="Ver en mapa"/>
    <m/>
    <m/>
    <n v="6"/>
    <n v="5"/>
    <s v="Transferencia electrónica"/>
    <s v="100157001"/>
    <n v="2633.52"/>
    <n v="6880.81"/>
    <n v="0.91056292639965342"/>
  </r>
  <r>
    <s v="001447"/>
    <s v="Región Estado México"/>
    <x v="4"/>
    <s v="000046"/>
    <s v="Pech Muñoz Oscar Adrian"/>
    <x v="1"/>
    <x v="1"/>
    <s v="01"/>
    <s v="MONTOYA MIRANDA JUANA"/>
    <d v="2025-06-27T00:00:00"/>
    <d v="2026-01-01T00:00:00"/>
    <n v="20000"/>
    <n v="21068.16"/>
    <n v="57"/>
    <x v="2"/>
    <n v="6"/>
    <s v="Mensual"/>
    <n v="5149.28"/>
    <n v="348"/>
    <n v="1160"/>
    <n v="0"/>
    <n v="1.4"/>
    <n v="9199.86"/>
    <n v="8486.4215386666656"/>
    <n v="5688.5"/>
    <n v="1579.92"/>
    <n v="58"/>
    <n v="1160"/>
    <n v="1000"/>
    <d v="2025-12-19T00:00:00"/>
    <s v="Entregado"/>
    <n v="7121828911"/>
    <s v="mirandalec8@gmail.com"/>
    <m/>
    <s v="SERVICIOS EN BALNEARIOS Y ALBERCAS"/>
    <n v="8811011"/>
    <s v="RIVERA GASPAR JOSE DOMINGO"/>
    <s v="7121343454.0"/>
    <s v="FRYDA SOFIA HITURBIDE"/>
    <s v="7121665559"/>
    <s v="AMAPOLA MIRANDA VENEGAS"/>
    <s v="7121604381"/>
    <s v="YERALDIN ZALAZAR POSADAS"/>
    <s v="7121324666"/>
    <m/>
    <m/>
    <m/>
    <m/>
    <m/>
    <m/>
    <n v="13577.71"/>
    <n v="0"/>
    <n v="1"/>
    <s v="Individual sin Garantía"/>
    <s v="VILLA DE LOS  ANGELES #26-SN"/>
    <s v="Río Lerma (Tic Ti)"/>
    <s v="México"/>
    <s v="Atlacomulco"/>
    <s v="19°48'07.1&quot;N 99°53'40.5&quot;W"/>
    <s v="Ver en mapa"/>
    <m/>
    <m/>
    <n v="4"/>
    <n v="4"/>
    <s v="Transferencia electrónica"/>
    <s v="100144701"/>
    <n v="9199.86"/>
    <n v="13577.71"/>
    <n v="0.62502598292839251"/>
  </r>
  <r>
    <s v="001595"/>
    <s v="Región Estado México"/>
    <x v="3"/>
    <s v="000042"/>
    <s v="Avila Nieto Luis Alfredo"/>
    <x v="3"/>
    <x v="3"/>
    <s v="01"/>
    <s v="GARCIA DIAZ MAYRA CECILIA"/>
    <d v="2025-07-28T00:00:00"/>
    <d v="2026-08-01T00:00:00"/>
    <n v="10000"/>
    <n v="10534.08"/>
    <n v="57"/>
    <x v="2"/>
    <n v="12"/>
    <s v="Mensual"/>
    <n v="1711.1"/>
    <n v="696"/>
    <n v="580"/>
    <n v="0"/>
    <n v="1.8"/>
    <n v="8778.4"/>
    <n v="3582.1937173333331"/>
    <n v="1755.68"/>
    <n v="1188.51"/>
    <n v="58"/>
    <n v="580"/>
    <n v="1000"/>
    <d v="2025-11-20T00:00:00"/>
    <s v="Entregado"/>
    <n v="7223016047"/>
    <s v="mayragarcia9707@gmail.com"/>
    <m/>
    <s v="EMPLEADO PUBLICO"/>
    <n v="9411998"/>
    <s v="GONZALEZ FABELA FERNANDO"/>
    <m/>
    <s v="EVELIN TORRES DIAZ"/>
    <s v="7207841465"/>
    <s v="FERNANDO GONZALEZ FABELA"/>
    <s v="5665289583"/>
    <s v="BRICIA MARIA GARCIA DIAZ"/>
    <s v="7293822882"/>
    <m/>
    <m/>
    <m/>
    <m/>
    <m/>
    <m/>
    <n v="16806.96"/>
    <n v="0"/>
    <n v="1"/>
    <s v="Individual sin Garantía"/>
    <s v="CRUZ VIDRIADA #SN"/>
    <s v="Cruz Vidriada cu"/>
    <s v="México"/>
    <s v="Villa Guerrero"/>
    <s v="18°59'47.3&quot;N 99°38'27.5&quot;W"/>
    <s v="Ver en mapa"/>
    <m/>
    <m/>
    <n v="3"/>
    <n v="3"/>
    <s v="Transferencia electrónica"/>
    <s v="100159501"/>
    <n v="8778.4"/>
    <n v="16806.96"/>
    <n v="0.21313751667959779"/>
  </r>
  <r>
    <s v="001456"/>
    <s v="Región Estado México"/>
    <x v="3"/>
    <s v="000041"/>
    <s v="Martinez Perez Juan Daniel"/>
    <x v="3"/>
    <x v="3"/>
    <s v="01"/>
    <s v="ZAMORA PARTIDA ANA CAREN"/>
    <d v="2025-06-30T00:00:00"/>
    <d v="2026-01-01T00:00:00"/>
    <n v="5000"/>
    <n v="5267.04"/>
    <n v="57"/>
    <x v="2"/>
    <n v="6"/>
    <s v="Mensual"/>
    <n v="1324.52"/>
    <n v="348"/>
    <n v="1160"/>
    <n v="0"/>
    <n v="2"/>
    <n v="2633.52"/>
    <n v="3809.0349679999999"/>
    <n v="1755.68"/>
    <n v="777.35"/>
    <n v="116"/>
    <n v="1160"/>
    <n v="1324.52"/>
    <d v="2025-10-01T00:00:00"/>
    <s v="Entregado"/>
    <n v="7224848066"/>
    <s v="karengyami1993@gmail.com"/>
    <m/>
    <s v="COMPRAVENTA DE CALZADO"/>
    <n v="6212013"/>
    <s v="URTADO CASTREJON PABLO"/>
    <m/>
    <s v="CITLALLI MORALES SALAZAR"/>
    <s v="7295261598"/>
    <s v="IRIS HURTADO CASTREJON"/>
    <s v="7361179319"/>
    <s v="BIBIANA JUAREZ TOTOTZIN"/>
    <s v="7224292933"/>
    <m/>
    <m/>
    <m/>
    <m/>
    <m/>
    <m/>
    <n v="5075.55"/>
    <n v="0"/>
    <n v="1"/>
    <s v="Individual sin Garantía"/>
    <s v="CAMINO VIEJO A TECOMATLAN #128-SN"/>
    <s v="Cruz Vidriada"/>
    <s v="México"/>
    <s v="Tenancingo"/>
    <s v="18°57'49.6&quot;N 99°32'06.1&quot;W"/>
    <s v="Ver en mapa"/>
    <m/>
    <m/>
    <n v="2"/>
    <n v="2"/>
    <s v="Transferencia electrónica"/>
    <s v="100145601"/>
    <n v="2633.52"/>
    <n v="5075.55"/>
    <n v="0.75046743072179367"/>
  </r>
  <r>
    <s v="001409"/>
    <s v="Región Estado México"/>
    <x v="3"/>
    <s v="000042"/>
    <s v="Avila Nieto Luis Alfredo"/>
    <x v="3"/>
    <x v="3"/>
    <s v="02"/>
    <s v="RAMIREZ ROMERO SERGIO"/>
    <d v="2025-09-26T00:00:00"/>
    <d v="2026-04-01T00:00:00"/>
    <n v="10000"/>
    <n v="10534.08"/>
    <n v="57"/>
    <x v="2"/>
    <n v="6"/>
    <s v="Mensual"/>
    <n v="2599.44"/>
    <n v="348"/>
    <n v="1160"/>
    <n v="0"/>
    <n v="2"/>
    <n v="10534.08"/>
    <n v="6358.8815978666662"/>
    <n v="3511.36"/>
    <n v="1571.52"/>
    <n v="116"/>
    <n v="1160"/>
    <m/>
    <m/>
    <s v="Entregado"/>
    <n v="7294046761"/>
    <s v="armadadj@hotmail.com"/>
    <m/>
    <s v="TIENDA DE ABARROTES Y MISCELANEA"/>
    <n v="6131023"/>
    <s v="GUADARRAMA JIMENEZ YESENIA"/>
    <m/>
    <s v="IRLANDA ROMERO MERCADO"/>
    <s v="7223827563"/>
    <s v="ROSARIO RAMIREZ ROMERO"/>
    <s v="7229003618"/>
    <s v="ARTURO GOMEZ MENDEZ"/>
    <s v="7292990336"/>
    <m/>
    <m/>
    <m/>
    <m/>
    <m/>
    <m/>
    <n v="16524.64"/>
    <n v="0"/>
    <n v="1"/>
    <s v="Individual sin Garantía"/>
    <s v="PIRULES #226"/>
    <s v="San Mateo"/>
    <s v="México"/>
    <s v="Tenancingo"/>
    <s v="18°57'55.7&quot;N 99°34'49.1&quot;W"/>
    <s v="Ver en mapa"/>
    <m/>
    <m/>
    <n v="2"/>
    <n v="2"/>
    <s v="Transferencia electrónica"/>
    <s v="100140902"/>
    <n v="10534.08"/>
    <n v="16524.64"/>
    <n v="0.38481211075500987"/>
  </r>
  <r>
    <s v="001571"/>
    <s v="Región Estado México"/>
    <x v="3"/>
    <s v="000041"/>
    <s v="Martinez Perez Juan Daniel"/>
    <x v="3"/>
    <x v="3"/>
    <s v="01"/>
    <s v="VASQUEZ GUARDIAN SALVADOR"/>
    <d v="2025-07-29T00:00:00"/>
    <d v="2026-02-01T00:00:00"/>
    <n v="5000"/>
    <n v="5267.04"/>
    <n v="57"/>
    <x v="2"/>
    <n v="6"/>
    <s v="Mensual"/>
    <n v="1328.72"/>
    <n v="348"/>
    <n v="1740"/>
    <n v="0"/>
    <n v="2"/>
    <n v="3520.08"/>
    <n v="4406.1626410666668"/>
    <n v="1764.4"/>
    <n v="785.76"/>
    <n v="116"/>
    <n v="1740"/>
    <n v="400"/>
    <d v="2025-12-13T00:00:00"/>
    <s v="Entregado"/>
    <n v="3344773102"/>
    <s v="nicoguardian52@gmail.com"/>
    <m/>
    <s v="TRANSPORTE EN AUTOMOVIL DE RULETEO"/>
    <n v="7113012"/>
    <s v="REYES SERRANO YARED"/>
    <m/>
    <s v="GLORIA GUARDIAN BERNAL"/>
    <s v="7226772974"/>
    <s v="SALVIO VASQUEZ FLORES"/>
    <s v="7227855416"/>
    <s v="DIANA MAYELI VASQUEZ REYES"/>
    <s v="7228333821"/>
    <m/>
    <m/>
    <m/>
    <m/>
    <m/>
    <m/>
    <n v="6947.6"/>
    <n v="0"/>
    <n v="1"/>
    <s v="Individual sin Garantía"/>
    <s v="AHUEHUETE #136-SN"/>
    <s v="San Juan Tetitlán"/>
    <s v="México"/>
    <s v="Tenancingo"/>
    <s v="18°58'21.1&quot;N 99°34'10.2&quot;W"/>
    <s v="Ver en mapa"/>
    <m/>
    <m/>
    <n v="4"/>
    <n v="4"/>
    <s v="Transferencia electrónica"/>
    <s v="100157101"/>
    <n v="3520.08"/>
    <n v="6947.6"/>
    <n v="0.63419924017886276"/>
  </r>
  <r>
    <s v="001374"/>
    <s v="Región Estado México"/>
    <x v="3"/>
    <s v="000042"/>
    <s v="Avila Nieto Luis Alfredo"/>
    <x v="3"/>
    <x v="3"/>
    <s v="01"/>
    <s v="BELTRAN AYALA JOSE GUILLERMO"/>
    <d v="2025-06-06T00:00:00"/>
    <d v="2026-06-06T00:00:00"/>
    <n v="20000"/>
    <n v="21068.16"/>
    <n v="54"/>
    <x v="2"/>
    <n v="12"/>
    <s v="Mensual"/>
    <n v="3347.38"/>
    <n v="696"/>
    <n v="1160"/>
    <n v="0"/>
    <n v="1.2"/>
    <n v="13038.68"/>
    <n v="5256.301152"/>
    <n v="2504.6"/>
    <n v="1533.7"/>
    <n v="58"/>
    <n v="1160"/>
    <n v="2000"/>
    <d v="2025-12-18T00:00:00"/>
    <s v="Entregado"/>
    <n v="7224651773"/>
    <s v="guillermobeltran928@gmail.com"/>
    <m/>
    <s v="SERVICIOS DE ALIMENTOS EN LENCERIAS TAQUERIAS Y TORTERIAS"/>
    <n v="8712011"/>
    <m/>
    <m/>
    <s v="FERNANDA AVILA NAVARRETE"/>
    <s v="7229804352"/>
    <s v="MARCEL ROSALES MANCERA"/>
    <s v="7224489318"/>
    <s v="MARIA DEL CARMEN ROMERO"/>
    <s v="7223114459"/>
    <m/>
    <m/>
    <m/>
    <m/>
    <m/>
    <m/>
    <n v="24992.6"/>
    <n v="0"/>
    <n v="1"/>
    <s v="Individual sin Garantía"/>
    <s v="PROL INDEPENDENCIA #SN"/>
    <s v="Ixtapita"/>
    <s v="México"/>
    <s v="Ixtapan De La Sal"/>
    <s v="18°50'34.6&quot;N 99°41'04.7&quot;W"/>
    <s v="Ver en mapa"/>
    <m/>
    <m/>
    <n v="4"/>
    <n v="3"/>
    <s v="Transferencia electrónica"/>
    <s v="100137401"/>
    <n v="13038.68"/>
    <n v="24992.6"/>
    <n v="0.2103142991125373"/>
  </r>
  <r>
    <s v="001149"/>
    <s v="Región Estado México"/>
    <x v="0"/>
    <s v="000029"/>
    <s v="Colin Garduño Estefani"/>
    <x v="2"/>
    <x v="2"/>
    <s v="01"/>
    <s v="VERA GARCIA ALBERTO DE JESUS"/>
    <d v="2025-03-07T00:00:00"/>
    <d v="2026-03-07T00:00:00"/>
    <n v="40000"/>
    <n v="42136.31"/>
    <n v="53"/>
    <x v="2"/>
    <n v="12"/>
    <s v="Mensual"/>
    <n v="6064.3"/>
    <n v="696"/>
    <n v="580"/>
    <n v="0"/>
    <n v="1.8"/>
    <n v="17556.8"/>
    <n v="11287.672500000001"/>
    <n v="7022.72"/>
    <n v="3626.95"/>
    <n v="58"/>
    <n v="580"/>
    <n v="2000"/>
    <d v="2025-11-27T00:00:00"/>
    <s v="Entregado"/>
    <n v="5534144947"/>
    <s v="veragarcia@gmail.com"/>
    <m/>
    <s v="EMPLEADO DEL SECTOR PRIVADO"/>
    <n v="9501009"/>
    <s v="GALICIA PONCE NATHALIE"/>
    <s v="7261264396.0"/>
    <s v="PAOLA GALICIA GONZALEZ"/>
    <s v="7261162243"/>
    <s v="JOSE LUIS VALENZUELA"/>
    <s v="7291607303"/>
    <s v="NATALIA ALBARRAN  VERA"/>
    <s v="7261162630"/>
    <s v="Garantía Prendaria"/>
    <s v="FACTURA EXPEDIDA POR  AUTOCOM ALFA S A P I DE CV , , , Valor 106,319.00, Nombre AUTOMOVIL TIIDA SEDAN SENSE T/M A/A, Folio Factura 98ED4609_1B75_45B6_8, Fecha Factura 12/12/2016, Número de serie 3N1BC1ADXHK193448, Número de motor MR18075995J, Modelo 2017, Marca NISSAN, Propietario VERA GARCIA ALBERTO DE JESUS"/>
    <s v="AUTOMOVIL TIIDA SEDAN SENSE T/M A/A"/>
    <m/>
    <m/>
    <m/>
    <n v="29306.560000000001"/>
    <n v="0"/>
    <n v="1"/>
    <s v="Individual sin Garantía"/>
    <s v="PRIVADA FRAY GREGORIO #SN"/>
    <s v="Barranca Seca"/>
    <s v="México"/>
    <s v="Valle De Bravo"/>
    <m/>
    <s v="Ver en mapa"/>
    <m/>
    <m/>
    <n v="6"/>
    <n v="6"/>
    <s v="Transferencia electrónica"/>
    <s v="100114901"/>
    <n v="17556.8"/>
    <n v="29306.560000000001"/>
    <n v="0.38515856176910562"/>
  </r>
  <r>
    <s v="001283"/>
    <s v="Región Estado México"/>
    <x v="3"/>
    <s v="000082"/>
    <s v="ENRIQUEZ VILCHIS MARIA ALEJANDRA"/>
    <x v="3"/>
    <x v="3"/>
    <s v="02"/>
    <s v="AGUILAR CHAVEZ MA ANGELINA"/>
    <d v="2025-10-27T00:00:00"/>
    <d v="2026-04-13T00:00:00"/>
    <n v="7000"/>
    <n v="7373.85"/>
    <n v="50"/>
    <x v="2"/>
    <n v="12"/>
    <s v="Catorcenal"/>
    <n v="919.56000000000006"/>
    <n v="696"/>
    <n v="2320"/>
    <n v="4"/>
    <n v="3.5"/>
    <n v="7178.92"/>
    <n v="5498.2425359999997"/>
    <n v="2263.02"/>
    <n v="741.22"/>
    <n v="174"/>
    <n v="2320"/>
    <n v="500"/>
    <d v="2025-12-02T00:00:00"/>
    <s v="Entregado"/>
    <n v="7298442686"/>
    <s v="aguilarangqi987@gmail.com"/>
    <m/>
    <s v="COMPRAVENTA DE PERFUMES"/>
    <n v="6231021"/>
    <s v="DAVILA FLORES VALENTIN"/>
    <m/>
    <s v="TERESA DE JESUS GONZALEZ"/>
    <s v="7228633584"/>
    <s v="AMANDA GONZALEZ NUÑEZ"/>
    <s v="7294761146"/>
    <s v="DIANA MITZI DIAZ JARDON"/>
    <s v="7291221647"/>
    <m/>
    <m/>
    <m/>
    <m/>
    <m/>
    <m/>
    <n v="12390.73"/>
    <n v="0"/>
    <n v="1"/>
    <s v="Individual sin Garantía"/>
    <s v="ANDADOR #SN"/>
    <s v="La Ocotalera"/>
    <s v="México"/>
    <s v="Tenancingo"/>
    <m/>
    <s v="Ver en mapa"/>
    <m/>
    <m/>
    <n v="4"/>
    <n v="4"/>
    <s v="Transferencia electrónica"/>
    <s v="100128302"/>
    <n v="7178.92"/>
    <n v="12390.73"/>
    <n v="0.44373838635818869"/>
  </r>
  <r>
    <s v="001520"/>
    <s v="Región Estado México"/>
    <x v="3"/>
    <s v="000042"/>
    <s v="Avila Nieto Luis Alfredo"/>
    <x v="3"/>
    <x v="3"/>
    <s v="01"/>
    <s v="MARTINEZ SUAREZ ROSA MA"/>
    <d v="2025-07-23T00:00:00"/>
    <d v="2026-01-07T00:00:00"/>
    <n v="10000"/>
    <n v="10534.08"/>
    <n v="48"/>
    <x v="2"/>
    <n v="12"/>
    <s v="Catorcenal"/>
    <n v="1288.8"/>
    <n v="696"/>
    <n v="2811.61"/>
    <n v="11"/>
    <n v="4"/>
    <n v="4389.2"/>
    <n v="7908.8209791999998"/>
    <n v="3511.36"/>
    <n v="1411.85"/>
    <n v="174"/>
    <n v="2811.61"/>
    <n v="1290"/>
    <d v="2025-11-26T00:00:00"/>
    <s v="Entregado"/>
    <n v="7221655227"/>
    <s v="rosamart034@gmail.com"/>
    <m/>
    <s v="FABRICACION DE PAN Y PASTELES"/>
    <n v="2071017"/>
    <s v="NOVERON MARTINEZ LUIS JOAQUIN"/>
    <m/>
    <s v="CELIA ZAMORA REYES"/>
    <s v="7223879405"/>
    <s v="PEDRO GOMEZ NOVERON"/>
    <s v="5628385629"/>
    <s v="ANA LIDIA FUENTES"/>
    <s v="7223227991"/>
    <m/>
    <m/>
    <m/>
    <m/>
    <m/>
    <m/>
    <n v="9139.6200000000008"/>
    <n v="0"/>
    <n v="1"/>
    <s v="Individual sin Garantía"/>
    <s v="ALDAMA  #54-2"/>
    <s v="Villa Guerrero"/>
    <s v="México"/>
    <s v="Villa Guerrero"/>
    <s v="18°57'54.7&quot;N 99°38'26.9&quot;W"/>
    <s v="Ver en mapa"/>
    <m/>
    <m/>
    <n v="7"/>
    <n v="7"/>
    <s v="Transferencia electrónica"/>
    <s v="100152001"/>
    <n v="4389.2"/>
    <n v="9139.6200000000008"/>
    <n v="0.86533367680494366"/>
  </r>
  <r>
    <s v="001400"/>
    <s v="Región Estado México"/>
    <x v="1"/>
    <s v="000044"/>
    <s v="Gonzalez Irala Jesus"/>
    <x v="6"/>
    <x v="6"/>
    <s v="01"/>
    <s v="BANDA GOMEZ JOSE DANIEL"/>
    <d v="2025-06-13T00:00:00"/>
    <d v="2025-12-13T00:00:00"/>
    <n v="5000"/>
    <n v="5267.04"/>
    <n v="47"/>
    <x v="2"/>
    <n v="6"/>
    <s v="Mensual"/>
    <n v="1320.32"/>
    <n v="348"/>
    <n v="1160"/>
    <n v="0"/>
    <n v="1.6"/>
    <n v="1678.46"/>
    <n v="3280.94"/>
    <n v="1678.46"/>
    <n v="384.48"/>
    <n v="58"/>
    <n v="1160"/>
    <n v="1000"/>
    <d v="2025-12-18T00:00:00"/>
    <s v="Entregado"/>
    <n v="3312808498"/>
    <s v="jsbandagomez@gmail.com"/>
    <m/>
    <s v="EMPLEADO DEL SECTOR PRIVADO"/>
    <n v="9501009"/>
    <s v="SANCHEZ MARQUEZ DANIELA"/>
    <m/>
    <s v="SILVIA SERNAS"/>
    <s v="5585701980"/>
    <s v="JORGE GOMEZ"/>
    <s v="7291085702"/>
    <s v="JAIME MORALES"/>
    <s v="7229085667"/>
    <m/>
    <m/>
    <m/>
    <m/>
    <m/>
    <m/>
    <n v="3280.94"/>
    <n v="0"/>
    <n v="1"/>
    <s v="Individual sin Garantía"/>
    <s v="VISTA HERMOSA  #13"/>
    <s v="San Francisco"/>
    <s v="México"/>
    <s v="Metepec"/>
    <s v="19°15'56.5&quot;N 99°35'41.4&quot;W"/>
    <s v="Ver en mapa"/>
    <m/>
    <m/>
    <n v="4"/>
    <n v="4"/>
    <s v="Transferencia electrónica"/>
    <s v="100140001"/>
    <n v="1678.46"/>
    <n v="3280.94"/>
    <n v="1"/>
  </r>
  <r>
    <s v="001247"/>
    <s v="Región Estado México"/>
    <x v="0"/>
    <s v="000037"/>
    <s v="CREDIFLEXI CREDIFLEXI CREDIFLEXI"/>
    <x v="2"/>
    <x v="2"/>
    <s v="01"/>
    <s v="BERAUD PEDRAZA LUIS ENRIQUE"/>
    <d v="2025-04-14T00:00:00"/>
    <d v="2026-04-14T00:00:00"/>
    <n v="35000"/>
    <n v="36869.269999999997"/>
    <n v="46"/>
    <x v="2"/>
    <n v="12"/>
    <s v="Mensual"/>
    <n v="5137.82"/>
    <n v="696"/>
    <n v="580"/>
    <n v="0"/>
    <n v="1.1000000000000001"/>
    <n v="15908.45"/>
    <n v="6264.0833000000002"/>
    <n v="3618.69"/>
    <n v="2007.38"/>
    <n v="58.01"/>
    <n v="580"/>
    <n v="5137"/>
    <d v="2025-11-14T00:00:00"/>
    <s v="Entregado"/>
    <n v="7226467396"/>
    <s v="xpicoo@hotmail.com"/>
    <m/>
    <s v="ARRENDAMIENTO DE INMUEBLES RESIDENCIALES"/>
    <n v="8312019"/>
    <s v="ROMERO QUEVEDO MARIA DE LOURDES"/>
    <s v="7226467396.0"/>
    <s v="OSCAR OCHOA RODRIGUEZ"/>
    <s v="7121522008"/>
    <s v="FEDERICO CRUZ"/>
    <s v="7224316916"/>
    <s v="PEPE LOYOLA"/>
    <s v="7224274636"/>
    <s v="Garantía Prendaria"/>
    <s v="FACTURA EXPEDIDA POR AUTOS DE ZITACUARO, SA DE CV., Valor 148,373.00, Nombre VEHICULO JETTA MK VI TRENDLINE P/COMFORTLINE B/AA STD , Folio Factura 868/ZVN, Fecha Factura 13/11/2015, Número de serie 3VW1W2AJ4GM247841, Número de motor CCC275350, Modelo 2016, Marca VOLKSWAGEN, Propietario BERAUD PEDRAZA LUIS ENRIQUE"/>
    <s v="VEHICULO JETTA MK VI TRENDLINE P/COMFORTLINE B/AA STD"/>
    <m/>
    <m/>
    <m/>
    <n v="26583.35"/>
    <n v="0"/>
    <n v="1"/>
    <s v="Individual sin Garantía"/>
    <s v="PRLG 16 DE SEPTIEMBRE  #167-SN"/>
    <s v="La Peña"/>
    <s v="México"/>
    <s v="Valle De Bravo"/>
    <m/>
    <s v="Ver en mapa"/>
    <m/>
    <m/>
    <n v="5"/>
    <n v="4"/>
    <s v="Transferencia electrónica"/>
    <s v="100124701"/>
    <n v="15908.45"/>
    <n v="26583.35"/>
    <n v="0.2356393494424141"/>
  </r>
  <r>
    <s v="001518"/>
    <s v="Región Estado México"/>
    <x v="1"/>
    <s v="000043"/>
    <s v="Cedillo Gonzalez Hugo"/>
    <x v="6"/>
    <x v="6"/>
    <s v="01"/>
    <s v="DIAZ HERNANDEZ ALFREDO"/>
    <d v="2025-07-15T00:00:00"/>
    <d v="2026-07-15T00:00:00"/>
    <n v="10000"/>
    <n v="10534.08"/>
    <n v="42"/>
    <x v="2"/>
    <n v="12"/>
    <s v="Mensual"/>
    <n v="1702.69"/>
    <n v="696"/>
    <n v="1160"/>
    <n v="0"/>
    <n v="1.1000000000000001"/>
    <n v="7199.8"/>
    <n v="3039.77"/>
    <n v="1054.92"/>
    <n v="766.85"/>
    <n v="58"/>
    <n v="1160"/>
    <n v="1703"/>
    <d v="2025-12-16T00:00:00"/>
    <s v="Entregado"/>
    <n v="7298687644"/>
    <s v="luluyfellojuntos@gmail.com"/>
    <m/>
    <s v="COMPRAVENTA DE PAPELERIA Y ARTICULOS DE ESCRITORIO"/>
    <n v="6233019"/>
    <s v="CUEVAS CARMONA LOURDES"/>
    <m/>
    <s v="LOURDES CUEVAS CARMONA"/>
    <s v="7293227308"/>
    <s v="LILI DE JESUS"/>
    <s v="7202791426"/>
    <s v="MARIA DE LOURDES MARTINEZ"/>
    <s v="6633136554"/>
    <m/>
    <m/>
    <m/>
    <m/>
    <m/>
    <m/>
    <n v="14552.61"/>
    <n v="0"/>
    <n v="1"/>
    <s v="Individual sin Garantía"/>
    <s v="LAGO TOTOLCINGO  #110-SN"/>
    <s v="El Seminario 1a Sección"/>
    <s v="México"/>
    <s v="Toluca"/>
    <s v="19°16'17.2&quot;N 99°40'39.8&quot;W"/>
    <s v="Ver en mapa"/>
    <m/>
    <m/>
    <n v="4"/>
    <n v="4"/>
    <s v="Transferencia electrónica"/>
    <s v="100151801"/>
    <n v="7199.8"/>
    <n v="14552.61"/>
    <n v="0.20888143089109101"/>
  </r>
  <r>
    <s v="001770"/>
    <s v="Región Estado México"/>
    <x v="3"/>
    <s v="000041"/>
    <s v="Martinez Perez Juan Daniel"/>
    <x v="3"/>
    <x v="3"/>
    <s v="01"/>
    <s v="ARROYO MORENO MARIA ALEJANDRA"/>
    <d v="2025-08-15T00:00:00"/>
    <d v="2026-02-15T00:00:00"/>
    <n v="8000"/>
    <n v="8427.26"/>
    <n v="42"/>
    <x v="2"/>
    <n v="6"/>
    <s v="Mensual"/>
    <n v="2081.0700000000002"/>
    <n v="348"/>
    <n v="1160"/>
    <n v="0"/>
    <n v="2"/>
    <n v="5618.17"/>
    <n v="5320.2670513777766"/>
    <n v="2809.08"/>
    <n v="1237.04"/>
    <n v="114.14"/>
    <n v="1160"/>
    <n v="2662"/>
    <d v="2025-10-16T00:00:00"/>
    <s v="Entregado"/>
    <n v="7226824469"/>
    <s v="mariaalejandra75@gmail.com"/>
    <m/>
    <s v="SERVICIOS DE ALIMENTOS EN LENCERIAS TAQUERIAS Y TORTERIAS"/>
    <n v="8712011"/>
    <s v="MARTINEZ MARTINEZ TIRSO"/>
    <m/>
    <s v="JOSE MARIA MARTINEZ"/>
    <s v="7201364638"/>
    <s v="ADRIANA SALOME MARTINEZ"/>
    <s v="7223127351"/>
    <s v="ERIK BRAYAN PADILLA MARTINEZ"/>
    <s v="7225320264"/>
    <m/>
    <m/>
    <m/>
    <m/>
    <m/>
    <m/>
    <n v="9366.4"/>
    <n v="0"/>
    <n v="1"/>
    <s v="Individual sin Garantía"/>
    <s v="VENUSTIANO C #SN"/>
    <s v="Tepetzingo"/>
    <s v="México"/>
    <s v="Tenancingo"/>
    <s v="18°56'22.2&quot;N 99°36'53.8&quot;W"/>
    <s v="Ver en mapa"/>
    <m/>
    <m/>
    <n v="4"/>
    <n v="4"/>
    <s v="Transferencia electrónica"/>
    <s v="100177001"/>
    <n v="5618.17"/>
    <n v="9366.4"/>
    <n v="0.5680162123524275"/>
  </r>
  <r>
    <s v="001074"/>
    <s v="Región Estado México"/>
    <x v="1"/>
    <s v="000037"/>
    <s v="CREDIFLEXI CREDIFLEXI CREDIFLEXI"/>
    <x v="5"/>
    <x v="5"/>
    <s v="03"/>
    <s v="HUITRON MORALES ISMAEL"/>
    <d v="2025-10-17T00:00:00"/>
    <d v="2026-04-17T00:00:00"/>
    <n v="8000"/>
    <n v="8427.26"/>
    <n v="42"/>
    <x v="2"/>
    <n v="6"/>
    <s v="Mensual"/>
    <n v="1920.12"/>
    <n v="348"/>
    <n v="1160"/>
    <n v="0"/>
    <n v="2"/>
    <n v="8427.26"/>
    <n v="5000.2309209333334"/>
    <n v="2809.09"/>
    <n v="915.14"/>
    <n v="116"/>
    <n v="1160"/>
    <m/>
    <m/>
    <s v="Entregado"/>
    <n v="5584021198"/>
    <s v="ihuitronm@gmail.com"/>
    <m/>
    <s v="EMPLEADO PRIVADO"/>
    <n v="8944098"/>
    <m/>
    <m/>
    <m/>
    <m/>
    <m/>
    <m/>
    <m/>
    <m/>
    <m/>
    <m/>
    <m/>
    <m/>
    <m/>
    <m/>
    <n v="12448.69"/>
    <n v="0"/>
    <n v="1"/>
    <s v="Individual sin Garantía"/>
    <s v="ATENAS #233 D-4"/>
    <s v="Valle Dorado"/>
    <s v="México"/>
    <s v="Tlalnepantla de Baz"/>
    <m/>
    <s v="Ver en mapa"/>
    <m/>
    <m/>
    <n v="2"/>
    <n v="2"/>
    <s v="Transferencia electrónica"/>
    <s v="100107403"/>
    <n v="8427.26"/>
    <n v="12448.69"/>
    <n v="0.40166723735054322"/>
  </r>
  <r>
    <s v="001368"/>
    <s v="Región Estado México"/>
    <x v="4"/>
    <s v="000046"/>
    <s v="Pech Muñoz Oscar Adrian"/>
    <x v="1"/>
    <x v="1"/>
    <s v="01"/>
    <s v="ORTEGA DE JESUS LETICIA"/>
    <d v="2025-06-03T00:00:00"/>
    <d v="2025-11-18T00:00:00"/>
    <n v="5000"/>
    <n v="5267.04"/>
    <n v="42"/>
    <x v="2"/>
    <n v="24"/>
    <s v="Semanal"/>
    <n v="365.7"/>
    <n v="1392"/>
    <n v="55.31"/>
    <n v="24"/>
    <n v="1"/>
    <n v="219.46"/>
    <n v="653.01"/>
    <n v="219.46"/>
    <n v="88.24"/>
    <n v="290"/>
    <n v="55.31"/>
    <n v="300"/>
    <d v="2025-11-26T00:00:00"/>
    <s v="Entregado"/>
    <n v="7122169338"/>
    <s v="leticiaortegadejesus@gmail.com"/>
    <m/>
    <s v="COMPRAVENTA DE LEGUMBRES Y HORTALIZAS"/>
    <n v="6112023"/>
    <s v="MARCELO RUIZ ENRIQUE"/>
    <s v="7122169338.0"/>
    <s v="DIANA MARCELO"/>
    <s v="5653738175"/>
    <s v="MIGUEL ANGEL CARDENAS"/>
    <s v="7124110220"/>
    <s v="NEREIDA MARTINEZ"/>
    <s v="7124154357"/>
    <m/>
    <m/>
    <m/>
    <m/>
    <m/>
    <m/>
    <n v="653.01"/>
    <n v="0"/>
    <n v="1"/>
    <s v="Individual sin Garantía"/>
    <s v="EJIDO RINCON DE LA CANDELARIA #SN"/>
    <s v="El Rincón de la Candelaria"/>
    <s v="México"/>
    <s v="Atlacomulco"/>
    <s v="19°46'02.0&quot;N 99°52'10.5&quot;W"/>
    <s v="Ver en mapa"/>
    <m/>
    <m/>
    <n v="7"/>
    <n v="7"/>
    <s v="Transferencia electrónica"/>
    <s v="100136801"/>
    <n v="219.46"/>
    <n v="653.01"/>
    <n v="1"/>
  </r>
  <r>
    <s v="001294"/>
    <s v="Región Estado México"/>
    <x v="0"/>
    <s v="000082"/>
    <s v="ENRIQUEZ VILCHIS MARIA ALEJANDRA"/>
    <x v="2"/>
    <x v="2"/>
    <s v="02"/>
    <s v="ALBERTO DIONISIO JOSE MARGARITO"/>
    <d v="2025-09-12T00:00:00"/>
    <d v="2026-02-27T00:00:00"/>
    <n v="7000"/>
    <n v="7373.85"/>
    <n v="39"/>
    <x v="2"/>
    <n v="12"/>
    <s v="Catorcenal"/>
    <n v="919.56000000000006"/>
    <n v="696"/>
    <n v="1160"/>
    <n v="7"/>
    <n v="2.7"/>
    <n v="4880.54"/>
    <n v="3578.2444380000002"/>
    <n v="1808.1"/>
    <n v="494.14"/>
    <n v="116"/>
    <n v="1160"/>
    <n v="1000"/>
    <d v="2025-12-19T00:00:00"/>
    <s v="Entregado"/>
    <n v="7291460410"/>
    <s v="jmad220280@hotmail.com"/>
    <m/>
    <s v="TIENDA DE ABARROTES Y MISCELANEA"/>
    <n v="6131023"/>
    <s v="GONZALEZ COLIN MARIA CONCEPCION"/>
    <s v="7291460410.0"/>
    <s v="PATRICIA DOLORES DE LA CRUZ"/>
    <s v="7293544932"/>
    <s v="CASILDA GARCIA GARCIA"/>
    <s v="7228062469"/>
    <s v="MAURA DE LA CRUZ GARDUÑO"/>
    <s v="5644934125"/>
    <m/>
    <m/>
    <m/>
    <m/>
    <m/>
    <m/>
    <n v="7886.05"/>
    <n v="0"/>
    <n v="1"/>
    <s v="Individual sin Garantía"/>
    <s v="SAN JERONIMO AMANALCO #SN"/>
    <s v="San Jerónimo"/>
    <s v="México"/>
    <s v="Amanalco"/>
    <m/>
    <s v="Ver en mapa"/>
    <m/>
    <m/>
    <n v="6"/>
    <n v="6"/>
    <s v="Transferencia electrónica"/>
    <s v="100129402"/>
    <n v="4880.54"/>
    <n v="7886.05"/>
    <n v="0.45374356464896881"/>
  </r>
  <r>
    <s v="001505"/>
    <s v="Región Estado México"/>
    <x v="3"/>
    <s v="000042"/>
    <s v="Avila Nieto Luis Alfredo"/>
    <x v="3"/>
    <x v="3"/>
    <s v="01"/>
    <s v="MILLAN FUENTES CARMEN GABRIELA"/>
    <d v="2025-07-24T00:00:00"/>
    <d v="2026-01-24T00:00:00"/>
    <n v="10000"/>
    <n v="10534.08"/>
    <n v="36"/>
    <x v="2"/>
    <n v="6"/>
    <s v="Mensual"/>
    <n v="2586.83"/>
    <n v="348"/>
    <n v="1160"/>
    <n v="0"/>
    <n v="2"/>
    <n v="5267.04"/>
    <n v="6333.1732693333333"/>
    <n v="3511.36"/>
    <n v="1546.31"/>
    <n v="115.5"/>
    <n v="1160"/>
    <n v="3164"/>
    <d v="2025-11-07T00:00:00"/>
    <s v="Entregado"/>
    <n v="7223143189"/>
    <s v="Gabymf24@hotmail.com"/>
    <m/>
    <s v="SERVICIOS EN MERENDEROS CENADURIAS Y PREPARACION DE ANTOJITOS Y PLATILLOS REGIONALES"/>
    <n v="8719017"/>
    <m/>
    <m/>
    <s v="ALONSO DAVID MILLAN FUENTES"/>
    <s v="7225603679"/>
    <s v="ANA KAREN MILLAN PEDROZA"/>
    <s v="7226747726"/>
    <s v="PATRICIA PEDROZA RUBI"/>
    <s v="7223771417"/>
    <m/>
    <m/>
    <m/>
    <m/>
    <m/>
    <m/>
    <n v="8862.01"/>
    <n v="0"/>
    <n v="1"/>
    <s v="Individual sin Garantía"/>
    <s v="OVIEDO #27-SN"/>
    <s v="Villa Guerrero"/>
    <s v="México"/>
    <s v="Villa Guerrero"/>
    <s v="18°57'49.6&quot;N 99°38'23.8&quot;W"/>
    <s v="Ver en mapa"/>
    <m/>
    <m/>
    <n v="3"/>
    <n v="3"/>
    <s v="Transferencia electrónica"/>
    <s v="100150501"/>
    <n v="5267.04"/>
    <n v="8862.01"/>
    <n v="0.7146429838527979"/>
  </r>
  <r>
    <s v="001263"/>
    <s v="Región Estado México"/>
    <x v="1"/>
    <s v="000037"/>
    <s v="CREDIFLEXI CREDIFLEXI CREDIFLEXI"/>
    <x v="6"/>
    <x v="6"/>
    <s v="01"/>
    <s v="SOTO HERNANDEZ MARIA ELENA"/>
    <d v="2025-04-23T00:00:00"/>
    <d v="2026-04-23T00:00:00"/>
    <n v="15000"/>
    <n v="15801.12"/>
    <n v="36"/>
    <x v="2"/>
    <n v="12"/>
    <s v="Mensual"/>
    <n v="2525.04"/>
    <n v="696"/>
    <n v="1433.23"/>
    <n v="0"/>
    <n v="2"/>
    <n v="7900.56"/>
    <n v="6425.301152"/>
    <n v="2633.52"/>
    <n v="2300.5500000000002"/>
    <n v="58"/>
    <n v="1433.23"/>
    <n v="1000"/>
    <d v="2025-12-23T00:00:00"/>
    <s v="Entregado"/>
    <n v="7224852577"/>
    <s v="maria.elenahsoto@gmailcom"/>
    <m/>
    <s v="RESTAURANTE"/>
    <n v="8711021"/>
    <m/>
    <m/>
    <s v="CAROLINA LOPEZ"/>
    <s v="7224108994"/>
    <s v="SOFIA ORDOÑEZ"/>
    <s v="7228267354"/>
    <s v="MARCELA MEJIA"/>
    <s v="5649151517"/>
    <m/>
    <m/>
    <m/>
    <m/>
    <m/>
    <m/>
    <n v="16293.45"/>
    <n v="0"/>
    <n v="1"/>
    <s v="Individual sin Garantía"/>
    <s v="RIO TULA #141-SN"/>
    <s v="San Lucas Tepemajalco"/>
    <s v="México"/>
    <s v="San Antonio La Isla"/>
    <m/>
    <s v="Ver en mapa"/>
    <m/>
    <m/>
    <n v="7"/>
    <n v="7"/>
    <s v="Transferencia electrónica"/>
    <s v="100126301"/>
    <n v="7900.56"/>
    <n v="16293.45"/>
    <n v="0.3943487200071194"/>
  </r>
  <r>
    <s v="001601"/>
    <s v="Región Estado México"/>
    <x v="2"/>
    <s v="000053"/>
    <s v="Santos Gomez Mahogany"/>
    <x v="1"/>
    <x v="1"/>
    <s v="01"/>
    <s v="LUGO CORONEL JESUS ARMANDO"/>
    <d v="2025-07-23T00:00:00"/>
    <d v="2026-07-23T00:00:00"/>
    <n v="10000"/>
    <n v="10534.08"/>
    <n v="36"/>
    <x v="2"/>
    <n v="12"/>
    <s v="Mensual"/>
    <n v="1702.69"/>
    <n v="696"/>
    <n v="1160"/>
    <n v="0"/>
    <n v="2"/>
    <n v="7900.56"/>
    <n v="4564.46"/>
    <n v="1755.68"/>
    <n v="1533.7"/>
    <n v="115.08"/>
    <n v="1160"/>
    <n v="1703"/>
    <d v="2025-10-23T00:00:00"/>
    <s v="Entregado"/>
    <n v="4472156039"/>
    <s v="lugocoronel232@gmail.com"/>
    <m/>
    <s v="EMPLEADO DEL SECTOR PRIVADO"/>
    <n v="9501009"/>
    <m/>
    <m/>
    <s v="JORGE LUIS ANGEL ROJAS"/>
    <s v="4471000028"/>
    <s v="ANDRO PONCE GARCIA"/>
    <s v="4471736366"/>
    <s v="STHEPANIE LUGO CORONEL"/>
    <s v="4471007314"/>
    <m/>
    <m/>
    <m/>
    <m/>
    <m/>
    <m/>
    <n v="16077.3"/>
    <n v="0"/>
    <n v="1"/>
    <s v="Individual sin Garantía"/>
    <s v="COMONFORT #11-SN"/>
    <s v="Maravatío de Ocampo Centro"/>
    <s v="Michoacán"/>
    <s v="Maravatio"/>
    <s v="19°53'24.0&quot;N 100°26'39.2&quot;W"/>
    <s v="Ver en mapa"/>
    <m/>
    <m/>
    <n v="2"/>
    <n v="2"/>
    <s v="Transferencia electrónica"/>
    <s v="100160101"/>
    <n v="7900.56"/>
    <n v="16077.3"/>
    <n v="0.2839071237085829"/>
  </r>
  <r>
    <s v="001261"/>
    <s v="Región Estado México"/>
    <x v="3"/>
    <s v="000037"/>
    <s v="CREDIFLEXI CREDIFLEXI CREDIFLEXI"/>
    <x v="3"/>
    <x v="3"/>
    <s v="01"/>
    <s v="DOTOR SOTO ERIKA ALEJANDRA"/>
    <d v="2025-04-23T00:00:00"/>
    <d v="2026-04-23T00:00:00"/>
    <n v="10000"/>
    <n v="10534.08"/>
    <n v="36"/>
    <x v="2"/>
    <n v="12"/>
    <s v="Mensual"/>
    <n v="1702.69"/>
    <n v="696"/>
    <n v="1160"/>
    <n v="0"/>
    <n v="1.6"/>
    <n v="5267.04"/>
    <n v="3847.5341013333332"/>
    <n v="1755.68"/>
    <n v="873.85"/>
    <n v="58"/>
    <n v="1160"/>
    <n v="3000"/>
    <d v="2025-12-22T00:00:00"/>
    <s v="Entregado"/>
    <n v="7225684720"/>
    <s v="erikadotoro@gmail.com"/>
    <m/>
    <s v="COMPRAVENTA DE ARTICULOS REGIONALES CURIOSIDADES Y ARTESANIAS"/>
    <n v="6325048"/>
    <m/>
    <m/>
    <s v="SOCORRO ROJAS ARELLANO"/>
    <s v="7223216079"/>
    <s v="VERONICA ESCOBEDO LOPEZ"/>
    <s v="4434812084"/>
    <s v="MONSERRAT GONZALEZ NAVA"/>
    <s v="7221309262"/>
    <m/>
    <m/>
    <m/>
    <m/>
    <m/>
    <m/>
    <n v="10426.299999999999"/>
    <n v="0"/>
    <n v="1"/>
    <s v="Individual sin Garantía"/>
    <s v="LAS CRUCES #113-SN"/>
    <s v="Chalma"/>
    <s v="México"/>
    <s v="Malinalco"/>
    <m/>
    <s v="Ver en mapa"/>
    <m/>
    <m/>
    <n v="5"/>
    <n v="5"/>
    <s v="Transferencia electrónica"/>
    <s v="100126101"/>
    <n v="5267.04"/>
    <n v="10426.299999999999"/>
    <n v="0.3690220021803835"/>
  </r>
  <r>
    <s v="001418"/>
    <s v="Región Estado México"/>
    <x v="0"/>
    <s v="000040"/>
    <s v="Olayo Gaytan Luis Enrique"/>
    <x v="2"/>
    <x v="2"/>
    <s v="01"/>
    <s v="ALVARADO NORBERTO ELENA NATALIA"/>
    <d v="2025-06-23T00:00:00"/>
    <d v="2025-12-23T00:00:00"/>
    <n v="5000"/>
    <n v="5267.04"/>
    <n v="36"/>
    <x v="2"/>
    <n v="6"/>
    <s v="Mensual"/>
    <n v="1320.32"/>
    <n v="348"/>
    <n v="580"/>
    <n v="0"/>
    <n v="1.4"/>
    <n v="1428.42"/>
    <n v="2450.9"/>
    <n v="1428.42"/>
    <n v="384.48"/>
    <n v="58"/>
    <n v="580"/>
    <n v="1330"/>
    <d v="2025-11-27T00:00:00"/>
    <s v="Entregado"/>
    <n v="7224684947"/>
    <s v="enataalvarado@gmail.com"/>
    <m/>
    <s v="EMPLEADO PRIVADO"/>
    <n v="8944098"/>
    <s v="VELAZQUEZ LOPEZ HECTOR"/>
    <s v="7224684947.0"/>
    <s v="BERENICE JIMENEZ SANCHEZ"/>
    <s v="7223587737"/>
    <s v="GUADALUPE SALINAS SALAZAR"/>
    <s v="7155934207"/>
    <s v="JUAN MANUEL SANCHEZ"/>
    <s v="7223568720"/>
    <m/>
    <m/>
    <m/>
    <m/>
    <m/>
    <m/>
    <n v="2450.9"/>
    <n v="0"/>
    <n v="1"/>
    <s v="Individual sin Garantía"/>
    <s v="VEGA DEL VALLE  #2311-SN"/>
    <s v="Avándaro"/>
    <s v="México"/>
    <s v="Valle De Bravo"/>
    <s v="19°09'28.1&quot;N 100°08'20.0&quot;W"/>
    <s v="Ver en mapa"/>
    <m/>
    <m/>
    <n v="4"/>
    <n v="4"/>
    <s v="Transferencia electrónica"/>
    <s v="100141801"/>
    <n v="1428.42"/>
    <n v="2450.9"/>
    <n v="1"/>
  </r>
  <r>
    <s v="001338"/>
    <s v="Región Estado México"/>
    <x v="4"/>
    <s v="000049"/>
    <s v="Morales Desiderio Patricia"/>
    <x v="1"/>
    <x v="1"/>
    <s v="01"/>
    <s v="PLATA RAMIREZ MA ELIZABETH"/>
    <d v="2025-05-26T00:00:00"/>
    <d v="2026-05-26T00:00:00"/>
    <n v="15000"/>
    <n v="15801.12"/>
    <n v="34"/>
    <x v="2"/>
    <n v="12"/>
    <s v="Mensual"/>
    <n v="2525.04"/>
    <n v="696"/>
    <n v="580.01"/>
    <n v="0"/>
    <n v="1.1000000000000001"/>
    <n v="8083.74"/>
    <n v="3288.223508"/>
    <n v="1499.94"/>
    <n v="1150.27"/>
    <n v="58"/>
    <n v="580.01"/>
    <n v="2526"/>
    <d v="2025-12-26T00:00:00"/>
    <s v="Entregado"/>
    <n v="7121830408"/>
    <s v="elimexicanita@hotmail.com"/>
    <m/>
    <s v="SERVICIOS DE ALIMENTOS EN LENCERIAS TAQUERIAS Y TORTERIAS"/>
    <n v="8712011"/>
    <m/>
    <m/>
    <s v="YAHIR LOPEZ"/>
    <s v="7225524341"/>
    <s v="LUCY EVANGELINA SANCHEZ"/>
    <s v="7121544724"/>
    <s v="BEATRIZ RAMIREZ"/>
    <s v="7121633320"/>
    <m/>
    <m/>
    <m/>
    <m/>
    <m/>
    <m/>
    <n v="15623.41"/>
    <n v="0"/>
    <n v="1"/>
    <s v="Individual sin Garantía"/>
    <s v="AV ATA #21-SN"/>
    <s v="Atlacomulco de Fabela Centro"/>
    <s v="México"/>
    <s v="Atlacomulco"/>
    <m/>
    <s v="Ver en mapa"/>
    <m/>
    <m/>
    <n v="6"/>
    <n v="6"/>
    <s v="Transferencia electrónica"/>
    <s v="100133801"/>
    <n v="8083.74"/>
    <n v="15623.41"/>
    <n v="0.21046772170736089"/>
  </r>
  <r>
    <s v="001347"/>
    <s v="Región Estado México"/>
    <x v="0"/>
    <s v="000040"/>
    <s v="Olayo Gaytan Luis Enrique"/>
    <x v="2"/>
    <x v="2"/>
    <s v="01"/>
    <s v="CRUZ GARCIA DIEGO AMANDO"/>
    <d v="2025-05-28T00:00:00"/>
    <d v="2025-11-28T00:00:00"/>
    <n v="5000"/>
    <n v="5267.04"/>
    <n v="32"/>
    <x v="2"/>
    <n v="6"/>
    <s v="Mensual"/>
    <n v="1322.42"/>
    <n v="348"/>
    <n v="580"/>
    <n v="0"/>
    <n v="0.5"/>
    <n v="607.5"/>
    <n v="1245.5"/>
    <n v="607.5"/>
    <n v="0"/>
    <n v="58"/>
    <n v="580"/>
    <n v="2600"/>
    <d v="2025-12-15T00:00:00"/>
    <s v="Entregado"/>
    <n v="7224250483"/>
    <s v="cruzdiego8090@gmail.com"/>
    <m/>
    <s v="TIENDA DE ABARROTES Y MISCELANEA"/>
    <n v="6131023"/>
    <m/>
    <m/>
    <s v="GLORIA ALVAREZ"/>
    <s v="7293771413"/>
    <s v="TERESA HERNANDEZ DE FREMAN"/>
    <s v="7261264167"/>
    <s v="MARISOL AYALA CRUZ"/>
    <s v="7223709734"/>
    <m/>
    <m/>
    <m/>
    <m/>
    <m/>
    <m/>
    <n v="1245.5"/>
    <n v="0"/>
    <n v="1"/>
    <s v="Individual sin Garantía"/>
    <s v="CAMINO A LAS MONJAS #SN"/>
    <s v="Santa María Pipioltepec (Pipioltepec)"/>
    <s v="México"/>
    <s v="Valle De Bravo"/>
    <m/>
    <s v="Ver en mapa"/>
    <m/>
    <m/>
    <n v="5"/>
    <n v="5"/>
    <s v="Transferencia electrónica"/>
    <s v="100134701"/>
    <n v="607.5"/>
    <n v="1245.5"/>
    <n v="1"/>
  </r>
  <r>
    <s v="001460"/>
    <s v="Región Estado México"/>
    <x v="4"/>
    <s v="000045"/>
    <s v="Galindo Reyes Leticia"/>
    <x v="1"/>
    <x v="1"/>
    <s v="01"/>
    <s v="GUADARRAMA CORREA AARON"/>
    <d v="2025-07-01T00:00:00"/>
    <d v="2026-07-01T00:00:00"/>
    <n v="20000"/>
    <n v="21068.16"/>
    <n v="29"/>
    <x v="3"/>
    <n v="12"/>
    <s v="Mensual"/>
    <n v="3347.38"/>
    <n v="696"/>
    <n v="0"/>
    <n v="0"/>
    <n v="0.3"/>
    <n v="13191.3"/>
    <n v="901.54"/>
    <n v="901.54"/>
    <n v="0"/>
    <n v="0"/>
    <n v="0"/>
    <n v="1000"/>
    <d v="2025-12-26T00:00:00"/>
    <s v="Entregado"/>
    <n v="7122924932"/>
    <s v="aaronguadarramacorrea@gmail.com"/>
    <m/>
    <s v="CULTIVO DE FLORES Y PLANTAS DE ORNATO"/>
    <n v="131011"/>
    <s v="MARTINEZ GONZALEZ JOSELIN"/>
    <s v="7122621391.0"/>
    <s v="LEANDRO GONZALEZ"/>
    <s v="5511381201"/>
    <s v="LUIS GUTIERREZ SANTOS"/>
    <s v="7711301808"/>
    <s v="MARIA LUISA MARTINEZ"/>
    <s v="7121402932"/>
    <m/>
    <m/>
    <m/>
    <m/>
    <m/>
    <m/>
    <n v="23927.22"/>
    <n v="0"/>
    <n v="1"/>
    <s v="Individual sin Garantía"/>
    <s v="MANTO DEL RIO #SN"/>
    <s v="Manto del Río"/>
    <s v="México"/>
    <s v="Atlacomulco"/>
    <s v="19°50'11.1&quot;N 99°55'27.7&quot;W"/>
    <s v="Ver en mapa"/>
    <m/>
    <m/>
    <n v="3"/>
    <n v="2"/>
    <s v="Transferencia electrónica"/>
    <s v="100146001"/>
    <n v="13191.3"/>
    <n v="23927.22"/>
    <n v="3.7678426495012789E-2"/>
  </r>
  <r>
    <s v="001449"/>
    <s v="Región Estado México"/>
    <x v="4"/>
    <s v="000082"/>
    <s v="ENRIQUEZ VILCHIS MARIA ALEJANDRA"/>
    <x v="2"/>
    <x v="2"/>
    <s v="02"/>
    <s v="SOTO MENDOZA LIDIA"/>
    <d v="2025-10-31T00:00:00"/>
    <d v="2026-05-01T00:00:00"/>
    <n v="25000"/>
    <n v="26335.19"/>
    <n v="29"/>
    <x v="3"/>
    <n v="6"/>
    <s v="Mensual"/>
    <n v="6359.07"/>
    <n v="348"/>
    <n v="580"/>
    <n v="0"/>
    <n v="1"/>
    <n v="26335.19"/>
    <n v="6939.0783000000001"/>
    <n v="4389.2"/>
    <n v="1911.88"/>
    <n v="58"/>
    <n v="580"/>
    <m/>
    <m/>
    <s v="Entregado"/>
    <n v="7122511512"/>
    <s v="lsoto7950@gmail.com"/>
    <m/>
    <s v="SERVICIOS DE CONSULTORIOS Y CLINICAS DENTALES"/>
    <n v="9213018"/>
    <m/>
    <m/>
    <s v="MARISOL COOPLE"/>
    <s v="7121029851"/>
    <s v="ROSA SOTO"/>
    <s v="7121698198"/>
    <s v="EDITH COYOTE ALCANTAR"/>
    <s v="7121336465"/>
    <m/>
    <m/>
    <m/>
    <m/>
    <m/>
    <m/>
    <n v="38444.449999999997"/>
    <n v="0"/>
    <n v="1"/>
    <s v="Individual sin Garantía"/>
    <s v="BO EL FRESNO #SN"/>
    <s v="Santiago Casandeje"/>
    <s v="México"/>
    <s v="Jocotitlan"/>
    <m/>
    <s v="Ver en mapa"/>
    <m/>
    <m/>
    <n v="1"/>
    <n v="1"/>
    <s v="Transferencia electrónica"/>
    <s v="100144902"/>
    <n v="26335.19"/>
    <n v="38444.449999999997"/>
    <n v="0.18049623027511119"/>
  </r>
  <r>
    <s v="001609"/>
    <s v="Región Estado México"/>
    <x v="4"/>
    <s v="000047"/>
    <s v="Juarez Matias Alejandro"/>
    <x v="1"/>
    <x v="1"/>
    <s v="01"/>
    <s v="VELASCO JOSE ANTONIO"/>
    <d v="2025-08-04T00:00:00"/>
    <d v="2026-08-04T00:00:00"/>
    <n v="20000"/>
    <n v="21068.16"/>
    <n v="26"/>
    <x v="3"/>
    <n v="12"/>
    <s v="Mensual"/>
    <n v="3347.38"/>
    <n v="696"/>
    <n v="580"/>
    <n v="0"/>
    <n v="1"/>
    <n v="15801.12"/>
    <n v="3926.5341013333332"/>
    <n v="1755.68"/>
    <n v="1533.7"/>
    <n v="57.15"/>
    <n v="580"/>
    <n v="3928"/>
    <d v="2025-11-21T00:00:00"/>
    <s v="Entregado"/>
    <n v="7226431992"/>
    <s v="antoniovelasco56@icloud.com"/>
    <m/>
    <s v="FABRICACION DE ROPA CON PIEL"/>
    <n v="2419069"/>
    <s v="VELASCO BECERRIL HORTENCIA"/>
    <m/>
    <s v="ALEJANDRO VELASCO VELASCO"/>
    <s v="7121328986"/>
    <s v="NOE VELASCO VELASCO"/>
    <s v="5539078632"/>
    <s v="NAIDELIN VELASCO VELASCO"/>
    <s v="7204332006"/>
    <m/>
    <m/>
    <m/>
    <m/>
    <m/>
    <m/>
    <n v="30241.599999999999"/>
    <n v="0"/>
    <n v="1"/>
    <s v="Individual sin Garantía"/>
    <s v="SAN ANTONIO ENCHISI #SN"/>
    <s v="San Antonio Enchisi"/>
    <s v="México"/>
    <s v="Atlacomulco"/>
    <s v="19°44'53.2&quot;N 99°48'26.7&quot;W"/>
    <s v="Ver en mapa"/>
    <m/>
    <m/>
    <n v="4"/>
    <n v="4"/>
    <s v="Transferencia electrónica"/>
    <s v="100160901"/>
    <n v="15801.12"/>
    <n v="30241.599999999999"/>
    <n v="0.129838834629561"/>
  </r>
  <r>
    <s v="001741"/>
    <s v="Región Estado México"/>
    <x v="3"/>
    <s v="000041"/>
    <s v="Martinez Perez Juan Daniel"/>
    <x v="3"/>
    <x v="3"/>
    <s v="01"/>
    <s v="PRADO ROGEL MIREYA"/>
    <d v="2025-08-07T00:00:00"/>
    <d v="2026-08-07T00:00:00"/>
    <n v="10000"/>
    <n v="10534.08"/>
    <n v="22"/>
    <x v="3"/>
    <n v="12"/>
    <s v="Mensual"/>
    <n v="1702.69"/>
    <n v="696"/>
    <n v="580"/>
    <n v="0"/>
    <n v="1"/>
    <n v="8659.49"/>
    <n v="2274.77"/>
    <n v="1636.77"/>
    <n v="0"/>
    <n v="58"/>
    <n v="580"/>
    <n v="2290"/>
    <d v="2025-12-06T00:00:00"/>
    <s v="Entregado"/>
    <n v="7295713281"/>
    <s v="mireyaprado32@gmail.com"/>
    <m/>
    <s v="COMPRAVENTA DE CALZADO"/>
    <n v="6212013"/>
    <s v="ROGEL ESCOBAR NESTOR EDUARDO"/>
    <m/>
    <s v="LESLY PRADO ROGEL"/>
    <s v="7226140293"/>
    <s v="IRIS ALONDRA ROGEL PRADO"/>
    <s v="7228957579"/>
    <s v="BRISEYDA PRADO ROGEL"/>
    <s v="7293067888"/>
    <m/>
    <m/>
    <m/>
    <m/>
    <m/>
    <m/>
    <n v="15432.3"/>
    <n v="0"/>
    <n v="1"/>
    <s v="Individual sin Garantía"/>
    <s v="BENITO JUAREZ #SN"/>
    <s v="San Martin Coapaxtongo cu"/>
    <s v="México"/>
    <s v="Tenancingo"/>
    <s v="18°59'27.7&quot;N 99°34'18.6&quot;W"/>
    <s v="Ver en mapa"/>
    <m/>
    <m/>
    <n v="2"/>
    <n v="2"/>
    <s v="Transferencia electrónica"/>
    <s v="100174101"/>
    <n v="8659.49"/>
    <n v="15432.3"/>
    <n v="0.14740317386261281"/>
  </r>
  <r>
    <s v="001176"/>
    <s v="Región Estado México"/>
    <x v="0"/>
    <s v="000037"/>
    <s v="CREDIFLEXI CREDIFLEXI CREDIFLEXI"/>
    <x v="2"/>
    <x v="2"/>
    <s v="01"/>
    <s v="ARRIAGA ALBARRAN KARINA"/>
    <d v="2025-05-07T00:00:00"/>
    <d v="2026-05-07T00:00:00"/>
    <n v="15000"/>
    <n v="15801.12"/>
    <n v="22"/>
    <x v="3"/>
    <n v="12"/>
    <s v="Mensual"/>
    <n v="2525.04"/>
    <n v="696"/>
    <n v="0"/>
    <n v="0"/>
    <n v="0.2"/>
    <n v="7113.06"/>
    <n v="529.263508"/>
    <n v="529.26"/>
    <n v="0"/>
    <n v="0"/>
    <n v="0"/>
    <n v="2560"/>
    <d v="2025-12-08T00:00:00"/>
    <s v="Entregado"/>
    <n v="7294965466"/>
    <s v="albarranarriaga.1989@gmail.com"/>
    <m/>
    <s v="COMPRAVENTA DE PAPELERIA Y ARTICULOS DE ESCRITORIO"/>
    <n v="6233019"/>
    <m/>
    <m/>
    <s v="ANDREA NOHEMI ALANIS REYES"/>
    <s v="7222466368"/>
    <s v="ERIKA MACARIO ESTRADA"/>
    <s v="7221005084"/>
    <s v="ESMERALDA VALENTINA GALLEGOS"/>
    <s v="72261163203"/>
    <m/>
    <m/>
    <m/>
    <m/>
    <m/>
    <m/>
    <n v="12864.45"/>
    <n v="0"/>
    <n v="1"/>
    <s v="Individual sin Garantía"/>
    <s v="EL ARCO #SN"/>
    <s v="El Arco"/>
    <s v="México"/>
    <s v="Valle De Bravo"/>
    <m/>
    <s v="Ver en mapa"/>
    <m/>
    <m/>
    <n v="7"/>
    <n v="7"/>
    <s v="Transferencia electrónica"/>
    <s v="100117601"/>
    <n v="7113.06"/>
    <n v="12864.45"/>
    <n v="4.1141557392659622E-2"/>
  </r>
  <r>
    <s v="001242"/>
    <s v="Región Estado México"/>
    <x v="0"/>
    <s v="000037"/>
    <s v="CREDIFLEXI CREDIFLEXI CREDIFLEXI"/>
    <x v="2"/>
    <x v="2"/>
    <s v="01"/>
    <s v="CAMBRON MEJIA ROCIO"/>
    <d v="2025-04-09T00:00:00"/>
    <d v="2026-04-09T00:00:00"/>
    <n v="30000"/>
    <n v="31602.23"/>
    <n v="21"/>
    <x v="3"/>
    <n v="12"/>
    <s v="Mensual"/>
    <n v="4412.13"/>
    <n v="696"/>
    <n v="633.9"/>
    <n v="0"/>
    <n v="1"/>
    <n v="13167.6"/>
    <n v="4988.0333000000001"/>
    <n v="2633.52"/>
    <n v="1720.61"/>
    <n v="0"/>
    <n v="633.9"/>
    <n v="5344"/>
    <d v="2025-12-10T00:00:00"/>
    <s v="Entregado"/>
    <n v="7224003355"/>
    <s v="cambronmejia@gmail.com"/>
    <m/>
    <s v="EMPLEADO DEL SECTOR PUBLICO"/>
    <n v="9800000"/>
    <s v="MORA BARRERA JESUS"/>
    <s v="7224003355.0"/>
    <s v="FRANCISCO JAVIER OLIVARES OSOR"/>
    <s v="7222679031"/>
    <s v="ALEJANDRA ESQUIVEL"/>
    <s v="6562856455"/>
    <s v="SANDY ARELLANO"/>
    <s v="7226939337"/>
    <s v="Garantía Prendaria"/>
    <s v="FACTURA EXPEDIDA POR COMPACTOS ORIENTALES, S.A DE C.V._x000d__x000a_UNIDAD USADA MARCA NISSAN SENTRA 4 PTAS. GST TIPICO STD: Color ext ROJO/PERLADO.. inr. GRIS /: Modelo 1996, , Valor 12,980.00, Nombre SENTRA 4 PTAS GST TIPICO STD: Color ext. ROJO/ PERLADO int. GRIS , Folio Factura 19565, Fecha Factura 31/10/2001, Número de serie 006797, Número de motor GA16712689S, Modelo 1996, Marca NISSAN, Propietario CAMBRON MEJIA ROCIO"/>
    <s v="SENTRA 4 PTAS GST TIPICO STD: Color ext. ROJO/ PERLADO int. GRIS"/>
    <m/>
    <m/>
    <m/>
    <n v="22404.55"/>
    <n v="0"/>
    <n v="1"/>
    <s v="Individual sin Garantía"/>
    <s v="LOS LAURELES #320-SN"/>
    <s v="Colorines"/>
    <s v="México"/>
    <s v="Valle De Bravo"/>
    <m/>
    <s v="Ver en mapa"/>
    <m/>
    <m/>
    <n v="4"/>
    <n v="4"/>
    <s v="Transferencia electrónica"/>
    <s v="100124201"/>
    <n v="13167.6"/>
    <n v="22404.55"/>
    <n v="0.2226348353347869"/>
  </r>
  <r>
    <s v="001079"/>
    <s v="Región Estado México"/>
    <x v="2"/>
    <s v="000037"/>
    <s v="CREDIFLEXI CREDIFLEXI CREDIFLEXI"/>
    <x v="5"/>
    <x v="5"/>
    <s v="02"/>
    <s v="ZEPEDA SANABRIA CECILIA"/>
    <d v="2025-07-10T00:00:00"/>
    <d v="2026-07-10T00:00:00"/>
    <n v="42000"/>
    <n v="44243.13"/>
    <n v="20"/>
    <x v="3"/>
    <n v="12"/>
    <s v="Mensual"/>
    <n v="6153.78"/>
    <n v="696"/>
    <n v="580"/>
    <n v="0"/>
    <n v="1"/>
    <n v="29495.42"/>
    <n v="6732.9079106250001"/>
    <n v="3686.93"/>
    <n v="2408.85"/>
    <n v="57.13"/>
    <n v="580"/>
    <n v="6734"/>
    <d v="2025-11-12T00:00:00"/>
    <s v="Entregado"/>
    <n v="4471294396"/>
    <s v="ceciliazepeda121@hotmail.com"/>
    <m/>
    <s v="COMPRAVENTA DE ROPA"/>
    <n v="6211023"/>
    <s v="ESPINOZA LOPEZ JAIME"/>
    <m/>
    <s v="ANA CECILIA ESPINOZA ZEPEDA"/>
    <s v="4471114441"/>
    <s v="CRISTIAN MANUEL ESPINOZA LAGUNA"/>
    <s v="4431297759"/>
    <s v="MANUEL ZEPEDA SANABRIA"/>
    <s v="4471295661"/>
    <s v="Garantía Prendaria"/>
    <s v="FACTURA EXPEDIDA POR DISTRIBUCION DE COMERCIO EXTERIOR ASIA MEXICO, S.A. DE C.V., , Valor 79,370.00, Nombre VEHICULO DAKOTA , Folio Factura 5898B, Fecha Factura 27/12/2010, Número de serie 1B7GL22X51S295291, Número de motor SIN NUMERO, Modelo 2001, Marca DODGE, Propietario ZEPEDA SANABRIA CECILIA, Valor 79,370.00, Nombre VEHICULO DAKOTA, Folio Factura 5898B, Fecha Factura 27/12/2010, Número de serie 1B7GL22X51S295291, Número de motor SIN NUMERO, Modelo 2001, Marca DODGE, Propietario ZEPEDA SANABRIA CECILIA"/>
    <s v="VEHICULO DAKOTA"/>
    <m/>
    <m/>
    <m/>
    <n v="49403.38"/>
    <n v="0"/>
    <n v="2"/>
    <s v="Individual con Garantía Vehicular"/>
    <s v="NAZARETH #75-SN"/>
    <s v="San Nicolás"/>
    <s v="Michoacán"/>
    <s v="Maravatio"/>
    <s v="19°53'53.5&quot;N 100°26'20.2&quot;W"/>
    <s v="Ver en mapa"/>
    <m/>
    <m/>
    <n v="3"/>
    <n v="2"/>
    <s v="Transferencia electrónica"/>
    <s v="100107902"/>
    <n v="29495.42"/>
    <n v="49403.38"/>
    <n v="0.13628435768210589"/>
  </r>
  <r>
    <s v="002369"/>
    <s v="Región Estado México"/>
    <x v="1"/>
    <s v="000037"/>
    <s v="CREDIFLEXI CREDIFLEXI CREDIFLEXI"/>
    <x v="4"/>
    <x v="4"/>
    <s v="01"/>
    <s v="JIMENEZ GARCIA ANGELICA MARIBEL"/>
    <d v="2025-08-26T00:00:00"/>
    <d v="2026-02-28T00:00:00"/>
    <n v="10000"/>
    <n v="10000"/>
    <n v="15"/>
    <x v="4"/>
    <n v="12"/>
    <s v="Quincenal"/>
    <n v="986.61"/>
    <n v="372"/>
    <n v="0"/>
    <n v="0"/>
    <n v="2"/>
    <n v="5337.82"/>
    <n v="1973.23"/>
    <n v="1706.42"/>
    <n v="204.81"/>
    <n v="62"/>
    <n v="0"/>
    <n v="986.61"/>
    <d v="2025-12-15T00:00:00"/>
    <s v="Entregado"/>
    <n v="7224310823"/>
    <s v="amjg2013@gmail.com"/>
    <m/>
    <s v="EMPLEADO DEL SECTOR PRIVADO"/>
    <n v="9501009"/>
    <s v="GARCIA MONTES FRANCISCO XAVIER"/>
    <m/>
    <m/>
    <m/>
    <m/>
    <m/>
    <m/>
    <m/>
    <m/>
    <m/>
    <m/>
    <m/>
    <m/>
    <m/>
    <n v="5604.63"/>
    <n v="0"/>
    <n v="1"/>
    <s v="Individual Especial Semanal"/>
    <s v="CTO HDA EL NARDO #MZ43-LT2B"/>
    <s v="Rinconada del Valle"/>
    <s v="México"/>
    <s v="Temoaya"/>
    <m/>
    <s v="Ver en mapa"/>
    <m/>
    <m/>
    <n v="4"/>
    <n v="4"/>
    <s v="Transferencia electrónica"/>
    <s v="100236901"/>
    <n v="5337.82"/>
    <n v="5604.63"/>
    <n v="0.35207141238583101"/>
  </r>
  <r>
    <s v="003186"/>
    <s v="Región Estado México"/>
    <x v="3"/>
    <s v="000037"/>
    <s v="CREDIFLEXI CREDIFLEXI CREDIFLEXI"/>
    <x v="3"/>
    <x v="3"/>
    <s v="01"/>
    <s v="CORONA LAGUNAS CONCEPCION"/>
    <d v="2025-10-06T00:00:00"/>
    <d v="2026-03-23T00:00:00"/>
    <n v="5000"/>
    <n v="5267.04"/>
    <n v="15"/>
    <x v="4"/>
    <n v="12"/>
    <s v="Catorcenal"/>
    <n v="673.4"/>
    <n v="696"/>
    <n v="1160"/>
    <n v="6"/>
    <n v="1.9"/>
    <n v="3511.36"/>
    <n v="2403.0100000000002"/>
    <n v="877.84"/>
    <n v="307.17"/>
    <n v="58"/>
    <n v="1160"/>
    <n v="675"/>
    <d v="2025-12-15T00:00:00"/>
    <s v="Entregado"/>
    <n v="7223344062"/>
    <s v="coronaconcepcion515@gmail.com"/>
    <m/>
    <s v="EMPLEADO PRIVADO"/>
    <n v="8944098"/>
    <s v="ESTRADA GUADARRAMA FRANCISCO"/>
    <m/>
    <s v="ANDRES CORONA LAGUNAS"/>
    <s v="7205750865"/>
    <s v="FRANCISCO GUADARRAMA"/>
    <s v="7228045660"/>
    <s v="MARTIZA CORONA"/>
    <s v="7295938738"/>
    <m/>
    <m/>
    <m/>
    <m/>
    <m/>
    <m/>
    <n v="6095.41"/>
    <n v="0"/>
    <n v="1"/>
    <s v="Individual sin Garantía"/>
    <s v="CAM AL  AHUEHUETE #SN"/>
    <s v="San Juan Tetitlán"/>
    <s v="México"/>
    <s v="Tenancingo"/>
    <s v="18°58'21.0&quot;N 99°34'13.4&quot;W"/>
    <s v="Ver en mapa"/>
    <m/>
    <m/>
    <n v="5"/>
    <n v="5"/>
    <s v="Transferencia electrónica"/>
    <s v="100318601"/>
    <n v="3511.36"/>
    <n v="6095.41"/>
    <n v="0.39423270953061412"/>
  </r>
  <r>
    <s v="001393"/>
    <s v="Región Estado México"/>
    <x v="3"/>
    <s v="000042"/>
    <s v="Avila Nieto Luis Alfredo"/>
    <x v="5"/>
    <x v="5"/>
    <s v="01"/>
    <s v="SANCHEZ RODRIGUEZ BELEN"/>
    <d v="2025-06-12T00:00:00"/>
    <d v="2025-12-12T00:00:00"/>
    <n v="10000"/>
    <n v="10534.08"/>
    <n v="15"/>
    <x v="4"/>
    <n v="6"/>
    <s v="Mensual"/>
    <n v="2582.63"/>
    <n v="348"/>
    <n v="580"/>
    <n v="0"/>
    <n v="1"/>
    <n v="1755.68"/>
    <n v="3162.17"/>
    <n v="1755.68"/>
    <n v="768.96"/>
    <n v="57.53"/>
    <n v="580"/>
    <n v="3163"/>
    <d v="2025-11-13T00:00:00"/>
    <s v="Entregado"/>
    <n v="7224257357"/>
    <s v="belsanrod3081@gmail.com"/>
    <m/>
    <s v="FABRICACION DE CERRADURAS"/>
    <n v="3515022"/>
    <s v="GONZALEZ GOMEZ VIANEY"/>
    <m/>
    <s v="JOSE DE JESUS GONZALEZ SANCHEZ"/>
    <s v="7228435817"/>
    <s v="HUMBERTO EMMANUEL SANCHEZ RODRIGUEZ"/>
    <s v="7223740919"/>
    <s v="JUAN ALBERTO ARIZMENDI VAZQUEZ"/>
    <s v="7218890607"/>
    <m/>
    <m/>
    <m/>
    <m/>
    <m/>
    <m/>
    <n v="3162.17"/>
    <n v="0"/>
    <n v="1"/>
    <s v="Individual sin Garantía"/>
    <s v="ZARAGOZA #32-SN"/>
    <s v="Ixtapan de la Sal"/>
    <s v="México"/>
    <s v="Ixtapan De La Sal"/>
    <s v="18°50'30.4&quot;N 99°40'38.7&quot;W"/>
    <s v="Ver en mapa"/>
    <m/>
    <m/>
    <n v="5"/>
    <n v="5"/>
    <s v="Transferencia electrónica"/>
    <s v="100139301"/>
    <n v="1755.68"/>
    <n v="3162.17"/>
    <n v="1"/>
  </r>
  <r>
    <s v="003040"/>
    <s v="Región Estado México"/>
    <x v="1"/>
    <s v="000037"/>
    <s v="CREDIFLEXI CREDIFLEXI CREDIFLEXI"/>
    <x v="5"/>
    <x v="5"/>
    <s v="01"/>
    <s v="LEONARDO CASTAÑON MAXIMILIANO"/>
    <d v="2025-10-16T00:00:00"/>
    <d v="2025-12-16T00:00:00"/>
    <n v="127522.5"/>
    <n v="127522.5"/>
    <n v="14"/>
    <x v="4"/>
    <n v="2"/>
    <s v="Mensual"/>
    <n v="6561.13"/>
    <n v="370"/>
    <n v="0"/>
    <n v="0"/>
    <n v="0.9"/>
    <n v="126360.76"/>
    <n v="126360.76"/>
    <n v="126360.76"/>
    <n v="0"/>
    <n v="0"/>
    <n v="0"/>
    <n v="7142"/>
    <d v="2025-12-18T00:00:00"/>
    <s v="Entregado"/>
    <n v="5522711874"/>
    <s v="max101959@hotmail.com"/>
    <m/>
    <s v="SERVICIOS MEDICO GENERAL Y ESPECIALIZADO EN CONSULTORIOS"/>
    <n v="9212010"/>
    <m/>
    <m/>
    <m/>
    <m/>
    <m/>
    <m/>
    <m/>
    <m/>
    <m/>
    <m/>
    <m/>
    <m/>
    <m/>
    <m/>
    <n v="126360.76"/>
    <n v="0"/>
    <n v="2"/>
    <s v="Individual Especial Revolvente"/>
    <s v="AV LAS FUENTES #648-SN"/>
    <s v="Jardines del Pedregal"/>
    <s v="Ciudad de México"/>
    <s v="Alvaro Obregon"/>
    <m/>
    <s v="Ver en mapa"/>
    <m/>
    <m/>
    <n v="2"/>
    <n v="2"/>
    <s v="Transferencia electrónica"/>
    <s v="100304001"/>
    <n v="126360.76"/>
    <n v="126360.76"/>
    <n v="1"/>
  </r>
  <r>
    <s v="001415"/>
    <s v="Región Estado México"/>
    <x v="0"/>
    <s v="000029"/>
    <s v="Colin Garduño Estefani"/>
    <x v="2"/>
    <x v="2"/>
    <s v="01"/>
    <s v="LOZA REYES SAIRA"/>
    <d v="2025-06-19T00:00:00"/>
    <d v="2026-05-21T00:00:00"/>
    <n v="30000"/>
    <n v="31602.23"/>
    <n v="12"/>
    <x v="4"/>
    <n v="48"/>
    <s v="Semanal"/>
    <n v="1245.82"/>
    <n v="2784"/>
    <n v="580"/>
    <n v="27"/>
    <n v="1.9"/>
    <n v="15142.74"/>
    <n v="2866.2070932000001"/>
    <n v="1316.76"/>
    <n v="969.44"/>
    <n v="0"/>
    <n v="580"/>
    <n v="1246"/>
    <d v="2025-12-25T00:00:00"/>
    <s v="Entregado"/>
    <n v="7292421666"/>
    <s v="7292421666"/>
    <m/>
    <s v="AUTOTRANSPORTE DE CARGA DE PRODUCTOS ESPECIFICOS"/>
    <n v="7123011"/>
    <m/>
    <m/>
    <s v="ARTURO ALEJANDRO FLORES LOZA"/>
    <s v="7225667692"/>
    <s v="MAYTE LOZA REYES"/>
    <s v="7222331351"/>
    <s v="ITZEL DE JESUS ESTANISLAO"/>
    <s v="7291219239"/>
    <m/>
    <m/>
    <m/>
    <m/>
    <m/>
    <m/>
    <n v="27810.48"/>
    <n v="0"/>
    <n v="1"/>
    <s v="Individual sin Garantía"/>
    <s v="CDA MELCHOR OCAMPO  #SN -SN"/>
    <s v="Valle de Bravo"/>
    <s v="México"/>
    <s v="Valle De Bravo"/>
    <s v="19°11'34.7&quot;N 100°08'08.5&quot;W"/>
    <s v="Ver en mapa"/>
    <m/>
    <m/>
    <n v="6"/>
    <n v="6"/>
    <s v="Transferencia electrónica"/>
    <s v="100141501"/>
    <n v="15142.74"/>
    <n v="27810.48"/>
    <n v="0.1030621223797648"/>
  </r>
  <r>
    <s v="001298"/>
    <s v="Región Estado México"/>
    <x v="3"/>
    <s v="000082"/>
    <s v="ENRIQUEZ VILCHIS MARIA ALEJANDRA"/>
    <x v="5"/>
    <x v="5"/>
    <s v="02"/>
    <s v="MORENO ALVARO MIRNO"/>
    <d v="2025-11-19T00:00:00"/>
    <d v="2026-05-19T00:00:00"/>
    <n v="10000"/>
    <n v="10534.08"/>
    <n v="11"/>
    <x v="4"/>
    <n v="6"/>
    <s v="Mensual"/>
    <n v="2574.23"/>
    <n v="348"/>
    <n v="580"/>
    <n v="0"/>
    <n v="1"/>
    <n v="10534.08"/>
    <n v="3154.23"/>
    <n v="1755.68"/>
    <n v="760.55000000000007"/>
    <n v="58"/>
    <n v="580"/>
    <m/>
    <m/>
    <s v="Entregado"/>
    <n v="5660044424"/>
    <s v="mirnomorenoalvaro8@gmail.com"/>
    <m/>
    <s v="TIENDA DE ABARROTES Y MISCELANEA"/>
    <n v="6131023"/>
    <s v="ESCOBAR MILLAN ROSA ISELA"/>
    <m/>
    <s v="ELIZABETH ESCOBAR MILLAN"/>
    <s v="7203834647"/>
    <s v="MARITZA ANTONIA CASTRO ESCOBAR"/>
    <s v="7218890995"/>
    <s v="SOFIA SAAVEDRA"/>
    <s v="7298085625"/>
    <m/>
    <m/>
    <m/>
    <m/>
    <m/>
    <m/>
    <n v="15735.37"/>
    <n v="0"/>
    <n v="1"/>
    <s v="Individual sin Garantía"/>
    <s v="CJON MORELOS #SN"/>
    <s v="San Martin Coapaxtongo cu"/>
    <s v="México"/>
    <s v="Tenancingo"/>
    <s v="18°59'27.1&quot;N 99°34'10.2&quot;W"/>
    <s v="Ver en mapa"/>
    <m/>
    <m/>
    <n v="1"/>
    <n v="1"/>
    <s v="Transferencia electrónica"/>
    <s v="100129802"/>
    <n v="10534.08"/>
    <n v="15735.37"/>
    <n v="0.20045477163867129"/>
  </r>
  <r>
    <s v="001328"/>
    <s v="Región Estado México"/>
    <x v="1"/>
    <s v="000044"/>
    <s v="Gonzalez Irala Jesus"/>
    <x v="5"/>
    <x v="5"/>
    <s v="01"/>
    <s v="JARDON SERRANO RAFAEL"/>
    <d v="2025-05-21T00:00:00"/>
    <d v="2026-05-21T00:00:00"/>
    <n v="15000"/>
    <n v="15801.12"/>
    <n v="8"/>
    <x v="4"/>
    <n v="12"/>
    <s v="Mensual"/>
    <n v="2525.04"/>
    <n v="696"/>
    <n v="580"/>
    <n v="0"/>
    <n v="1"/>
    <n v="7900.56"/>
    <n v="3099.1835080000001"/>
    <n v="1316.76"/>
    <n v="1150.27"/>
    <n v="52.15"/>
    <n v="580"/>
    <n v="3100"/>
    <d v="2025-11-28T00:00:00"/>
    <s v="Entregado"/>
    <n v="7225330152"/>
    <s v="tita@gmail.com"/>
    <m/>
    <s v="EMPLEADO DEL SECTOR PRIVADO"/>
    <n v="9501009"/>
    <m/>
    <m/>
    <s v="SOFIA DEYANIRA"/>
    <s v="7292764800"/>
    <s v="FERNANDA DIAZ"/>
    <s v="7228527255"/>
    <s v="ADRIANA REYES"/>
    <s v="7229260100"/>
    <m/>
    <m/>
    <m/>
    <m/>
    <m/>
    <m/>
    <n v="15434.37"/>
    <n v="0"/>
    <n v="1"/>
    <s v="Individual sin Garantía"/>
    <s v="FRANCISCO MARQUEZ #104-SN"/>
    <s v="Santa María Rayón Centro"/>
    <s v="México"/>
    <s v="Rayon"/>
    <m/>
    <s v="Ver en mapa"/>
    <m/>
    <m/>
    <n v="4"/>
    <n v="2"/>
    <s v="Transferencia electrónica"/>
    <s v="100132801"/>
    <n v="7900.56"/>
    <n v="15434.37"/>
    <n v="0.20079753873983841"/>
  </r>
  <r>
    <s v="001426"/>
    <s v="Región Estado México"/>
    <x v="1"/>
    <s v="000043"/>
    <s v="Cedillo Gonzalez Hugo"/>
    <x v="6"/>
    <x v="6"/>
    <s v="01"/>
    <s v="MORENO BERNAL MA DE LA LUZ"/>
    <d v="2025-06-20T00:00:00"/>
    <d v="2025-12-20T00:00:00"/>
    <n v="10000"/>
    <n v="10534.08"/>
    <n v="8"/>
    <x v="4"/>
    <n v="6"/>
    <s v="Mensual"/>
    <n v="2582.63"/>
    <n v="348"/>
    <n v="638.01"/>
    <n v="0"/>
    <n v="1"/>
    <n v="1755.68"/>
    <n v="3162.64"/>
    <n v="1755.68"/>
    <n v="768.95"/>
    <n v="0"/>
    <n v="638.01"/>
    <n v="3162.63"/>
    <d v="2025-12-20T00:00:00"/>
    <s v="Entregado"/>
    <n v="7228340210"/>
    <s v="mmoreno6320@gmail.com"/>
    <m/>
    <s v="TIENDA DE ABARROTES Y MISCELANEA"/>
    <n v="6131023"/>
    <s v="LIUNA BECERRIL GUSTAVO"/>
    <m/>
    <s v="SARAHI ALONSO"/>
    <s v="7225621873"/>
    <s v="SALVADOR VACA"/>
    <s v="7224678033"/>
    <s v="LUCERO PAREDES MONTES"/>
    <s v="7224407681"/>
    <m/>
    <m/>
    <m/>
    <m/>
    <m/>
    <m/>
    <n v="3162.64"/>
    <n v="0"/>
    <n v="1"/>
    <s v="Individual sin Garantía"/>
    <s v="AV MIGUEL J CLOUTHIER #256-SN"/>
    <s v="Izcalli Cuauhtémoc I"/>
    <s v="México"/>
    <s v="Metepec"/>
    <s v="19°16'24.1&quot;N 99°35'37.1&quot;W"/>
    <s v="Ver en mapa"/>
    <m/>
    <m/>
    <n v="5"/>
    <n v="5"/>
    <s v="Transferencia electrónica"/>
    <s v="100142601"/>
    <n v="1755.68"/>
    <n v="3162.64"/>
    <n v="1"/>
  </r>
  <r>
    <s v="001164"/>
    <s v="Región Estado México"/>
    <x v="0"/>
    <s v="000029"/>
    <s v="Colin Garduño Estefani"/>
    <x v="2"/>
    <x v="2"/>
    <s v="01"/>
    <s v="LOZA FLORES VICTORIANO"/>
    <d v="2025-01-21T00:00:00"/>
    <d v="2026-01-21T00:00:00"/>
    <n v="20000"/>
    <n v="21068.16"/>
    <n v="8"/>
    <x v="4"/>
    <n v="12"/>
    <s v="Mensual"/>
    <n v="3015.02"/>
    <n v="696"/>
    <n v="580"/>
    <n v="0"/>
    <n v="0.2"/>
    <n v="3284.73"/>
    <n v="1154.3399999999999"/>
    <n v="574.34"/>
    <n v="0"/>
    <n v="0"/>
    <n v="580"/>
    <n v="3020"/>
    <d v="2025-12-22T00:00:00"/>
    <s v="Entregado"/>
    <n v="7228517224"/>
    <s v="construcioneljao06@gmail.com"/>
    <m/>
    <s v="FABRICACION DE MARCOS Y MOLDURAS DE MADERA"/>
    <n v="2719013"/>
    <s v="MARIN VAZQUEZ MARIA GUADALUPE"/>
    <s v="7228517224.0"/>
    <s v="ERIKA FABIOLA LOPEZ ESTRADA"/>
    <s v="7226741183"/>
    <s v="VICTOR ESQUIVEL CASIANO"/>
    <s v="7226876652"/>
    <s v="RICHARD ESTRADA"/>
    <s v="7224267413"/>
    <s v="Garantía Prendaria"/>
    <s v="TITULO EXPEDIDO POR STATE OF NORTH CAROLINA, Valor 25,586.00, Nombre JEEP SW, Folio Factura 779711040890053, Fecha Factura 07/04/2004, Número de serie 1J4FT68S4PL613798, Número de motor SIN NUMERO, Modelo 1993, Marca JEEP, Propietario LOZA FLORES VICTORIANO"/>
    <s v="JEEP SW"/>
    <m/>
    <m/>
    <m/>
    <n v="3864.73"/>
    <n v="0"/>
    <n v="4"/>
    <s v="Individual mensual con garantia nivel I Tprem"/>
    <s v="CDA PRIMAVERA #SN"/>
    <s v="Valle de Bravo"/>
    <s v="México"/>
    <s v="Valle De Bravo"/>
    <m/>
    <s v="Ver en mapa"/>
    <m/>
    <m/>
    <n v="7"/>
    <n v="7"/>
    <s v="Transferencia electrónica"/>
    <s v="100116401"/>
    <n v="3284.73"/>
    <n v="3864.73"/>
    <n v="0.29868580728796063"/>
  </r>
  <r>
    <s v="001315"/>
    <s v="Región Estado México"/>
    <x v="3"/>
    <s v="000057"/>
    <s v="Camacho Frias Oscar Antonio"/>
    <x v="3"/>
    <x v="3"/>
    <s v="02"/>
    <s v="BRAVO GARCIA DULA"/>
    <d v="2025-11-10T00:00:00"/>
    <d v="2026-04-27T00:00:00"/>
    <n v="12000"/>
    <n v="12640.89"/>
    <n v="8"/>
    <x v="4"/>
    <n v="24"/>
    <s v="Semanal"/>
    <n v="796.48"/>
    <n v="1392"/>
    <n v="1578.41"/>
    <n v="7"/>
    <n v="2"/>
    <n v="10007.370000000001"/>
    <n v="3113.3663000000001"/>
    <n v="1053.4100000000001"/>
    <n v="423.55"/>
    <n v="58"/>
    <n v="1578.41"/>
    <n v="797"/>
    <d v="2025-12-22T00:00:00"/>
    <s v="Entregado"/>
    <n v="7221835589"/>
    <s v="garcialolis28@yahoo.com"/>
    <m/>
    <s v="COMPRAVENTA DE LEGUMBRES Y HORTALIZAS"/>
    <n v="6112023"/>
    <m/>
    <m/>
    <s v="BARBARA GONZALEZ FLORES"/>
    <s v="7225111421"/>
    <s v="MARTHA JULIA GARCIA"/>
    <s v="6642864687"/>
    <s v="LUIS ANTONIO ALBARRAN"/>
    <s v="7223438870"/>
    <m/>
    <m/>
    <m/>
    <m/>
    <m/>
    <m/>
    <n v="15667.54"/>
    <n v="0"/>
    <n v="1"/>
    <s v="Individual sin Garantía"/>
    <s v="CARR PRINCIPAL #SN"/>
    <s v="La Finca"/>
    <s v="México"/>
    <s v="Villa Guerrero"/>
    <s v="18°53'42.6&quot;N 99°38'30.2&quot;W"/>
    <s v="Ver en mapa"/>
    <m/>
    <m/>
    <n v="6"/>
    <n v="6"/>
    <s v="Transferencia electrónica"/>
    <s v="100131502"/>
    <n v="10007.370000000001"/>
    <n v="15667.54"/>
    <n v="0.19871443123808841"/>
  </r>
  <r>
    <s v="001427"/>
    <s v="Región Estado México"/>
    <x v="4"/>
    <s v="000048"/>
    <s v="Arzate Lopez Miguel Angel"/>
    <x v="1"/>
    <x v="1"/>
    <s v="01"/>
    <s v="PICHARDO GONZALEZ ALEJANDRO"/>
    <d v="2025-06-20T00:00:00"/>
    <d v="2026-06-20T00:00:00"/>
    <n v="20000"/>
    <n v="21068.16"/>
    <n v="8"/>
    <x v="4"/>
    <n v="12"/>
    <s v="Mensual"/>
    <n v="3347.38"/>
    <n v="696"/>
    <n v="580"/>
    <n v="0"/>
    <n v="1"/>
    <n v="12289.76"/>
    <n v="3759.301152"/>
    <n v="1755.68"/>
    <n v="1423.62"/>
    <n v="0"/>
    <n v="580"/>
    <n v="2000"/>
    <d v="2025-12-26T00:00:00"/>
    <s v="Entregado"/>
    <n v="7121856272"/>
    <s v="alevpichagonza@gmail.com"/>
    <m/>
    <s v="COMPRAVENTA DE OTRAS JOYAS"/>
    <n v="6225024"/>
    <s v="VILCHIS DE JESUS IRENE"/>
    <s v="7121856272.0"/>
    <s v="ELIZABETH ARELI VILCHIS DE JESUS"/>
    <s v="7227155850"/>
    <s v="MARGARITA REMIGIO SANCHEZ"/>
    <s v="7122754843"/>
    <s v="JUANA PIÑA VENTURA"/>
    <s v="7226957364"/>
    <m/>
    <m/>
    <m/>
    <m/>
    <m/>
    <m/>
    <n v="23495.599999999999"/>
    <n v="0"/>
    <n v="1"/>
    <s v="Individual sin Garantía"/>
    <s v="SANTA ANA LA LADERA  #SN"/>
    <s v="Santa Ana la Ladera cu"/>
    <s v="México"/>
    <s v="Ixtlahuaca"/>
    <s v="19°33'57.8&quot;N 99°45'57.6&quot;W"/>
    <s v="Ver en mapa"/>
    <m/>
    <m/>
    <n v="6"/>
    <n v="6"/>
    <s v="Transferencia electrónica"/>
    <s v="100142701"/>
    <n v="12289.76"/>
    <n v="23495.599999999999"/>
    <n v="0.1600002192750983"/>
  </r>
  <r>
    <s v="001071"/>
    <s v="Región Estado México"/>
    <x v="2"/>
    <s v="000033"/>
    <s v="Garcia Ezquivel Jordi Nazaret"/>
    <x v="1"/>
    <x v="1"/>
    <s v="02"/>
    <s v="MARTINEZ BAUTISTA ANA CECILIA"/>
    <d v="2025-03-21T00:00:00"/>
    <d v="2026-03-21T00:00:00"/>
    <n v="64000.01"/>
    <n v="67418.100000000006"/>
    <n v="8"/>
    <x v="4"/>
    <n v="12"/>
    <s v="Mensual"/>
    <n v="9346.81"/>
    <n v="696"/>
    <n v="580"/>
    <n v="0"/>
    <n v="1"/>
    <n v="22472.7"/>
    <n v="9926.2867262500004"/>
    <n v="5618.18"/>
    <n v="3670.63"/>
    <n v="57.48"/>
    <n v="580"/>
    <n v="9347"/>
    <d v="2025-11-21T00:00:00"/>
    <s v="Entregado"/>
    <n v="4471537025"/>
    <s v="anaceciliamartinezbautista@gmail.com"/>
    <m/>
    <s v="SERVICIOS DE CONSULTORIOS Y CLINICAS DENTALES"/>
    <n v="9213018"/>
    <s v="ZARATE ESPINAL EDER"/>
    <m/>
    <s v="GUADALUPE GALAN SANCHEZ"/>
    <s v="4471192049"/>
    <s v="ANARIKA LEON"/>
    <s v="4471124249"/>
    <s v="ARACELI ALVARADO"/>
    <s v="4431001220"/>
    <s v="Garantía Prendaria"/>
    <s v="REFACTURA EXPEDIDA POR CORPORACION METROPOLITANA DE ARRENDAMIENTOS, S.A. DE C.V., , Valor 97,096.00, Nombre AUTOMOVIL JETTA CLASICO CL AA, Folio Factura FAI2074, Fecha Factura 11/04/2014, Número de serie 3VW1V09M4BM051719, Número de motor CBP232182, Modelo 2011, Marca VOLKSWAGEN, Propietario MARTINEZ BAUTISTA ANA CECILIA"/>
    <s v="AUTOMOVIL JETTA CLASICO CL AA"/>
    <m/>
    <m/>
    <m/>
    <n v="37792.720000000001"/>
    <n v="0"/>
    <n v="1"/>
    <s v="Individual sin Garantía"/>
    <s v="L VICARIO #236A-SN"/>
    <s v="Maravatio"/>
    <s v="Michoacán"/>
    <s v="Maravatio"/>
    <m/>
    <s v="Ver en mapa"/>
    <m/>
    <m/>
    <n v="7"/>
    <n v="4"/>
    <s v="Transferencia electrónica"/>
    <s v="100107102"/>
    <n v="22472.7"/>
    <n v="37792.720000000001"/>
    <n v="0.2626507625344246"/>
  </r>
  <r>
    <s v="001330"/>
    <s v="Región Estado México"/>
    <x v="0"/>
    <s v="000040"/>
    <s v="Olayo Gaytan Luis Enrique"/>
    <x v="2"/>
    <x v="2"/>
    <s v="01"/>
    <s v="REYES VIDAL LIDIA"/>
    <d v="2025-05-21T00:00:00"/>
    <d v="2026-05-21T00:00:00"/>
    <n v="10000"/>
    <n v="10534.08"/>
    <n v="8"/>
    <x v="4"/>
    <n v="12"/>
    <s v="Mensual"/>
    <n v="1702.69"/>
    <n v="696"/>
    <n v="580"/>
    <n v="0"/>
    <n v="0.3"/>
    <n v="4956.96"/>
    <n v="1147.762338666666"/>
    <n v="567.76"/>
    <n v="0"/>
    <n v="0"/>
    <n v="580"/>
    <n v="1703"/>
    <d v="2025-12-23T00:00:00"/>
    <s v="Entregado"/>
    <n v="7261634363"/>
    <s v="lidiareyesvidal.10@gmail.com"/>
    <m/>
    <s v="CULTIVO DE FLORES Y PLANTAS DE ORNATO"/>
    <n v="131011"/>
    <m/>
    <m/>
    <s v="HUGO  LUIS PEREZ NEPAMUCENO"/>
    <s v="7261697101"/>
    <s v="MIRIAM SILVERIO CORTES"/>
    <s v="7224231206"/>
    <s v="BERENICE ANTONIO LOPEZ"/>
    <s v="7224560938"/>
    <m/>
    <m/>
    <m/>
    <m/>
    <m/>
    <m/>
    <n v="9371.2199999999993"/>
    <n v="0"/>
    <n v="1"/>
    <s v="Individual sin Garantía"/>
    <s v="SAN BARTOLO AMANALCO 2DA SECC #SN"/>
    <s v="San Bartolo"/>
    <s v="México"/>
    <s v="Amanalco"/>
    <m/>
    <s v="Ver en mapa"/>
    <m/>
    <m/>
    <n v="5"/>
    <n v="5"/>
    <s v="Transferencia electrónica"/>
    <s v="100133001"/>
    <n v="4956.96"/>
    <n v="9371.2199999999993"/>
    <n v="0.1224773656649472"/>
  </r>
  <r>
    <s v="001477"/>
    <s v="Región Estado México"/>
    <x v="1"/>
    <s v="000043"/>
    <s v="Cedillo Gonzalez Hugo"/>
    <x v="5"/>
    <x v="5"/>
    <s v="01"/>
    <s v="MEDINA ALMAZAN ANA ANASTACIA"/>
    <d v="2025-07-24T00:00:00"/>
    <d v="2026-01-24T00:00:00"/>
    <n v="10000"/>
    <n v="10534.08"/>
    <n v="6"/>
    <x v="5"/>
    <n v="6"/>
    <s v="Mensual"/>
    <n v="2586.83"/>
    <n v="348"/>
    <n v="580"/>
    <n v="0"/>
    <n v="1"/>
    <n v="3511.36"/>
    <n v="3164.1732693333329"/>
    <n v="1755.68"/>
    <n v="773.15"/>
    <n v="55.34"/>
    <n v="580"/>
    <n v="3150"/>
    <d v="2025-12-04T00:00:00"/>
    <s v="Entregado"/>
    <n v="7225884698"/>
    <s v="gomezmedinafernandojesus@gmail.com"/>
    <m/>
    <s v="RESTAURANTE"/>
    <n v="8711021"/>
    <m/>
    <m/>
    <s v="FERNANDO JESUS GOMEZ"/>
    <s v="7221387590"/>
    <s v="CRISTIAN GOMEZ MEDINA"/>
    <s v="5615565750"/>
    <s v="MICHELGOMEZ MEDINA"/>
    <s v="7226820135"/>
    <m/>
    <m/>
    <m/>
    <m/>
    <m/>
    <m/>
    <n v="5693.01"/>
    <n v="0"/>
    <n v="1"/>
    <s v="Individual sin Garantía"/>
    <s v="MORELOS PONIENTE #150-SN"/>
    <s v="Santiaguito Cuaxustenco"/>
    <s v="México"/>
    <s v="Tenango Del Valle"/>
    <s v="19°07'26.3&quot;N 99°35'19.2&quot;W"/>
    <s v="Ver en mapa"/>
    <m/>
    <m/>
    <n v="5"/>
    <n v="5"/>
    <s v="Transferencia electrónica"/>
    <s v="100147701"/>
    <n v="3511.36"/>
    <n v="5693.01"/>
    <n v="0.55579970337893891"/>
  </r>
  <r>
    <s v="001203"/>
    <s v="Región Estado México"/>
    <x v="0"/>
    <s v="000029"/>
    <s v="Colin Garduño Estefani"/>
    <x v="5"/>
    <x v="5"/>
    <s v="01"/>
    <s v="ORTEGA HERNANDEZ LUCIA"/>
    <d v="2025-02-28T00:00:00"/>
    <d v="2026-02-28T00:00:00"/>
    <n v="65000"/>
    <n v="68471.509999999995"/>
    <n v="1"/>
    <x v="5"/>
    <n v="12"/>
    <s v="Mensual"/>
    <n v="12081.41"/>
    <n v="696"/>
    <n v="580"/>
    <n v="0"/>
    <n v="1"/>
    <n v="17117.88"/>
    <n v="12661.4017"/>
    <n v="5705.96"/>
    <n v="6317.45"/>
    <n v="57.99"/>
    <n v="580"/>
    <n v="12081.41"/>
    <d v="2025-11-25T00:00:00"/>
    <s v="Entregado"/>
    <n v="7295890044"/>
    <s v="creaciones_lucy@outlook.es"/>
    <m/>
    <s v="TALLER DE CONFECCION DE VESTIDOS"/>
    <n v="2411023"/>
    <s v="MEDINA GARCIA ALFREDO"/>
    <m/>
    <s v="FAVIOLA MEDINA GARCIA"/>
    <s v="7226064942"/>
    <s v="CONCEPCION GONZALEZ GARCIA"/>
    <s v="7228847112"/>
    <s v="RAFAEL GUTIERREZ GARCIA"/>
    <s v="7225469589"/>
    <s v="Garantía Prendaria"/>
    <s v="FACTURA EXPEDIDA  MONARQUIA AUTOMOTRIZ, S.A. DE C.V., Valor 88,213.00, Nombre AUTOMOVIL BORA SPORT TIPTRONIC., Folio Factura A13919, Fecha Factura 22/07/2009, Número de serie 3VWRG11K49M151813, Número de motor CCC055621, Modelo 2009, Marca VOLKSWAGEN, Propietario ORTEGA HERNANDEZ ERIKA GABRIELA"/>
    <s v="AUTOMOVIL BORA SPORT TIPTRONIC."/>
    <m/>
    <m/>
    <m/>
    <n v="36708.21"/>
    <n v="0"/>
    <n v="1"/>
    <s v="Individual sin Garantía"/>
    <s v="ENTRADA EL ESCOBAL #SN"/>
    <s v="Pueblo San Mateo Acatitlán"/>
    <s v="México"/>
    <s v="Valle De Bravo"/>
    <m/>
    <s v="Ver en mapa"/>
    <m/>
    <m/>
    <n v="3"/>
    <n v="1"/>
    <s v="Transferencia electrónica"/>
    <s v="100120301"/>
    <n v="17117.88"/>
    <n v="36708.21"/>
    <n v="0.34492016091223188"/>
  </r>
  <r>
    <s v="001173"/>
    <s v="Región Estado México"/>
    <x v="2"/>
    <s v="000017"/>
    <s v="Maya Luna Norma"/>
    <x v="5"/>
    <x v="5"/>
    <s v="01"/>
    <s v="PEREZ FRANCO JORGE DAVID"/>
    <d v="2025-01-27T00:00:00"/>
    <d v="2027-01-27T00:00:00"/>
    <n v="200000"/>
    <n v="210681.55"/>
    <n v="1"/>
    <x v="5"/>
    <n v="24"/>
    <s v="Mensual"/>
    <n v="21935.21"/>
    <n v="1392"/>
    <n v="580"/>
    <n v="0"/>
    <n v="1"/>
    <n v="169385.12"/>
    <n v="22509.69"/>
    <n v="6463.16"/>
    <n v="15414.05"/>
    <n v="52.48"/>
    <n v="580"/>
    <n v="21936"/>
    <d v="2025-11-26T00:00:00"/>
    <s v="Entregado"/>
    <n v="4471036280"/>
    <s v="Cachorrin-jd@hotmailcom"/>
    <m/>
    <s v="FABRICACION DE BOLSAS Y CARTERAS DE CUERO"/>
    <n v="2529074"/>
    <m/>
    <m/>
    <s v="BERTIN LOPEZ CRUZ"/>
    <s v="4434407646"/>
    <s v="CARLOS REYES"/>
    <s v="7121074969"/>
    <s v="CAROLINA VARGAS RIOS"/>
    <s v="4471117243"/>
    <s v="Garantía Prendaria"/>
    <s v="FACTURA EXPEDIDA POR RAVISA MOTORS, S.A. DE C.V., Valor 205,036.00, Nombre PICK UP LOBO LTR 4X2, Folio Factura A25249, Fecha Factura 29/08/2010, Número de serie 1FTFW1CV3AKB13968, Número de motor SIN NUMERO, Modelo 2010, Marca FORD, Propietario PEREZ FRANCO JORGE DAVID"/>
    <s v="PICK UP LOBO LTR 4X2"/>
    <m/>
    <m/>
    <m/>
    <n v="185431.65"/>
    <n v="0"/>
    <n v="4"/>
    <s v="Individual mensual con garantia nivel I Tprem"/>
    <s v="LEONA VICARIO  #1341-SN"/>
    <s v="INFONAVIT"/>
    <s v="Michoacán"/>
    <s v="Maravatio"/>
    <m/>
    <s v="Ver en mapa"/>
    <m/>
    <m/>
    <n v="1"/>
    <n v="1"/>
    <s v="Transferencia electrónica"/>
    <s v="100117301"/>
    <n v="169385.12"/>
    <n v="185431.65"/>
    <n v="0.121390765815868"/>
  </r>
  <r>
    <s v="001276"/>
    <s v="Región Estado México"/>
    <x v="1"/>
    <s v="000037"/>
    <s v="CREDIFLEXI CREDIFLEXI CREDIFLEXI"/>
    <x v="6"/>
    <x v="6"/>
    <s v="01"/>
    <s v="LOPEZ JAVIER EDITH"/>
    <d v="2025-04-28T00:00:00"/>
    <d v="2026-04-28T00:00:00"/>
    <n v="20000"/>
    <n v="21068.16"/>
    <n v="1"/>
    <x v="5"/>
    <n v="12"/>
    <s v="Mensual"/>
    <n v="3347.38"/>
    <n v="696"/>
    <n v="580"/>
    <n v="0"/>
    <n v="1"/>
    <n v="8778.4"/>
    <n v="3927.07"/>
    <n v="1755.68"/>
    <n v="1533.71"/>
    <n v="57.68"/>
    <n v="580"/>
    <n v="3926"/>
    <d v="2025-12-09T00:00:00"/>
    <s v="Entregado"/>
    <n v="7223944200"/>
    <s v="edithmelanie23@gmail.com"/>
    <m/>
    <s v="COMPRAVENTA DE ARTICULOS PARA REGALO"/>
    <n v="6325030"/>
    <m/>
    <m/>
    <s v="AIDE ROMERO"/>
    <s v="7291348252"/>
    <s v="ANGELES MIRANDA"/>
    <s v="7228340426"/>
    <s v="MARIA GUADALUPE ALVAREZ"/>
    <s v="7225619622"/>
    <m/>
    <m/>
    <m/>
    <m/>
    <m/>
    <m/>
    <n v="17084.599999999999"/>
    <n v="0"/>
    <n v="1"/>
    <s v="Individual sin Garantía"/>
    <s v="CENTENARIO #120-SN"/>
    <s v="San Marcos Yachihuacaltepec"/>
    <s v="México"/>
    <s v="Toluca"/>
    <m/>
    <s v="Ver en mapa"/>
    <m/>
    <m/>
    <n v="7"/>
    <n v="7"/>
    <s v="Transferencia electrónica"/>
    <s v="100127601"/>
    <n v="8778.4"/>
    <n v="17084.599999999999"/>
    <n v="0.22986022499795139"/>
  </r>
  <r>
    <s v="003702"/>
    <s v="Región Estado México"/>
    <x v="0"/>
    <s v="000057"/>
    <s v="Camacho Frias Oscar Antonio"/>
    <x v="5"/>
    <x v="5"/>
    <s v="01"/>
    <s v="CALDERON FRUTIS ALEJANDRO"/>
    <d v="2025-10-17T00:00:00"/>
    <d v="2026-04-03T00:00:00"/>
    <n v="7000"/>
    <n v="7373.85"/>
    <n v="0"/>
    <x v="6"/>
    <n v="12"/>
    <s v="Catorcenal"/>
    <n v="919.56000000000006"/>
    <n v="696"/>
    <n v="0"/>
    <n v="5"/>
    <n v="0"/>
    <n v="4301.41"/>
    <n v="0"/>
    <n v="0"/>
    <n v="0"/>
    <n v="0"/>
    <n v="0"/>
    <n v="920"/>
    <d v="2025-12-15T00:00:00"/>
    <s v="Entregado"/>
    <n v="7228764233"/>
    <s v="alejandrocal2703@gmail.com"/>
    <m/>
    <s v="EMPLEADO DEL SECTOR PRIVADO"/>
    <n v="9501009"/>
    <s v="LOPEZ ESTRADA MARIA MARIBEL"/>
    <s v="7228764233.0"/>
    <s v="JOSE ANTONIO SALVADOR CIPRIANO"/>
    <s v="7228401585"/>
    <s v="JOSE MORENO REYES"/>
    <s v="7226054397"/>
    <s v="ELIAZER GARCIA MARURI"/>
    <s v="7224093114"/>
    <m/>
    <m/>
    <m/>
    <m/>
    <m/>
    <m/>
    <n v="6028.73"/>
    <n v="2.1968299999999998"/>
    <n v="1"/>
    <s v="Individual sin Garantía"/>
    <s v="PALITO VERDE  #SN"/>
    <s v="Cuadrilla de Dolores"/>
    <s v="México"/>
    <s v="Valle De Bravo"/>
    <m/>
    <s v="Ver en mapa"/>
    <m/>
    <m/>
    <n v="0"/>
    <n v="0"/>
    <s v="Transferencia electrónica"/>
    <s v="100370201"/>
    <n v="0"/>
    <n v="0"/>
    <n v="0"/>
  </r>
  <r>
    <s v="001416"/>
    <s v="Región Estado México"/>
    <x v="0"/>
    <s v="000029"/>
    <s v="Colin Garduño Estefani"/>
    <x v="5"/>
    <x v="5"/>
    <s v="01"/>
    <s v="GARDUÑO TOLA MA ISABEL"/>
    <d v="2025-06-19T00:00:00"/>
    <d v="2026-06-19T00:00:00"/>
    <n v="10000"/>
    <n v="10534.08"/>
    <n v="0"/>
    <x v="6"/>
    <n v="12"/>
    <s v="Mensual"/>
    <n v="1702.69"/>
    <n v="696"/>
    <n v="0"/>
    <n v="0"/>
    <n v="0"/>
    <n v="5267.04"/>
    <n v="0"/>
    <n v="0"/>
    <n v="0"/>
    <n v="0"/>
    <n v="0"/>
    <n v="1703"/>
    <d v="2025-12-19T00:00:00"/>
    <s v="Entregado"/>
    <n v="7291791570"/>
    <s v="maisabel6307@gmail.com"/>
    <m/>
    <s v="TIENDA DE ABARROTES Y MISCELANEA"/>
    <n v="6131023"/>
    <s v="GARCIA FELIX JUAN CARLOS"/>
    <s v="7291791570.0"/>
    <s v="IDALIA JAIMES"/>
    <s v="7226098835"/>
    <s v="FABIOLA GARCIA GARDUÑO"/>
    <s v="5665382846"/>
    <s v="ESTEBAN GARCIA GARDUÑO"/>
    <s v="7226745585"/>
    <m/>
    <m/>
    <m/>
    <m/>
    <m/>
    <m/>
    <n v="9866.61"/>
    <n v="1.54"/>
    <n v="1"/>
    <s v="Individual sin Garantía"/>
    <s v="PROL AV TOLUCA  #SN -SN"/>
    <s v="Otumba"/>
    <s v="México"/>
    <s v="Valle De Bravo"/>
    <s v="19°12'17.6&quot;N 100°07'14.9&quot;W"/>
    <s v="Ver en mapa"/>
    <m/>
    <m/>
    <n v="0"/>
    <n v="0"/>
    <s v="Transferencia electrónica"/>
    <s v="100141601"/>
    <n v="0"/>
    <n v="0"/>
    <n v="0"/>
  </r>
  <r>
    <s v="003653"/>
    <s v="Región Estado México"/>
    <x v="0"/>
    <s v="000082"/>
    <s v="ENRIQUEZ VILCHIS MARIA ALEJANDRA"/>
    <x v="5"/>
    <x v="5"/>
    <s v="01"/>
    <s v="JARAMILLO MONTES DE OCA MARIA SOLEDAD"/>
    <d v="2025-11-06T00:00:00"/>
    <d v="2026-05-06T00:00:00"/>
    <n v="5000.01"/>
    <n v="5267.04"/>
    <n v="0"/>
    <x v="6"/>
    <n v="6"/>
    <s v="Mensual"/>
    <n v="1316.11"/>
    <n v="348"/>
    <n v="0"/>
    <n v="0"/>
    <n v="0"/>
    <n v="4389.2"/>
    <n v="0"/>
    <n v="0"/>
    <n v="0"/>
    <n v="0"/>
    <n v="0"/>
    <n v="1900"/>
    <d v="2025-12-15T00:00:00"/>
    <s v="Entregado"/>
    <n v="7226055223"/>
    <s v="mariasoledadjaramillomontesdeoca@gmail.com"/>
    <m/>
    <s v="COMPRAVENTA DE MEDICINAS"/>
    <n v="6231013"/>
    <s v="ELIZAIS PEÑA JAVIER"/>
    <s v="7228369380.0"/>
    <s v="JAVIER ELIZAIS PEÑA"/>
    <s v="7228369380"/>
    <s v="MAGDALENA JARAMILLO MONTES DE OCA"/>
    <s v="7223144172"/>
    <s v="GLORIA JARAMILLO MONTES DE OCA"/>
    <s v="7221004579"/>
    <m/>
    <m/>
    <m/>
    <m/>
    <m/>
    <m/>
    <n v="6286.6900000000014"/>
    <n v="3.89"/>
    <n v="1"/>
    <s v="Individual sin Garantía"/>
    <s v="CARRETERA  ARCO COLORINES #86"/>
    <s v="Valle de Bravo"/>
    <s v="México"/>
    <s v="Valle De Bravo"/>
    <s v="19°13'26.8&quot;N 100°08'58.9&quot;W"/>
    <s v="Ver en mapa"/>
    <m/>
    <m/>
    <n v="1"/>
    <n v="1"/>
    <s v="Transferencia electrónica"/>
    <s v="100365301"/>
    <n v="0"/>
    <n v="0"/>
    <n v="0"/>
  </r>
  <r>
    <s v="001551"/>
    <s v="Región Estado México"/>
    <x v="0"/>
    <s v="000029"/>
    <s v="Colin Garduño Estefani"/>
    <x v="5"/>
    <x v="5"/>
    <s v="01"/>
    <s v="MEJIA GARDUÑO ROBERTO"/>
    <d v="2025-07-18T00:00:00"/>
    <d v="2026-07-18T00:00:00"/>
    <n v="10000"/>
    <n v="10534.08"/>
    <n v="0"/>
    <x v="6"/>
    <n v="12"/>
    <s v="Mensual"/>
    <n v="1702.69"/>
    <n v="696"/>
    <n v="0"/>
    <n v="0"/>
    <n v="0"/>
    <n v="6144.88"/>
    <n v="0"/>
    <n v="0"/>
    <n v="0"/>
    <n v="0"/>
    <n v="0"/>
    <n v="1702.69"/>
    <d v="2025-12-18T00:00:00"/>
    <s v="Entregado"/>
    <n v="7223750697"/>
    <s v="mg576493@gmail.com"/>
    <m/>
    <s v="EMPLEADO PRIVADO"/>
    <n v="8944098"/>
    <s v="GARCIA MARTINEZ MARIA DE LOURDES"/>
    <s v="7223750697.0"/>
    <s v="LOURDES MARTINEZ GARCIA"/>
    <s v="7226554810"/>
    <s v="MARIA MARCELA GARDUÑO GARCIA"/>
    <s v="7226814650"/>
    <s v="YAZMIN REYES MARTINEZ"/>
    <s v="7226221266"/>
    <m/>
    <m/>
    <m/>
    <m/>
    <m/>
    <m/>
    <n v="11512.54"/>
    <n v="0.30118666666666699"/>
    <n v="1"/>
    <s v="Individual sin Garantía"/>
    <s v="AVENIDA JUAREZ  #SN"/>
    <s v="Valle de Bravo"/>
    <s v="México"/>
    <s v="Valle De Bravo"/>
    <s v="19°11'59.3&quot;N 100°07'55.7&quot;W"/>
    <s v="Ver en mapa"/>
    <m/>
    <m/>
    <n v="0"/>
    <n v="0"/>
    <s v="Transferencia electrónica"/>
    <s v="100155101"/>
    <n v="0"/>
    <n v="0"/>
    <n v="0"/>
  </r>
  <r>
    <s v="001480"/>
    <s v="Región Estado México"/>
    <x v="0"/>
    <s v="000040"/>
    <s v="Olayo Gaytan Luis Enrique"/>
    <x v="5"/>
    <x v="5"/>
    <s v="01"/>
    <s v="GONZALEZ GARCIA ANDREA"/>
    <d v="2025-07-18T00:00:00"/>
    <d v="2026-01-02T00:00:00"/>
    <n v="5000"/>
    <n v="5267.04"/>
    <n v="0"/>
    <x v="6"/>
    <n v="12"/>
    <s v="Catorcenal"/>
    <n v="673.4"/>
    <n v="696"/>
    <n v="0"/>
    <n v="11"/>
    <n v="0"/>
    <n v="438.93"/>
    <n v="1.04896E-2"/>
    <n v="0.01"/>
    <n v="0"/>
    <n v="0"/>
    <n v="0"/>
    <n v="673.4"/>
    <d v="2025-12-19T00:00:00"/>
    <s v="Entregado"/>
    <n v="7228502289"/>
    <s v="mizaellopez75@gmail.com"/>
    <m/>
    <s v="SALON DE BELLEZA"/>
    <n v="8933013"/>
    <s v="LOPEZ HUEQUIS MISAEL"/>
    <s v="7228502289.0"/>
    <s v="MIZAEL LOPEZ"/>
    <s v="7222514868"/>
    <s v="CONCEPCION GARCIA"/>
    <s v="7221198844"/>
    <s v="IRVIN LOPEZ"/>
    <s v="5660373048"/>
    <m/>
    <m/>
    <m/>
    <m/>
    <m/>
    <m/>
    <n v="615.41"/>
    <n v="0"/>
    <n v="1"/>
    <s v="Individual sin Garantía"/>
    <s v="CDA  BENITO JUAREZ #SN -SN"/>
    <s v="El Calvario"/>
    <s v="México"/>
    <s v="Valle De Bravo"/>
    <s v="https://www.google.com/maps/@1"/>
    <s v="Ver en mapa"/>
    <m/>
    <m/>
    <n v="0"/>
    <n v="0"/>
    <s v="Transferencia electrónica"/>
    <s v="100148001"/>
    <n v="0"/>
    <n v="0"/>
    <n v="1.7044896898002961E-5"/>
  </r>
  <r>
    <s v="001308"/>
    <s v="Región Estado México"/>
    <x v="0"/>
    <s v="000037"/>
    <s v="CREDIFLEXI CREDIFLEXI CREDIFLEXI"/>
    <x v="5"/>
    <x v="5"/>
    <s v="01"/>
    <s v="EMETERIO LUVIANOS PATRICIA"/>
    <d v="2025-05-12T00:00:00"/>
    <d v="2026-05-12T00:00:00"/>
    <n v="10000"/>
    <n v="10534.08"/>
    <n v="0"/>
    <x v="6"/>
    <n v="12"/>
    <s v="Mensual"/>
    <n v="1702.69"/>
    <n v="696"/>
    <n v="0"/>
    <n v="0"/>
    <n v="0"/>
    <n v="4389.2"/>
    <n v="0"/>
    <n v="0"/>
    <n v="0"/>
    <n v="0"/>
    <n v="0"/>
    <n v="1703"/>
    <d v="2025-12-15T00:00:00"/>
    <s v="Entregado"/>
    <n v="7201228948"/>
    <s v="patyemeterio13@gmail.com"/>
    <m/>
    <s v="COMPRAVENTA DE PAPELERIA Y ARTICULOS DE ESCRITORIO"/>
    <n v="6233019"/>
    <m/>
    <m/>
    <s v="RITA ZARZA REYES"/>
    <s v="7261162636"/>
    <s v="PETRA TUBURCIO SANTIAGO"/>
    <s v="7223636845"/>
    <s v="JUANA COLIN PEREZ"/>
    <s v="7224635844"/>
    <m/>
    <m/>
    <m/>
    <m/>
    <m/>
    <m/>
    <n v="8222.85"/>
    <n v="0.61"/>
    <n v="1"/>
    <s v="Individual sin Garantía"/>
    <s v="16 DE SEP  #504-SN"/>
    <s v="Valle de Bravo"/>
    <s v="México"/>
    <s v="Valle De Bravo"/>
    <m/>
    <s v="Ver en mapa"/>
    <m/>
    <m/>
    <n v="1"/>
    <n v="1"/>
    <s v="Transferencia electrónica"/>
    <s v="100130801"/>
    <n v="0"/>
    <n v="0"/>
    <n v="0"/>
  </r>
  <r>
    <s v="004401"/>
    <s v="Región Estado México"/>
    <x v="0"/>
    <s v="000082"/>
    <s v="ENRIQUEZ VILCHIS MARIA ALEJANDRA"/>
    <x v="5"/>
    <x v="5"/>
    <s v="01"/>
    <s v="RODRIGUEZ BERMEO PATRICIA"/>
    <d v="2025-11-14T00:00:00"/>
    <d v="2026-05-14T00:00:00"/>
    <n v="8000"/>
    <n v="8427.26"/>
    <n v="0"/>
    <x v="6"/>
    <n v="6"/>
    <s v="Mensual"/>
    <n v="2070.98"/>
    <n v="348"/>
    <n v="0"/>
    <n v="0"/>
    <n v="0"/>
    <n v="7023.7"/>
    <n v="0.98329999999999995"/>
    <n v="0.98"/>
    <n v="0"/>
    <n v="0"/>
    <n v="0"/>
    <n v="2070"/>
    <d v="2025-12-15T00:00:00"/>
    <s v="Entregado"/>
    <n v="7291367393"/>
    <s v="consultasburo@financieracrediflexi.com"/>
    <m/>
    <s v="RESTAURANTE"/>
    <n v="8711021"/>
    <s v="PEREZ ROJAS MARGARITO"/>
    <s v="7228078176.0"/>
    <s v="MARGARITA PEREZ ROJAS"/>
    <s v="7228078176"/>
    <s v="DANIEL HERNANDEZ"/>
    <s v="7191496717"/>
    <s v="LUIS FRANCISCO PEREZ RODRIGUEZ"/>
    <s v="7223216111"/>
    <m/>
    <m/>
    <m/>
    <m/>
    <m/>
    <m/>
    <n v="10065.89"/>
    <n v="0"/>
    <n v="1"/>
    <s v="Individual sin Garantía"/>
    <s v="5 DE MAYO  #SN"/>
    <s v="Santa María Ahuacatlan"/>
    <s v="México"/>
    <s v="Valle De Bravo"/>
    <m/>
    <s v="Ver en mapa"/>
    <m/>
    <m/>
    <n v="0"/>
    <n v="0"/>
    <s v="Transferencia electrónica"/>
    <s v="100440101"/>
    <n v="0"/>
    <n v="0"/>
    <n v="9.7686344674936839E-5"/>
  </r>
  <r>
    <s v="001188"/>
    <s v="Región Estado México"/>
    <x v="0"/>
    <s v="000029"/>
    <s v="Colin Garduño Estefani"/>
    <x v="5"/>
    <x v="5"/>
    <s v="01"/>
    <s v="AGUILAR BARCENAS ANTONIO"/>
    <d v="2025-02-19T00:00:00"/>
    <d v="2026-02-19T00:00:00"/>
    <n v="20000"/>
    <n v="21068.16"/>
    <n v="0"/>
    <x v="6"/>
    <n v="12"/>
    <s v="Mensual"/>
    <n v="3015.02"/>
    <n v="696"/>
    <n v="0"/>
    <n v="0"/>
    <n v="0"/>
    <n v="5194.6900000000014"/>
    <n v="0"/>
    <n v="0"/>
    <n v="0"/>
    <n v="0"/>
    <n v="0"/>
    <n v="3016"/>
    <d v="2025-12-19T00:00:00"/>
    <s v="Entregado"/>
    <n v="7222300093"/>
    <s v="antonioaguilar4064@gmail.com"/>
    <m/>
    <s v="TALLER DE REPARACION GENERAL DE AUTOMOVILES Y CAMIONES"/>
    <n v="8911019"/>
    <m/>
    <m/>
    <s v="JONATHAN GARDUNO ROJAS"/>
    <s v="7223671877"/>
    <s v="ROGELIO VELAZQUEZ ANDRES"/>
    <s v="7222036212"/>
    <s v="JAIRO RODRIGO GUADARRAMAMERCAD"/>
    <s v="7294898930"/>
    <s v="Garantía Prendaria"/>
    <s v="FACTURA EXPEDIDA POR AUTOMOTRIZ CUERNAVACA NORTE S.A DE C.V, , Valor 17,359.00, Nombre VEHICULO JETTA GL, Folio Factura 7381, Fecha Factura 11/07/1992, Número de serie 3VWRA21G6NM054108, Número de motor RV116090, Modelo 1992, Marca VOLKSWAGEN, Propietario AGUILAR BARCENAS ANTONIO"/>
    <s v="VEHICULO JETTA GL"/>
    <s v="Quirografaria"/>
    <s v="CONTRATO DE COMPRAVENTA DE UNA FRACCION DEL INMUEBLE CON UNA SUPERFICIE DE 190.40 M2_x000d__x000a__x000d__x000a_MEDIDAS Y COLINDANCIAS_x000d__x000a_NORTE 21.80 M CON JUAN VARGAS_x000d__x000a_SUR 20.40 M CON ARNULFO TAPIA_x000d__x000a_ORIENTE 8.40 M CON JUAN VARGAS_x000d__x000a_PONIENTE 10.00 M CON CAMINO A RINCON DE ESTRADAS"/>
    <s v="CONTRATO DE COMPRAVENTA"/>
    <n v="5168.8900000000003"/>
    <n v="25.8"/>
    <n v="4"/>
    <s v="Individual mensual con garantia nivel I Tprem"/>
    <s v="ALFAREROS #5-SN"/>
    <s v="Valle de Bravo"/>
    <s v="México"/>
    <s v="Valle De Bravo"/>
    <m/>
    <s v="Ver en mapa"/>
    <m/>
    <m/>
    <n v="0"/>
    <n v="0"/>
    <s v="Transferencia electrónica"/>
    <s v="100118801"/>
    <n v="0"/>
    <n v="0"/>
    <n v="0"/>
  </r>
  <r>
    <s v="001380"/>
    <s v="Región Estado México"/>
    <x v="0"/>
    <s v="000082"/>
    <s v="ENRIQUEZ VILCHIS MARIA ALEJANDRA"/>
    <x v="5"/>
    <x v="5"/>
    <s v="02"/>
    <s v="CASTILLO GONZALEZ HUGO MIGUEL ANGEL"/>
    <d v="2025-11-10T00:00:00"/>
    <d v="2026-05-10T00:00:00"/>
    <n v="10000"/>
    <n v="10534.08"/>
    <n v="0"/>
    <x v="6"/>
    <n v="6"/>
    <s v="Mensual"/>
    <n v="2574.23"/>
    <n v="348"/>
    <n v="0"/>
    <n v="0"/>
    <n v="0"/>
    <n v="8778.4"/>
    <n v="0"/>
    <n v="0"/>
    <n v="0"/>
    <n v="0"/>
    <n v="0"/>
    <n v="2574.23"/>
    <d v="2025-12-09T00:00:00"/>
    <s v="Entregado"/>
    <n v="7293862794"/>
    <s v="h.castillo63@gmail.com"/>
    <m/>
    <s v="SERVICIOS DE REPARACION DE MOTOCICLETAS Y BICICLETAS"/>
    <n v="8912017"/>
    <m/>
    <m/>
    <s v="CARLOS MERCADO VELAZQUEZ"/>
    <s v="7222409976"/>
    <s v="JUAN CRUZ RAMOS"/>
    <s v="7261040885"/>
    <s v="HUMBERTO CLEMENTE CRUZ REYEZ"/>
    <s v="7295032153"/>
    <m/>
    <m/>
    <m/>
    <m/>
    <m/>
    <m/>
    <n v="12581.14"/>
    <n v="1.128533333333E-3"/>
    <n v="1"/>
    <s v="Individual sin Garantía"/>
    <s v="CRUZ DE MISION  #SN"/>
    <s v="Valle de Bravo"/>
    <s v="México"/>
    <s v="Valle De Bravo"/>
    <m/>
    <s v="Ver en mapa"/>
    <m/>
    <m/>
    <n v="0"/>
    <n v="0"/>
    <s v="Transferencia electrónica"/>
    <s v="100138002"/>
    <n v="0"/>
    <n v="0"/>
    <n v="0"/>
  </r>
  <r>
    <s v="001459"/>
    <s v="Región Estado México"/>
    <x v="0"/>
    <s v="000057"/>
    <s v="Camacho Frias Oscar Antonio"/>
    <x v="5"/>
    <x v="5"/>
    <s v="02"/>
    <s v="CABALLERO GONZALEZ IRMA"/>
    <d v="2025-11-07T00:00:00"/>
    <d v="2026-05-07T00:00:00"/>
    <n v="20000"/>
    <n v="21068.16"/>
    <n v="0"/>
    <x v="6"/>
    <n v="6"/>
    <s v="Mensual"/>
    <n v="5090.46"/>
    <n v="348"/>
    <n v="0"/>
    <n v="0"/>
    <n v="0"/>
    <n v="17556.8"/>
    <n v="0"/>
    <n v="0"/>
    <n v="0"/>
    <n v="0"/>
    <n v="0"/>
    <n v="5100"/>
    <d v="2025-12-01T00:00:00"/>
    <s v="Entregado"/>
    <n v="7223140548"/>
    <s v="irma_caballero_gonzalez@hotmail.com"/>
    <m/>
    <s v="EMPLEADO PUBLICO"/>
    <n v="9411998"/>
    <m/>
    <m/>
    <s v="ENEDINA MARIN CABALLERO"/>
    <s v="5585573256"/>
    <s v="VERONICA CABALLERO GARCIA"/>
    <s v="7292310655"/>
    <s v="FLOR DIAZ LOPEZ"/>
    <s v="7221722691"/>
    <m/>
    <m/>
    <m/>
    <m/>
    <m/>
    <m/>
    <n v="25152.75"/>
    <n v="9.5422570666666697"/>
    <n v="1"/>
    <s v="Individual sin Garantía"/>
    <s v="J ARCADIO PAGAZA  #313-SN"/>
    <s v="Valle de Bravo"/>
    <s v="México"/>
    <s v="Valle De Bravo"/>
    <m/>
    <s v="Ver en mapa"/>
    <m/>
    <m/>
    <n v="0"/>
    <n v="0"/>
    <s v="Transferencia electrónica"/>
    <s v="100145902"/>
    <n v="0"/>
    <n v="0"/>
    <n v="0"/>
  </r>
  <r>
    <s v="001238"/>
    <s v="Región Estado México"/>
    <x v="0"/>
    <s v="000037"/>
    <s v="CREDIFLEXI CREDIFLEXI CREDIFLEXI"/>
    <x v="5"/>
    <x v="5"/>
    <s v="01"/>
    <s v="LINO VIDAL ONOFRE"/>
    <d v="2025-04-10T00:00:00"/>
    <d v="2026-04-10T00:00:00"/>
    <n v="15000"/>
    <n v="15801.12"/>
    <n v="0"/>
    <x v="6"/>
    <n v="12"/>
    <s v="Mensual"/>
    <n v="2235.0700000000002"/>
    <n v="696"/>
    <n v="0"/>
    <n v="0"/>
    <n v="0"/>
    <n v="5267.04"/>
    <n v="0"/>
    <n v="0"/>
    <n v="0"/>
    <n v="0"/>
    <n v="0"/>
    <n v="2235.0700000000002"/>
    <d v="2025-12-10T00:00:00"/>
    <s v="Entregado"/>
    <n v="7223615618"/>
    <s v="linoonofre1030@gmail.com"/>
    <m/>
    <s v="FABRICACION DE MUEBLES DE MADERA"/>
    <n v="2711019"/>
    <s v="ALEJANDRO MARTINEZ ESTELA"/>
    <s v="5573851826.0"/>
    <s v="RAFAEL DE PAZ REYES"/>
    <s v="7226600640"/>
    <s v="CORNELIO LOPEZ CONTRERAS"/>
    <s v="7121463525"/>
    <s v="ARMANDO CARDOSO ZANCHEZ"/>
    <s v="7121463525"/>
    <s v="Garantía Prendaria"/>
    <s v="FACTURA EXPEDIDA POR AUTOS COMPACTOS DE ZITACUARO, S.A. DE C.V., Valor 32,217.00, Nombre TSURU GSI STD, Folio Factura 02671, Fecha Factura 10/03/2000, Número de serie 3N1EB31S0YK227035, Número de motor GA16797559R, Modelo 2000, Marca NISSAN , Propietario LINO VIDAL ONOFRE"/>
    <s v="TSURU GSI STD"/>
    <m/>
    <m/>
    <m/>
    <n v="8707.2900000000009"/>
    <n v="0.97"/>
    <n v="1"/>
    <s v="Individual sin Garantía"/>
    <s v="CARRET EL ARCO  #SN"/>
    <s v="El Arco"/>
    <s v="México"/>
    <s v="Valle De Bravo"/>
    <m/>
    <s v="Ver en mapa"/>
    <m/>
    <m/>
    <n v="3"/>
    <n v="2"/>
    <s v="Transferencia electrónica"/>
    <s v="100123801"/>
    <n v="0"/>
    <n v="0"/>
    <n v="0"/>
  </r>
  <r>
    <s v="001361"/>
    <s v="Región Estado México"/>
    <x v="0"/>
    <s v="000029"/>
    <s v="Colin Garduño Estefani"/>
    <x v="5"/>
    <x v="5"/>
    <s v="01"/>
    <s v="CASTILLO VILLEGAS YOLANDA YADIRA"/>
    <d v="2025-06-02T00:00:00"/>
    <d v="2025-12-02T00:00:00"/>
    <n v="7000"/>
    <n v="7373.85"/>
    <n v="0"/>
    <x v="6"/>
    <n v="6"/>
    <s v="Mensual"/>
    <n v="1825.24"/>
    <n v="348"/>
    <n v="0"/>
    <n v="0"/>
    <n v="0"/>
    <n v="0.01"/>
    <n v="0.01"/>
    <n v="0.01"/>
    <n v="0"/>
    <n v="0"/>
    <n v="0"/>
    <n v="580"/>
    <d v="2025-12-22T00:00:00"/>
    <s v="Entregado"/>
    <n v="7291110998"/>
    <s v="ycv86@gmail.com"/>
    <m/>
    <s v="RESTAURANTE"/>
    <n v="8711021"/>
    <s v="COLIN BAÑUELOS HERON"/>
    <s v="7122030101.0"/>
    <s v="LORENA LOPEZ GOMEZ"/>
    <s v="7226016996"/>
    <s v="JUAN ISIDRO MORGAN RODRIGUEZ"/>
    <s v="7224062725"/>
    <s v="ARMANDO COLIN PEREZ"/>
    <s v="7229808240"/>
    <m/>
    <m/>
    <m/>
    <m/>
    <m/>
    <m/>
    <n v="0.01"/>
    <n v="0"/>
    <n v="1"/>
    <s v="Individual sin Garantía"/>
    <s v="CAMINO ALA CRUZ #7-SN"/>
    <s v="La Peña"/>
    <s v="México"/>
    <s v="Valle De Bravo"/>
    <m/>
    <s v="Ver en mapa"/>
    <m/>
    <m/>
    <n v="1"/>
    <n v="1"/>
    <s v="Transferencia electrónica"/>
    <s v="100136101"/>
    <n v="0"/>
    <n v="0"/>
    <n v="1"/>
  </r>
  <r>
    <s v="001590"/>
    <s v="Región Estado México"/>
    <x v="0"/>
    <s v="000029"/>
    <s v="Colin Garduño Estefani"/>
    <x v="5"/>
    <x v="5"/>
    <s v="01"/>
    <s v="GUADARRAMA TINOCO ANGELICA"/>
    <d v="2025-07-28T00:00:00"/>
    <d v="2026-08-01T00:00:00"/>
    <n v="20000"/>
    <n v="21068.16"/>
    <n v="0"/>
    <x v="6"/>
    <n v="12"/>
    <s v="Mensual"/>
    <n v="3364.19"/>
    <n v="696"/>
    <n v="0"/>
    <n v="0"/>
    <n v="0"/>
    <n v="14045.44"/>
    <n v="0"/>
    <n v="0"/>
    <n v="0"/>
    <n v="0"/>
    <n v="0"/>
    <n v="3365"/>
    <d v="2025-12-01T00:00:00"/>
    <s v="Entregado"/>
    <n v="7226129557"/>
    <s v="angygt0130@gmail.com"/>
    <m/>
    <s v="HOTEL"/>
    <n v="8611015"/>
    <s v="GARCIA ESPINOSA JESUS"/>
    <s v="7226129557.0"/>
    <s v="JESUS GARCIA ESPINOSA"/>
    <s v="7226743133"/>
    <s v="MARIANA GARCIA GUADARRAMA"/>
    <s v="7225645850"/>
    <s v="CLAUDIA GARCIA DE LA O"/>
    <s v="7203553245"/>
    <m/>
    <m/>
    <m/>
    <m/>
    <m/>
    <m/>
    <n v="26447.1"/>
    <n v="2.4300000000000002"/>
    <n v="1"/>
    <s v="Individual sin Garantía"/>
    <s v="CARR TOL ALTAMIRANO #122-1"/>
    <s v="Avándaro"/>
    <s v="México"/>
    <s v="Valle De Bravo"/>
    <s v="19°09'38.5&quot;N 100°06'15.4&quot;W"/>
    <s v="Ver en mapa"/>
    <m/>
    <m/>
    <n v="0"/>
    <n v="0"/>
    <s v="Transferencia electrónica"/>
    <s v="100159001"/>
    <n v="0"/>
    <n v="0"/>
    <n v="0"/>
  </r>
  <r>
    <s v="001625"/>
    <s v="Región Estado México"/>
    <x v="0"/>
    <s v="000029"/>
    <s v="Colin Garduño Estefani"/>
    <x v="5"/>
    <x v="5"/>
    <s v="01"/>
    <s v="CORANGUEZ MENCHACA HILDA"/>
    <d v="2025-08-04T00:00:00"/>
    <d v="2026-08-04T00:00:00"/>
    <n v="20000"/>
    <n v="21068.16"/>
    <n v="0"/>
    <x v="6"/>
    <n v="12"/>
    <s v="Mensual"/>
    <n v="3347.38"/>
    <n v="696"/>
    <n v="0"/>
    <n v="0"/>
    <n v="0"/>
    <n v="14045.44"/>
    <n v="0"/>
    <n v="0"/>
    <n v="0"/>
    <n v="0"/>
    <n v="0"/>
    <n v="3350"/>
    <d v="2025-12-03T00:00:00"/>
    <s v="Entregado"/>
    <n v="7227910953"/>
    <s v="cuitlahuac_2008@hotmail.com"/>
    <m/>
    <s v="EMPLEADO DEL SECTOR PÚBLICO"/>
    <n v="9502007"/>
    <m/>
    <m/>
    <s v="GUSTAVO TINOCO ESTRADA"/>
    <s v="7221395058"/>
    <s v="ASHLEY TINOCO CORANGUEZ"/>
    <s v="7261173471"/>
    <s v="FELICITAS CORANGUEZ MENCHACA"/>
    <s v="7292850674"/>
    <m/>
    <m/>
    <m/>
    <m/>
    <m/>
    <m/>
    <n v="26309.84"/>
    <n v="5.23"/>
    <n v="1"/>
    <s v="Individual sin Garantía"/>
    <s v="AV FRAY GREGORIO JIMENEZ #161-SN"/>
    <s v="Valle de Bravo"/>
    <s v="México"/>
    <s v="Valle De Bravo"/>
    <s v="https://www.google.com/maps/pl"/>
    <s v="Ver en mapa"/>
    <m/>
    <m/>
    <n v="0"/>
    <n v="0"/>
    <s v="Transferencia electrónica"/>
    <s v="100162501"/>
    <n v="0"/>
    <n v="0"/>
    <n v="0"/>
  </r>
  <r>
    <s v="001309"/>
    <s v="Región Estado México"/>
    <x v="0"/>
    <s v="000082"/>
    <s v="ENRIQUEZ VILCHIS MARIA ALEJANDRA"/>
    <x v="5"/>
    <x v="5"/>
    <s v="02"/>
    <s v="SANCHEZ JIMENEZ SANTOS"/>
    <d v="2025-11-18T00:00:00"/>
    <d v="2026-05-18T00:00:00"/>
    <n v="12000"/>
    <n v="12640.89"/>
    <n v="0"/>
    <x v="6"/>
    <n v="6"/>
    <s v="Mensual"/>
    <n v="3077.47"/>
    <n v="348"/>
    <n v="0"/>
    <n v="0"/>
    <n v="0"/>
    <n v="10534.07"/>
    <n v="0"/>
    <n v="0"/>
    <n v="0"/>
    <n v="0"/>
    <n v="0"/>
    <n v="3078"/>
    <d v="2025-12-18T00:00:00"/>
    <s v="Entregado"/>
    <n v="7293313439"/>
    <s v="raquelguadarram60@gmail.com"/>
    <m/>
    <s v="COMPRAVENTA DE PAN Y PASTELES"/>
    <n v="6132055"/>
    <s v="GUADARRAMA MARIANO RAQUEL"/>
    <s v="7293313459.0"/>
    <s v="LORENA JAZMIN DIAZ"/>
    <s v="5529013258"/>
    <s v="ELVIRA AGUILAR CASTILLO"/>
    <s v="7229335833"/>
    <s v="PAULINA LOPEZ ROQUE"/>
    <s v="7293508715"/>
    <m/>
    <m/>
    <m/>
    <m/>
    <m/>
    <m/>
    <n v="15096.84"/>
    <n v="0.526787433333333"/>
    <n v="1"/>
    <s v="Individual sin Garantía"/>
    <s v="SN BARTOLO PRIMERA SECCION  #SN -SN"/>
    <s v="San Bartolo cu"/>
    <s v="México"/>
    <s v="Amanalco"/>
    <s v="19°14'57.6&quot;N 100°03'19.1&quot;W"/>
    <s v="Ver en mapa"/>
    <m/>
    <m/>
    <n v="0"/>
    <n v="0"/>
    <s v="Transferencia electrónica"/>
    <s v="100130902"/>
    <n v="0"/>
    <n v="0"/>
    <n v="0"/>
  </r>
  <r>
    <s v="001558"/>
    <s v="Región Estado México"/>
    <x v="0"/>
    <s v="000059"/>
    <s v="Gutierrez Jaimes Ruben"/>
    <x v="5"/>
    <x v="5"/>
    <s v="01"/>
    <s v="VELEZ GUADARRAMA HORACIO"/>
    <d v="2025-07-25T00:00:00"/>
    <d v="2026-07-25T00:00:00"/>
    <n v="10000"/>
    <n v="10534.08"/>
    <n v="0"/>
    <x v="6"/>
    <n v="12"/>
    <s v="Mensual"/>
    <n v="1702.69"/>
    <n v="696"/>
    <n v="0"/>
    <n v="0"/>
    <n v="0"/>
    <n v="6144.88"/>
    <n v="0"/>
    <n v="0"/>
    <n v="0"/>
    <n v="0"/>
    <n v="0"/>
    <n v="1720"/>
    <d v="2025-12-24T00:00:00"/>
    <s v="Entregado"/>
    <n v="7225066648"/>
    <s v="horaciovg25@gmail.com"/>
    <m/>
    <s v="RESTAURANTE"/>
    <n v="8711021"/>
    <m/>
    <m/>
    <s v="CESAR VELEZ GUADARRAMA"/>
    <s v="7262078595"/>
    <s v="ROSA GONZALEZ COAHUILAS"/>
    <s v="7227869607"/>
    <s v="ADRIANA CABALLERO LOPEZ"/>
    <s v="7295422965"/>
    <m/>
    <m/>
    <m/>
    <m/>
    <m/>
    <m/>
    <n v="11423.3"/>
    <n v="89.541186666666661"/>
    <n v="1"/>
    <s v="Individual sin Garantía"/>
    <s v="CASAS VIEJAS  #SN"/>
    <s v="Avándaro"/>
    <s v="México"/>
    <s v="Valle De Bravo"/>
    <s v="19°09'13.4&quot;N 100°06'24.4&quot;W"/>
    <s v="Ver en mapa"/>
    <m/>
    <m/>
    <n v="0"/>
    <n v="0"/>
    <s v="Transferencia electrónica"/>
    <s v="100155801"/>
    <n v="0"/>
    <n v="0"/>
    <n v="0"/>
  </r>
  <r>
    <s v="001260"/>
    <s v="Región Estado México"/>
    <x v="0"/>
    <s v="000037"/>
    <s v="CREDIFLEXI CREDIFLEXI CREDIFLEXI"/>
    <x v="5"/>
    <x v="5"/>
    <s v="01"/>
    <s v="BENITEZ AGUILAR PAULA"/>
    <d v="2025-04-21T00:00:00"/>
    <d v="2026-04-21T00:00:00"/>
    <n v="20000"/>
    <n v="21068.16"/>
    <n v="0"/>
    <x v="6"/>
    <n v="12"/>
    <s v="Mensual"/>
    <n v="2960.75"/>
    <n v="696"/>
    <n v="0"/>
    <n v="0"/>
    <n v="0"/>
    <n v="7022.72"/>
    <n v="0"/>
    <n v="0"/>
    <n v="0"/>
    <n v="0"/>
    <n v="0"/>
    <n v="2979"/>
    <d v="2025-12-21T00:00:00"/>
    <s v="Entregado"/>
    <n v="7225577096"/>
    <s v="pbo21388@gmail.com"/>
    <m/>
    <s v="SERVICIOS MEDICO GENERAL Y ESPECIALIZADO EN CONSULTORIOS"/>
    <n v="9212010"/>
    <m/>
    <m/>
    <s v="LAURA IVETH MENDOZA"/>
    <s v="7225736723"/>
    <s v="LAURA LETICIA TRUJILLO SERVIN"/>
    <s v="5546203255"/>
    <s v="VICTOR RODRIGUEZ ARZATE"/>
    <s v="7221565221"/>
    <m/>
    <m/>
    <m/>
    <m/>
    <m/>
    <m/>
    <n v="11537.04"/>
    <n v="73.971775999999991"/>
    <n v="1"/>
    <s v="Individual sin Garantía"/>
    <s v="SAN SEBASTIAN CHICO 1ERA SECC #SN"/>
    <s v="San Sebastian Chico"/>
    <s v="México"/>
    <s v="Amanalco"/>
    <m/>
    <s v="Ver en mapa"/>
    <m/>
    <m/>
    <n v="0"/>
    <n v="0"/>
    <s v="Transferencia electrónica"/>
    <s v="100126001"/>
    <n v="0"/>
    <n v="0"/>
    <n v="0"/>
  </r>
  <r>
    <s v="001464"/>
    <s v="Región Estado México"/>
    <x v="0"/>
    <s v="000085"/>
    <s v="Campuzano Sanchez Humbert"/>
    <x v="5"/>
    <x v="5"/>
    <s v="02"/>
    <s v="ALVARADO GONZALEZ TANIA ALEXIA"/>
    <d v="2025-10-14T00:00:00"/>
    <d v="2026-03-31T00:00:00"/>
    <n v="8000"/>
    <n v="8427.26"/>
    <n v="0"/>
    <x v="6"/>
    <n v="12"/>
    <s v="Catorcenal"/>
    <n v="1042.6400000000001"/>
    <n v="696"/>
    <n v="0"/>
    <n v="5"/>
    <n v="0"/>
    <n v="4915.9000000000005"/>
    <n v="0"/>
    <n v="0"/>
    <n v="0"/>
    <n v="0"/>
    <n v="0"/>
    <n v="1042.6400000000001"/>
    <d v="2025-12-18T00:00:00"/>
    <s v="Entregado"/>
    <n v="7202840539"/>
    <s v="tanis77@gmail.com"/>
    <m/>
    <s v="EMPLEADO DEL SECTOR PRIVADO"/>
    <n v="9501009"/>
    <s v="ANSELMO REYES BENJAMIN"/>
    <s v="7202840539.0"/>
    <s v="BENJAMIN ANSELMO REYES"/>
    <s v="7202842005"/>
    <s v="JORDI JESUS REYES GONZALEZ"/>
    <s v="7227988049"/>
    <s v="ARTURO GONZALEZ RUIZ"/>
    <s v="7225543417"/>
    <m/>
    <m/>
    <m/>
    <m/>
    <m/>
    <m/>
    <n v="6887.49"/>
    <n v="4.9947080000000001"/>
    <n v="1"/>
    <s v="Individual sin Garantía"/>
    <s v="FLOR DE HORTENCIA CASA  #4-SN"/>
    <s v="Barranca Seca"/>
    <s v="México"/>
    <s v="Valle De Bravo"/>
    <m/>
    <s v="Ver en mapa"/>
    <m/>
    <m/>
    <n v="1"/>
    <n v="1"/>
    <s v="Transferencia electrónica"/>
    <s v="100146402"/>
    <n v="0"/>
    <n v="0"/>
    <n v="0"/>
  </r>
  <r>
    <s v="001335"/>
    <s v="Región Estado México"/>
    <x v="0"/>
    <s v="000040"/>
    <s v="Olayo Gaytan Luis Enrique"/>
    <x v="5"/>
    <x v="5"/>
    <s v="01"/>
    <s v="LOPEZ RODRIGUEZ ERNESTO ANGEL"/>
    <d v="2025-05-23T00:00:00"/>
    <d v="2026-05-23T00:00:00"/>
    <n v="10000"/>
    <n v="10534.08"/>
    <n v="0"/>
    <x v="6"/>
    <n v="12"/>
    <s v="Mensual"/>
    <n v="1702.69"/>
    <n v="696"/>
    <n v="0"/>
    <n v="0"/>
    <n v="0"/>
    <n v="4389.21"/>
    <n v="1.2338666666666999E-2"/>
    <n v="0.01"/>
    <n v="0"/>
    <n v="0"/>
    <n v="0"/>
    <n v="1702.69"/>
    <d v="2025-12-23T00:00:00"/>
    <s v="Entregado"/>
    <n v="7224934875"/>
    <s v="ernestolopezrodriguez@gmail.com"/>
    <m/>
    <s v="TALLER DE PLOMERIA"/>
    <n v="4221016"/>
    <m/>
    <m/>
    <s v="ESTEBAN REYES GONZALEZ"/>
    <s v="7361117698"/>
    <s v="ALVARO CHIMAL CANO"/>
    <s v="5579318315"/>
    <s v="ROBERTO LOPEZ GOMEZ"/>
    <s v="7121769075"/>
    <m/>
    <m/>
    <m/>
    <m/>
    <m/>
    <m/>
    <n v="8223.4699999999993"/>
    <n v="0"/>
    <n v="1"/>
    <s v="Individual sin Garantía"/>
    <s v="VILLA FLORENCIA  #SN"/>
    <s v="San Antonio"/>
    <s v="México"/>
    <s v="Valle De Bravo"/>
    <m/>
    <s v="Ver en mapa"/>
    <m/>
    <m/>
    <n v="0"/>
    <n v="0"/>
    <s v="Transferencia electrónica"/>
    <s v="100133501"/>
    <n v="0"/>
    <n v="0"/>
    <n v="1.500420949631603E-6"/>
  </r>
  <r>
    <s v="001307"/>
    <s v="Región Estado México"/>
    <x v="3"/>
    <s v="000037"/>
    <s v="CREDIFLEXI CREDIFLEXI CREDIFLEXI"/>
    <x v="5"/>
    <x v="5"/>
    <s v="02"/>
    <s v="FUENTES ESPINOZA MARISOL"/>
    <d v="2025-10-03T00:00:00"/>
    <d v="2026-03-20T00:00:00"/>
    <n v="12000"/>
    <n v="12640.89"/>
    <n v="0"/>
    <x v="6"/>
    <n v="12"/>
    <s v="Catorcenal"/>
    <n v="1534.96"/>
    <n v="696"/>
    <n v="0"/>
    <n v="6"/>
    <n v="0"/>
    <n v="6320.4400000000014"/>
    <n v="0"/>
    <n v="0"/>
    <n v="0"/>
    <n v="0"/>
    <n v="0"/>
    <n v="1535"/>
    <d v="2025-12-26T00:00:00"/>
    <s v="Entregado"/>
    <n v="7227913375"/>
    <s v="marisolespinoza885@hotmail.com"/>
    <m/>
    <s v="CULTIVO DE FLORES Y PLANTAS DE ORNATO"/>
    <n v="131011"/>
    <s v="REZA PUEBLA ALFREDO"/>
    <m/>
    <s v="DAVID FUENTES"/>
    <s v="7223555681"/>
    <s v="ANA MILLAN MILLAN"/>
    <s v="7226110715"/>
    <s v="LIZBETH ORTEGA"/>
    <s v="7224054288"/>
    <m/>
    <m/>
    <m/>
    <m/>
    <m/>
    <m/>
    <n v="8861.5400000000009"/>
    <n v="0.23499999999999999"/>
    <n v="1"/>
    <s v="Individual sin Garantía"/>
    <s v="RUMBO AL ARROYO #SN"/>
    <s v="Buenavista"/>
    <s v="México"/>
    <s v="Villa Guerrero"/>
    <m/>
    <s v="Ver en mapa"/>
    <m/>
    <m/>
    <n v="0"/>
    <n v="0"/>
    <s v="Transferencia electrónica"/>
    <s v="100130702"/>
    <n v="0"/>
    <n v="0"/>
    <n v="0"/>
  </r>
  <r>
    <s v="002226"/>
    <s v="Región Estado México"/>
    <x v="3"/>
    <s v="000057"/>
    <s v="Camacho Frias Oscar Antonio"/>
    <x v="5"/>
    <x v="5"/>
    <s v="01"/>
    <s v="GUADARRAMA ACACIO ALONDRA"/>
    <d v="2025-09-04T00:00:00"/>
    <d v="2026-03-04T00:00:00"/>
    <n v="5000"/>
    <n v="5267.04"/>
    <n v="0"/>
    <x v="6"/>
    <n v="6"/>
    <s v="Mensual"/>
    <n v="1316.11"/>
    <n v="348"/>
    <n v="0"/>
    <n v="0"/>
    <n v="0"/>
    <n v="2633.64"/>
    <n v="0.12330720000000001"/>
    <n v="0.12"/>
    <n v="0"/>
    <n v="0"/>
    <n v="0"/>
    <n v="1316"/>
    <d v="2025-12-04T00:00:00"/>
    <s v="Entregado"/>
    <n v="7298055134"/>
    <s v="alonacacio@gmail.com"/>
    <m/>
    <s v="COMPRAVENTA DE ROPA"/>
    <n v="6211023"/>
    <m/>
    <m/>
    <s v="YEIMI MARIELA MORALES"/>
    <s v="7225575293"/>
    <s v="TERESA DE JESUS ESTRADA"/>
    <s v="7225036476"/>
    <s v="MARIA EUGENIA GUADARRAMA"/>
    <s v="7228603189"/>
    <m/>
    <m/>
    <m/>
    <m/>
    <m/>
    <m/>
    <n v="3774.47"/>
    <n v="0"/>
    <n v="1"/>
    <s v="Individual sin Garantía"/>
    <s v="PRL IGNACIO LOPEZ RAYON #3-SN"/>
    <s v="Villa Guerrero"/>
    <s v="México"/>
    <s v="Villa Guerrero"/>
    <s v="18°57'33.3&quot;N 99°38'20.9&quot;W"/>
    <s v="Ver en mapa"/>
    <m/>
    <m/>
    <n v="0"/>
    <n v="0"/>
    <s v="Transferencia electrónica"/>
    <s v="100222601"/>
    <n v="0"/>
    <n v="0"/>
    <n v="3.2668745545732253E-5"/>
  </r>
  <r>
    <s v="001350"/>
    <s v="Región Estado México"/>
    <x v="3"/>
    <s v="000041"/>
    <s v="Martinez Perez Juan Daniel"/>
    <x v="5"/>
    <x v="5"/>
    <s v="02"/>
    <s v="CRUZ GONZALEZ ROSA ISELA"/>
    <d v="2025-09-15T00:00:00"/>
    <d v="2026-03-02T00:00:00"/>
    <n v="10000"/>
    <n v="10534.08"/>
    <n v="0"/>
    <x v="6"/>
    <n v="12"/>
    <s v="Catorcenal"/>
    <n v="1288.8"/>
    <n v="696"/>
    <n v="0"/>
    <n v="7"/>
    <n v="0"/>
    <n v="4389.2"/>
    <n v="0"/>
    <n v="0"/>
    <n v="0"/>
    <n v="0"/>
    <n v="0"/>
    <n v="1289"/>
    <d v="2025-12-22T00:00:00"/>
    <s v="Entregado"/>
    <n v="7226794251"/>
    <s v="rosaiselacruzgonzalez5@gmail.com"/>
    <m/>
    <s v="EMPLEADO PRIVADO"/>
    <n v="8944098"/>
    <m/>
    <m/>
    <s v="MAYTE OSMIN HIDALGO CABRERA"/>
    <s v="7226923807"/>
    <s v="MARICARMEN HIDALGO"/>
    <s v="7141104726"/>
    <s v="OSVALDO CAMPOS MONDRAGON"/>
    <s v="7228281831"/>
    <m/>
    <m/>
    <m/>
    <m/>
    <m/>
    <m/>
    <n v="6152.62"/>
    <n v="1.39"/>
    <n v="1"/>
    <s v="Individual sin Garantía"/>
    <s v="CAM MALINALCO #SN"/>
    <s v="San Pedro Ejido Tecomatlán"/>
    <s v="México"/>
    <s v="Tenancingo"/>
    <m/>
    <s v="Ver en mapa"/>
    <m/>
    <m/>
    <n v="0"/>
    <n v="0"/>
    <s v="Transferencia electrónica"/>
    <s v="100135002"/>
    <n v="0"/>
    <n v="0"/>
    <n v="0"/>
  </r>
  <r>
    <s v="001319"/>
    <s v="Región Estado México"/>
    <x v="3"/>
    <s v="000082"/>
    <s v="ENRIQUEZ VILCHIS MARIA ALEJANDRA"/>
    <x v="5"/>
    <x v="5"/>
    <s v="02"/>
    <s v="FERNANDEZ GUADARRAMA YOSELIN ANDREA"/>
    <d v="2025-11-28T00:00:00"/>
    <d v="2026-06-01T00:00:00"/>
    <n v="12000"/>
    <n v="12640.89"/>
    <n v="0"/>
    <x v="6"/>
    <n v="6"/>
    <s v="Mensual"/>
    <n v="3097.64"/>
    <n v="348"/>
    <n v="0"/>
    <n v="0"/>
    <n v="0"/>
    <n v="12640.89"/>
    <n v="0"/>
    <n v="0"/>
    <n v="0"/>
    <n v="0"/>
    <n v="0"/>
    <m/>
    <m/>
    <s v="Entregado"/>
    <n v="7204315193"/>
    <s v="yoshandi1219@gmail.com"/>
    <m/>
    <s v="COMPRAVENTA DE ROPA"/>
    <n v="6211023"/>
    <s v="REYES VASQUEZ FELIPE DE JESUS"/>
    <m/>
    <s v="ARACELI GUADARRAMA"/>
    <s v="7224456103"/>
    <s v="DEYSI NOEMI RAYON"/>
    <s v="7223740062"/>
    <s v="LUIS JAVIER MATEOS"/>
    <s v="7226737186"/>
    <m/>
    <m/>
    <m/>
    <m/>
    <m/>
    <m/>
    <n v="18237.849999999999"/>
    <n v="0"/>
    <n v="1"/>
    <s v="Individual sin Garantía"/>
    <s v="BENITO JUAREZ  #SN"/>
    <s v="El Salitre"/>
    <s v="México"/>
    <s v="Tenancingo"/>
    <s v="18°57'02.1&quot;N 99°35'11.5&quot;W"/>
    <s v="Ver en mapa"/>
    <m/>
    <m/>
    <n v="0"/>
    <n v="0"/>
    <s v="Transferencia electrónica"/>
    <s v="100131902"/>
    <n v="0"/>
    <n v="0"/>
    <n v="0"/>
  </r>
  <r>
    <s v="001320"/>
    <s v="Región Estado México"/>
    <x v="3"/>
    <s v="000082"/>
    <s v="ENRIQUEZ VILCHIS MARIA ALEJANDRA"/>
    <x v="5"/>
    <x v="5"/>
    <s v="02"/>
    <s v="PEREZ RODRIGUEZ BELLA NEY"/>
    <d v="2025-11-04T00:00:00"/>
    <d v="2026-04-21T00:00:00"/>
    <n v="12000"/>
    <n v="12640.89"/>
    <n v="0"/>
    <x v="6"/>
    <n v="12"/>
    <s v="Catorcenal"/>
    <n v="1534.96"/>
    <n v="696"/>
    <n v="0"/>
    <n v="4"/>
    <n v="1"/>
    <n v="9480.67"/>
    <n v="1519.85"/>
    <n v="1053.4100000000001"/>
    <n v="423.56"/>
    <n v="42.88"/>
    <n v="0"/>
    <n v="1535"/>
    <d v="2025-12-16T00:00:00"/>
    <s v="Entregado"/>
    <n v="7291251949"/>
    <s v="bp8404794@gmail.com"/>
    <m/>
    <s v="EMPLEADO PRIVADO"/>
    <n v="8944098"/>
    <m/>
    <m/>
    <s v="BLANCA JIMENEZ"/>
    <s v="7297287117"/>
    <s v="ROSA ISELA COSME"/>
    <s v="7227860138"/>
    <s v="SERGIO ORIHUELA"/>
    <s v="7204330413"/>
    <m/>
    <m/>
    <m/>
    <m/>
    <m/>
    <m/>
    <n v="13335.54"/>
    <n v="0"/>
    <n v="1"/>
    <s v="Individual sin Garantía"/>
    <s v="CARRETERA MALINALCO-CHALMA #SN"/>
    <s v="Santa María"/>
    <s v="México"/>
    <s v="Malinalco"/>
    <m/>
    <s v="Ver en mapa"/>
    <m/>
    <m/>
    <n v="1"/>
    <n v="1"/>
    <s v="Transferencia electrónica"/>
    <s v="100132002"/>
    <n v="0"/>
    <n v="0"/>
    <n v="0.1139698879835387"/>
  </r>
  <r>
    <s v="001343"/>
    <s v="Región Estado México"/>
    <x v="3"/>
    <s v="000042"/>
    <s v="Avila Nieto Luis Alfredo"/>
    <x v="5"/>
    <x v="5"/>
    <s v="01"/>
    <s v="VENANCIO SANCHEZ JUAN ALBERTO"/>
    <d v="2025-05-27T00:00:00"/>
    <d v="2026-05-27T00:00:00"/>
    <n v="20000"/>
    <n v="21068.16"/>
    <n v="0"/>
    <x v="6"/>
    <n v="12"/>
    <s v="Mensual"/>
    <n v="3347.38"/>
    <n v="696"/>
    <n v="0"/>
    <n v="0"/>
    <n v="0"/>
    <n v="8778.4"/>
    <n v="0"/>
    <n v="0"/>
    <n v="0"/>
    <n v="0"/>
    <n v="0"/>
    <n v="3348"/>
    <d v="2025-12-29T00:00:00"/>
    <s v="Entregado"/>
    <n v="7295179841"/>
    <s v="benjaminvenancio45@gmail.com"/>
    <m/>
    <s v="CONSTRUCCION DE INMUEBLES"/>
    <n v="4111027"/>
    <m/>
    <m/>
    <s v="VANESA AYALA CRUZ"/>
    <s v="7225957128"/>
    <s v="MARISOL AYALA CRUZ"/>
    <s v="7227964327"/>
    <s v="TEODORA TAPIA SANCHEZ"/>
    <s v="7225593677"/>
    <m/>
    <m/>
    <m/>
    <m/>
    <m/>
    <m/>
    <n v="16440.599999999999"/>
    <n v="6.32"/>
    <n v="1"/>
    <s v="Individual sin Garantía"/>
    <s v="MATAMOROS SN #SN"/>
    <s v="Zacango"/>
    <s v="México"/>
    <s v="Villa Guerrero"/>
    <m/>
    <s v="Ver en mapa"/>
    <m/>
    <m/>
    <n v="0"/>
    <n v="0"/>
    <s v="Transferencia electrónica"/>
    <s v="100134301"/>
    <n v="0"/>
    <n v="0"/>
    <n v="0"/>
  </r>
  <r>
    <s v="001759"/>
    <s v="Región Estado México"/>
    <x v="3"/>
    <s v="000042"/>
    <s v="Avila Nieto Luis Alfredo"/>
    <x v="5"/>
    <x v="5"/>
    <s v="01"/>
    <s v="ARIAS GUADARRAMA SUSANA"/>
    <d v="2025-08-20T00:00:00"/>
    <d v="2026-02-20T00:00:00"/>
    <n v="8000"/>
    <n v="8427.26"/>
    <n v="0"/>
    <x v="6"/>
    <n v="6"/>
    <s v="Mensual"/>
    <n v="2081.0700000000002"/>
    <n v="348"/>
    <n v="0"/>
    <n v="0"/>
    <n v="0"/>
    <n v="2809.14"/>
    <n v="5.7051377777778002E-2"/>
    <n v="0.05"/>
    <n v="0"/>
    <n v="0"/>
    <n v="0"/>
    <n v="2081"/>
    <d v="2025-12-22T00:00:00"/>
    <s v="Entregado"/>
    <n v="7224273323"/>
    <s v="susanaarias1212@gmail.com"/>
    <m/>
    <s v="NEGOCIOS RELACIONADOS CON INTERNET (U.I.F)"/>
    <n v="9504003"/>
    <s v="MANCILLA ESTRADA DAVID"/>
    <m/>
    <s v="DAVID MANCILLA ESTRADA"/>
    <s v="7294023533"/>
    <s v="DAVID NOE MANCILLA ARIAS"/>
    <s v="7294023412"/>
    <s v="ANDRES DE JESUS MANCILLA ARIAS"/>
    <s v="7228650495"/>
    <m/>
    <m/>
    <m/>
    <m/>
    <m/>
    <m/>
    <n v="4046.19"/>
    <n v="0"/>
    <n v="1"/>
    <s v="Individual sin Garantía"/>
    <s v="SAN LUCAS #SN"/>
    <s v="El Islote"/>
    <s v="México"/>
    <s v="Villa Guerrero"/>
    <s v="18°58'28.3&quot;N 99°39'29.6&quot;W"/>
    <s v="Ver en mapa"/>
    <m/>
    <m/>
    <n v="0"/>
    <n v="0"/>
    <s v="Transferencia electrónica"/>
    <s v="100175901"/>
    <n v="0"/>
    <n v="0"/>
    <n v="1.410002441254069E-5"/>
  </r>
  <r>
    <s v="001445"/>
    <s v="Región Estado México"/>
    <x v="3"/>
    <s v="000057"/>
    <s v="Camacho Frias Oscar Antonio"/>
    <x v="5"/>
    <x v="5"/>
    <s v="02"/>
    <s v="CARMONA LOPEZ GUADALUPE BEATRIZ"/>
    <d v="2025-11-11T00:00:00"/>
    <d v="2026-05-11T00:00:00"/>
    <n v="20000"/>
    <n v="21068.16"/>
    <n v="0"/>
    <x v="6"/>
    <n v="6"/>
    <s v="Mensual"/>
    <n v="5090.46"/>
    <n v="348"/>
    <n v="0"/>
    <n v="0"/>
    <n v="0"/>
    <n v="17556.8"/>
    <n v="0"/>
    <n v="0"/>
    <n v="0"/>
    <n v="0"/>
    <n v="0"/>
    <n v="5091"/>
    <d v="2025-12-08T00:00:00"/>
    <s v="Entregado"/>
    <n v="7224083842"/>
    <s v="lopecabe@gmail.com"/>
    <m/>
    <s v="COMPRAVENTA DE ARTICULOS REGIONALES CURIOSIDADES Y ARTESANIAS"/>
    <n v="6325048"/>
    <m/>
    <m/>
    <s v="SOFIA CARMONA"/>
    <s v="7223730234"/>
    <s v="ESTEBAN CARMONA"/>
    <s v="7293827075"/>
    <s v="JUNIOR ESTEBAN"/>
    <s v="7297775671"/>
    <m/>
    <m/>
    <m/>
    <m/>
    <m/>
    <m/>
    <n v="25161.75"/>
    <n v="0.54225706666666695"/>
    <n v="1"/>
    <s v="Individual sin Garantía"/>
    <s v="MORELOS  #109"/>
    <s v="Chalma"/>
    <s v="México"/>
    <s v="Malinalco"/>
    <s v="18°55'49.4&quot;N 99°26'07.3&quot;W"/>
    <s v="Ver en mapa"/>
    <m/>
    <m/>
    <n v="0"/>
    <n v="0"/>
    <s v="Transferencia electrónica"/>
    <s v="100144502"/>
    <n v="0"/>
    <n v="0"/>
    <n v="0"/>
  </r>
  <r>
    <s v="001680"/>
    <s v="Región Estado México"/>
    <x v="3"/>
    <s v="000042"/>
    <s v="Avila Nieto Luis Alfredo"/>
    <x v="5"/>
    <x v="5"/>
    <s v="01"/>
    <s v="TOLENTINO GUADARRAMA RICARDO"/>
    <d v="2025-08-05T00:00:00"/>
    <d v="2026-08-05T00:00:00"/>
    <n v="15000"/>
    <n v="15801.12"/>
    <n v="0"/>
    <x v="6"/>
    <n v="12"/>
    <s v="Mensual"/>
    <n v="2525.04"/>
    <n v="696"/>
    <n v="0"/>
    <n v="0"/>
    <n v="0"/>
    <n v="10534.08"/>
    <n v="0"/>
    <n v="0"/>
    <n v="0"/>
    <n v="0"/>
    <n v="0"/>
    <n v="2525.04"/>
    <d v="2025-12-05T00:00:00"/>
    <s v="Entregado"/>
    <n v="7223963932"/>
    <s v="ricardotolentino932@gmail.com"/>
    <m/>
    <s v="CULTIVO DE FLORES Y PLANTAS DE ORNATO"/>
    <n v="131011"/>
    <s v="FIZ SOLORZANO MARIA FERNANDA"/>
    <m/>
    <s v="ANA MARIA SANDOVAL TREVIÑO"/>
    <s v="7224094282"/>
    <s v="MARIA ZAMORA GUADARRAMA"/>
    <s v="7227963156"/>
    <s v="MARIA FIZ SOLORZANO"/>
    <s v="7298726548"/>
    <m/>
    <m/>
    <m/>
    <m/>
    <m/>
    <m/>
    <n v="19736.29"/>
    <n v="0.01"/>
    <n v="1"/>
    <s v="Individual sin Garantía"/>
    <s v="LIBERTAD NORTE #SN"/>
    <s v="San Mateo Coapexco"/>
    <s v="México"/>
    <s v="Villa Guerrero"/>
    <s v="18°58'17.6&quot;N 99°41'06.2&quot;W"/>
    <s v="Ver en mapa"/>
    <m/>
    <m/>
    <n v="0"/>
    <n v="0"/>
    <s v="Transferencia electrónica"/>
    <s v="100168001"/>
    <n v="0"/>
    <n v="0"/>
    <n v="0"/>
  </r>
  <r>
    <s v="001649"/>
    <s v="Región Estado México"/>
    <x v="3"/>
    <s v="000041"/>
    <s v="Martinez Perez Juan Daniel"/>
    <x v="5"/>
    <x v="5"/>
    <s v="01"/>
    <s v="QUIÑONES MEJIA JUAN ANTONIO"/>
    <d v="2025-08-04T00:00:00"/>
    <d v="2026-02-04T00:00:00"/>
    <n v="5000"/>
    <n v="5267.04"/>
    <n v="0"/>
    <x v="6"/>
    <n v="6"/>
    <s v="Mensual"/>
    <n v="1322.42"/>
    <n v="348"/>
    <n v="0"/>
    <n v="0"/>
    <n v="0"/>
    <n v="1755.68"/>
    <n v="0"/>
    <n v="0"/>
    <n v="0"/>
    <n v="0"/>
    <n v="0"/>
    <n v="1322.42"/>
    <d v="2025-12-04T00:00:00"/>
    <s v="Entregado"/>
    <n v="7218891374"/>
    <s v="blanquito@outlook.com"/>
    <m/>
    <s v="SERVICIOS DE ENSEÑANZA DE MUSICA DANZA Y OTRAS ARTES CULTURA FISICA MANEJO DE VEHICULOS Y OTROS ESPECIALIZADOS"/>
    <n v="9129017"/>
    <s v="DOMINGUEZ SERRANO ANGELICA"/>
    <m/>
    <s v="VANCO QUIÑONES MEJIA"/>
    <s v="7228804276"/>
    <s v="ODETH SEGURA GALLEGOS"/>
    <s v="7223751475"/>
    <s v="ONDINA SEGURA GALLEGOS"/>
    <s v="7222848358"/>
    <m/>
    <m/>
    <m/>
    <m/>
    <m/>
    <m/>
    <n v="2528.8200000000002"/>
    <n v="1.0692266666667E-2"/>
    <n v="1"/>
    <s v="Individual sin Garantía"/>
    <s v="CJON DEL MUERTO #SN"/>
    <s v="Del Calvario"/>
    <s v="México"/>
    <s v="Tenancingo"/>
    <s v="18°57'57.5&quot;N 99°35'41.4&quot;W"/>
    <s v="Ver en mapa"/>
    <m/>
    <m/>
    <n v="0"/>
    <n v="0"/>
    <s v="Transferencia electrónica"/>
    <s v="100164901"/>
    <n v="0"/>
    <n v="0"/>
    <n v="0"/>
  </r>
  <r>
    <s v="001511"/>
    <s v="Región Estado México"/>
    <x v="3"/>
    <s v="000042"/>
    <s v="Avila Nieto Luis Alfredo"/>
    <x v="5"/>
    <x v="5"/>
    <s v="01"/>
    <s v="VEA ZAVALA ARACELI"/>
    <d v="2025-07-11T00:00:00"/>
    <d v="2026-07-11T00:00:00"/>
    <n v="10000"/>
    <n v="10534.08"/>
    <n v="0"/>
    <x v="6"/>
    <n v="12"/>
    <s v="Mensual"/>
    <n v="1702.69"/>
    <n v="696"/>
    <n v="0"/>
    <n v="0"/>
    <n v="0"/>
    <n v="6144.88"/>
    <n v="0"/>
    <n v="0"/>
    <n v="0"/>
    <n v="0"/>
    <n v="0"/>
    <n v="1706"/>
    <d v="2025-12-11T00:00:00"/>
    <s v="Entregado"/>
    <n v="6671806345"/>
    <s v="aracelyvea413@gmail.com"/>
    <m/>
    <s v="RESTAURANTE"/>
    <n v="8711021"/>
    <m/>
    <m/>
    <s v="IRIS CAROLINA MARTINEZ SUAREZ"/>
    <s v="7411387321"/>
    <s v="JANETH VALERY VELAZCO CARRAZCO"/>
    <s v="5564888856"/>
    <s v="CLAUDIA ANDRADE RIVERA"/>
    <s v="5610063308"/>
    <m/>
    <m/>
    <m/>
    <m/>
    <m/>
    <m/>
    <n v="11508.3"/>
    <n v="4.5411866666666691"/>
    <n v="1"/>
    <s v="Individual sin Garantía"/>
    <s v="BENITO JUAREZ #1-SN"/>
    <s v="Santa María Aranzazú (Santa María)"/>
    <s v="México"/>
    <s v="Villa Guerrero"/>
    <s v="19°00'32.7&quot;N 99°39'06.7&quot;W"/>
    <s v="Ver en mapa"/>
    <m/>
    <m/>
    <n v="3"/>
    <n v="3"/>
    <s v="Transferencia electrónica"/>
    <s v="100151101"/>
    <n v="0"/>
    <n v="0"/>
    <n v="0"/>
  </r>
  <r>
    <s v="001510"/>
    <s v="Región Estado México"/>
    <x v="3"/>
    <s v="000042"/>
    <s v="Avila Nieto Luis Alfredo"/>
    <x v="5"/>
    <x v="5"/>
    <s v="01"/>
    <s v="SOTELO ESTRADA MA CONCEPCION"/>
    <d v="2025-07-11T00:00:00"/>
    <d v="2026-07-11T00:00:00"/>
    <n v="15000"/>
    <n v="15801.12"/>
    <n v="0"/>
    <x v="6"/>
    <n v="12"/>
    <s v="Mensual"/>
    <n v="2525.04"/>
    <n v="696"/>
    <n v="0"/>
    <n v="0"/>
    <n v="0"/>
    <n v="9217.32"/>
    <n v="0"/>
    <n v="0"/>
    <n v="0"/>
    <n v="0"/>
    <n v="0"/>
    <n v="3120"/>
    <d v="2025-12-17T00:00:00"/>
    <s v="Entregado"/>
    <n v="7221757286"/>
    <s v="conchitaestrada402@gmail.com"/>
    <m/>
    <s v="RESTAURANTE"/>
    <n v="8711021"/>
    <m/>
    <m/>
    <s v="LUIS ALEJANDRO SOTELO ESTRADA"/>
    <s v="7224095163"/>
    <s v="ANCELMO ALCALA MILLAN"/>
    <s v="7221028250"/>
    <s v="MARIA TERESA GUADARRAMA ESTRADA"/>
    <s v="7224441862"/>
    <m/>
    <m/>
    <m/>
    <m/>
    <m/>
    <m/>
    <n v="17247.41"/>
    <n v="21.851780000000002"/>
    <n v="1"/>
    <s v="Individual sin Garantía"/>
    <s v="HEROES DEL 14 #1-SN"/>
    <s v="Villa Guerrero"/>
    <s v="México"/>
    <s v="Villa Guerrero"/>
    <s v="18°57'37.2&quot;N 99°38'30.7&quot;W"/>
    <s v="Ver en mapa"/>
    <m/>
    <m/>
    <n v="4"/>
    <n v="4"/>
    <s v="Transferencia electrónica"/>
    <s v="100151001"/>
    <n v="0"/>
    <n v="0"/>
    <n v="0"/>
  </r>
  <r>
    <s v="001281"/>
    <s v="Región Estado México"/>
    <x v="3"/>
    <s v="000037"/>
    <s v="CREDIFLEXI CREDIFLEXI CREDIFLEXI"/>
    <x v="5"/>
    <x v="5"/>
    <s v="02"/>
    <s v="ROMERO CASTRO VERONICA"/>
    <d v="2025-09-26T00:00:00"/>
    <d v="2026-03-13T00:00:00"/>
    <n v="10000"/>
    <n v="10534.08"/>
    <n v="0"/>
    <x v="6"/>
    <n v="12"/>
    <s v="Catorcenal"/>
    <n v="1288.8"/>
    <n v="696"/>
    <n v="0"/>
    <n v="6"/>
    <n v="0"/>
    <n v="5267.04"/>
    <n v="0"/>
    <n v="0"/>
    <n v="0"/>
    <n v="0"/>
    <n v="0"/>
    <n v="1300"/>
    <d v="2025-12-19T00:00:00"/>
    <s v="Entregado"/>
    <n v="7221116623"/>
    <s v="jr4320376@gmail.com"/>
    <m/>
    <s v="EMPLEADO PRIVADO"/>
    <n v="8944098"/>
    <m/>
    <m/>
    <s v="LIZBETH DAVILA ESQUIVEL"/>
    <s v="7228090869"/>
    <s v="JORGE DANIEL FRANCO CASTRO"/>
    <s v="7226611440"/>
    <s v="ROSALVA REYES BECERRIL"/>
    <s v="7224127300"/>
    <m/>
    <m/>
    <m/>
    <m/>
    <m/>
    <m/>
    <n v="7337.62"/>
    <n v="47.19"/>
    <n v="1"/>
    <s v="Individual sin Garantía"/>
    <s v="INDEPENDENCIA #SN"/>
    <s v="San José Tenería"/>
    <s v="México"/>
    <s v="Tenancingo"/>
    <m/>
    <s v="Ver en mapa"/>
    <m/>
    <m/>
    <n v="0"/>
    <n v="0"/>
    <s v="Transferencia electrónica"/>
    <s v="100128102"/>
    <n v="0"/>
    <n v="0"/>
    <n v="0"/>
  </r>
  <r>
    <s v="001756"/>
    <s v="Región Estado México"/>
    <x v="3"/>
    <s v="000041"/>
    <s v="Martinez Perez Juan Daniel"/>
    <x v="5"/>
    <x v="5"/>
    <s v="01"/>
    <s v="CASTAÑEDA MENDOZA NORMA LORENA"/>
    <d v="2025-08-11T00:00:00"/>
    <d v="2026-08-11T00:00:00"/>
    <n v="30000"/>
    <n v="31602.23"/>
    <n v="0"/>
    <x v="6"/>
    <n v="12"/>
    <s v="Mensual"/>
    <n v="4992.07"/>
    <n v="696"/>
    <n v="0"/>
    <n v="0"/>
    <n v="0"/>
    <n v="21068.17"/>
    <n v="1.67E-2"/>
    <n v="0.02"/>
    <n v="0"/>
    <n v="0"/>
    <n v="0"/>
    <n v="4992.07"/>
    <d v="2025-12-11T00:00:00"/>
    <s v="Entregado"/>
    <n v="7225025161"/>
    <s v="normalore1502@gmail.com"/>
    <m/>
    <s v="COMPRAVENTA DE FLORES Y ADORNOS FLORALES NATURALES"/>
    <n v="6326020"/>
    <s v="HERNANDEZ FLORES GABRIEL"/>
    <m/>
    <s v="CARMEN ARELLANO ORTIZ"/>
    <s v="7226184702"/>
    <s v="IRIANA GUADALUPE LEGUIZAMO"/>
    <s v="7225113931"/>
    <s v="SUSANA DEL CARMEN VASQUEZ"/>
    <s v="7261738458"/>
    <m/>
    <m/>
    <m/>
    <m/>
    <m/>
    <m/>
    <n v="39472.6"/>
    <n v="0"/>
    <n v="1"/>
    <s v="Individual sin Garantía"/>
    <s v="ALLENDE  #117-SN"/>
    <s v="Acatzingo"/>
    <s v="México"/>
    <s v="Tenancingo"/>
    <s v="18°57'23.4&quot;N 99°35'41.6&quot;W"/>
    <s v="Ver en mapa"/>
    <m/>
    <m/>
    <n v="0"/>
    <n v="0"/>
    <s v="Transferencia electrónica"/>
    <s v="100175601"/>
    <n v="0"/>
    <n v="0"/>
    <n v="4.2307828721695561E-7"/>
  </r>
  <r>
    <s v="001618"/>
    <s v="Región Estado México"/>
    <x v="3"/>
    <s v="000041"/>
    <s v="Martinez Perez Juan Daniel"/>
    <x v="5"/>
    <x v="5"/>
    <s v="01"/>
    <s v="RAMIREZ CORONA MARIA ISABEL"/>
    <d v="2025-07-23T00:00:00"/>
    <d v="2026-07-23T00:00:00"/>
    <n v="10000"/>
    <n v="10534.08"/>
    <n v="0"/>
    <x v="6"/>
    <n v="12"/>
    <s v="Mensual"/>
    <n v="1702.69"/>
    <n v="696"/>
    <n v="0"/>
    <n v="0"/>
    <n v="0"/>
    <n v="6144.88"/>
    <n v="0"/>
    <n v="0"/>
    <n v="0"/>
    <n v="0"/>
    <n v="0"/>
    <n v="1702.69"/>
    <d v="2025-12-23T00:00:00"/>
    <s v="Entregado"/>
    <n v="7295938738"/>
    <s v="mariad34jz@gmail.com"/>
    <m/>
    <s v="RESTAURANTE"/>
    <n v="8711021"/>
    <m/>
    <m/>
    <s v="MARIEL YESENIA RAMIREZ RAMIREZ"/>
    <s v="7298173665"/>
    <s v="MARTHA PATRICIA RAMIREZ CORONA"/>
    <s v="7226259496"/>
    <s v="LUIS ALBERTO CEDILLO LOPEZ"/>
    <s v="7295214120"/>
    <m/>
    <m/>
    <m/>
    <m/>
    <m/>
    <m/>
    <n v="11511.61"/>
    <n v="1.23118666666667"/>
    <n v="1"/>
    <s v="Individual sin Garantía"/>
    <s v="CAM EL AHUEHUETE #SN"/>
    <s v="San Juan Tetitlán"/>
    <s v="México"/>
    <s v="Tenancingo"/>
    <s v="18°58'30.2&quot;N 99°34'28.7&quot;W"/>
    <s v="Ver en mapa"/>
    <m/>
    <m/>
    <n v="0"/>
    <n v="0"/>
    <s v="Transferencia electrónica"/>
    <s v="100161801"/>
    <n v="0"/>
    <n v="0"/>
    <n v="0"/>
  </r>
  <r>
    <s v="001055"/>
    <s v="Región Estado México"/>
    <x v="3"/>
    <s v="000042"/>
    <s v="Avila Nieto Luis Alfredo"/>
    <x v="5"/>
    <x v="5"/>
    <s v="02"/>
    <s v="HUERTAS ALARCON ROMAN"/>
    <d v="2025-06-09T00:00:00"/>
    <d v="2026-06-09T00:00:00"/>
    <n v="40000"/>
    <n v="42136.31"/>
    <n v="0"/>
    <x v="6"/>
    <n v="12"/>
    <s v="Mensual"/>
    <n v="6636.77"/>
    <n v="696"/>
    <n v="0"/>
    <n v="0"/>
    <n v="0"/>
    <n v="21068.15"/>
    <n v="0"/>
    <n v="0"/>
    <n v="0"/>
    <n v="0"/>
    <n v="0"/>
    <n v="6637"/>
    <d v="2025-12-09T00:00:00"/>
    <s v="Entregado"/>
    <n v="7221604238"/>
    <s v="romanhuertas520@gmail.com"/>
    <m/>
    <s v="CULTIVO DE MAIZ"/>
    <n v="111063"/>
    <s v="ARELLANO SANTOS LUZ MARIA"/>
    <m/>
    <s v="LUZ MARIA ARELLANO SANCHEZ"/>
    <s v="7226718927"/>
    <s v="VANESA HUERTAS ARELLANO"/>
    <s v="7131194517"/>
    <s v="MIGUEL GUERRERO GARCIA"/>
    <s v="7223953758"/>
    <m/>
    <m/>
    <m/>
    <m/>
    <m/>
    <m/>
    <n v="39471.19"/>
    <n v="1.4070638333333301"/>
    <n v="1"/>
    <s v="Individual sin Garantía"/>
    <s v=" ZARAGOZA #7-SN"/>
    <s v="San Miguel de Ocampo"/>
    <s v="México"/>
    <s v="Joquicingo"/>
    <s v="19°05'59.9&quot;N 99°31'45.3&quot;W"/>
    <s v="Ver en mapa"/>
    <m/>
    <m/>
    <n v="1"/>
    <n v="1"/>
    <s v="Transferencia electrónica"/>
    <s v="100105502"/>
    <n v="0"/>
    <n v="0"/>
    <n v="0"/>
  </r>
  <r>
    <s v="001621"/>
    <s v="Región Estado México"/>
    <x v="3"/>
    <s v="000041"/>
    <s v="Martinez Perez Juan Daniel"/>
    <x v="5"/>
    <x v="5"/>
    <s v="01"/>
    <s v="GALINDO GUARDIAN PEDRO"/>
    <d v="2025-07-29T00:00:00"/>
    <d v="2026-01-13T00:00:00"/>
    <n v="7000"/>
    <n v="7373.85"/>
    <n v="0"/>
    <x v="6"/>
    <n v="12"/>
    <s v="Catorcenal"/>
    <n v="919.56000000000006"/>
    <n v="696"/>
    <n v="0"/>
    <n v="11"/>
    <n v="1"/>
    <n v="1228.97"/>
    <n v="916.98697400000003"/>
    <n v="614.48"/>
    <n v="247.07"/>
    <n v="55.43"/>
    <n v="0"/>
    <n v="920"/>
    <d v="2025-12-16T00:00:00"/>
    <s v="Entregado"/>
    <n v="7208120013"/>
    <s v="hernandezfelicitas807@gmail.com"/>
    <m/>
    <s v="CONSTRUCCION DE INMUEBLES"/>
    <n v="4111027"/>
    <s v="HERNANDEZ FLORES FELICITAS"/>
    <m/>
    <s v="JORGE BLANQUEL VASQUEZ"/>
    <s v="7206865754"/>
    <s v="MAGALI GALINDO HERNANDEZ"/>
    <s v="7296413122"/>
    <s v="ERIBERTO SEGURA"/>
    <s v="7226821725"/>
    <m/>
    <m/>
    <m/>
    <m/>
    <m/>
    <m/>
    <n v="1778.55"/>
    <n v="0"/>
    <n v="1"/>
    <s v="Individual sin Garantía"/>
    <s v="15 DE SEPTIEMBRE #SN"/>
    <s v="Pueblo Nuevo"/>
    <s v="México"/>
    <s v="Tenancingo"/>
    <s v="18°56'45.0&quot;N 99°34'58.1&quot;W"/>
    <s v="Ver en mapa"/>
    <m/>
    <m/>
    <n v="1"/>
    <n v="1"/>
    <s v="Transferencia electrónica"/>
    <s v="100162101"/>
    <n v="0"/>
    <n v="0"/>
    <n v="0.5155812172837424"/>
  </r>
  <r>
    <s v="001575"/>
    <s v="Región Estado México"/>
    <x v="3"/>
    <s v="000042"/>
    <s v="Avila Nieto Luis Alfredo"/>
    <x v="5"/>
    <x v="5"/>
    <s v="01"/>
    <s v="FERNANDEZ GUADARRAMA ANGEL ANDRES"/>
    <d v="2025-07-28T00:00:00"/>
    <d v="2026-02-01T00:00:00"/>
    <n v="10000"/>
    <n v="10534.08"/>
    <n v="0"/>
    <x v="6"/>
    <n v="6"/>
    <s v="Mensual"/>
    <n v="2603.64"/>
    <n v="348"/>
    <n v="0"/>
    <n v="0"/>
    <n v="0"/>
    <n v="3511.36"/>
    <n v="0"/>
    <n v="0"/>
    <n v="0"/>
    <n v="0"/>
    <n v="0"/>
    <n v="2604"/>
    <d v="2025-12-01T00:00:00"/>
    <s v="Entregado"/>
    <n v="7225210497"/>
    <s v="andresfg966@gmail.com"/>
    <m/>
    <s v="FABRICACION DE OTROS ARTICULOS DE CARTON"/>
    <n v="2829010"/>
    <m/>
    <m/>
    <s v="MARIA AHYLIN FERNANDEZ GUADARRAMA"/>
    <s v="7218890468"/>
    <s v="MA DE LOS ANGELES GUADARRAMA MACEDO"/>
    <s v="7223403878"/>
    <s v="KAREN ABIGAIL FERNANDEZ GUADARRAMA"/>
    <s v="7225656410"/>
    <m/>
    <m/>
    <m/>
    <m/>
    <m/>
    <m/>
    <n v="5084.22"/>
    <n v="7.07"/>
    <n v="1"/>
    <s v="Individual sin Garantía"/>
    <s v="HIDALGO #DPTO 3-SN"/>
    <s v="Villa Guerrero"/>
    <s v="México"/>
    <s v="Villa Guerrero"/>
    <s v="18°57'44.4&quot;N 99°38'20.1&quot;W"/>
    <s v="Ver en mapa"/>
    <m/>
    <m/>
    <n v="0"/>
    <n v="0"/>
    <s v="Transferencia electrónica"/>
    <s v="100157501"/>
    <n v="0"/>
    <n v="0"/>
    <n v="0"/>
  </r>
  <r>
    <s v="001533"/>
    <s v="Región Estado México"/>
    <x v="3"/>
    <s v="000042"/>
    <s v="Avila Nieto Luis Alfredo"/>
    <x v="5"/>
    <x v="5"/>
    <s v="01"/>
    <s v="FLORES GONZALEZ ALEJANDRA"/>
    <d v="2025-07-16T00:00:00"/>
    <d v="2026-07-16T00:00:00"/>
    <n v="12000"/>
    <n v="12640.89"/>
    <n v="0"/>
    <x v="6"/>
    <n v="12"/>
    <s v="Mensual"/>
    <n v="2031.63"/>
    <n v="696"/>
    <n v="0"/>
    <n v="0"/>
    <n v="0"/>
    <n v="7374"/>
    <n v="0.14749999999999999"/>
    <n v="0.15"/>
    <n v="0"/>
    <n v="0"/>
    <n v="0"/>
    <n v="2610"/>
    <d v="2025-12-22T00:00:00"/>
    <s v="Entregado"/>
    <n v="7221055890"/>
    <s v="floresgonzalezalejandra191@gmail.com"/>
    <m/>
    <s v="COMPRAVENTA DE FLORES Y ADORNOS FLORALES ARTIFICIALES"/>
    <n v="6326012"/>
    <s v="IGLESIAS GARDUÑO ELEUTERIO"/>
    <m/>
    <s v="ROSA ALEJANDRA NOVOA  BERNAL"/>
    <s v="7228384817"/>
    <s v="DANNA ELIUD PATIÑO ALVAREZ"/>
    <s v="7226066011"/>
    <s v="JAIME SALDAÑA FLORES"/>
    <s v="7299935628"/>
    <m/>
    <m/>
    <m/>
    <m/>
    <m/>
    <m/>
    <n v="13815.55"/>
    <n v="0"/>
    <n v="1"/>
    <s v="Individual sin Garantía"/>
    <s v="LA FINCA  #6-SN"/>
    <s v="La Finca"/>
    <s v="México"/>
    <s v="Villa Guerrero"/>
    <s v="18°53'57.7&quot;N 99°38'28.3&quot;W"/>
    <s v="Ver en mapa"/>
    <m/>
    <m/>
    <n v="2"/>
    <n v="1"/>
    <s v="Transferencia electrónica"/>
    <s v="100153301"/>
    <n v="0"/>
    <n v="0"/>
    <n v="1.0676375533366389E-5"/>
  </r>
  <r>
    <s v="001546"/>
    <s v="Región Estado México"/>
    <x v="3"/>
    <s v="000042"/>
    <s v="Avila Nieto Luis Alfredo"/>
    <x v="5"/>
    <x v="5"/>
    <s v="01"/>
    <s v="ROJAS BLANCAS MARIBEL"/>
    <d v="2025-07-16T00:00:00"/>
    <d v="2026-01-16T00:00:00"/>
    <n v="5000.01"/>
    <n v="5267.04"/>
    <n v="0"/>
    <x v="6"/>
    <n v="6"/>
    <s v="Mensual"/>
    <n v="1322.42"/>
    <n v="348"/>
    <n v="0"/>
    <n v="0"/>
    <n v="0"/>
    <n v="877.84"/>
    <n v="0"/>
    <n v="0"/>
    <n v="0"/>
    <n v="0"/>
    <n v="0"/>
    <n v="1330"/>
    <d v="2025-12-16T00:00:00"/>
    <s v="Entregado"/>
    <n v="7141002888"/>
    <s v="maribelrojasblancas@gmail.com"/>
    <m/>
    <s v="FABRICACION DE OTROS PRODUCTOS ALIMENTICIOS"/>
    <n v="2099043"/>
    <m/>
    <m/>
    <s v="NOEMI ROGEL AMADO"/>
    <s v="7294714076"/>
    <s v="FATIMA ROGEL AMARO"/>
    <s v="7224598383"/>
    <s v="DANIEL BENUMEA ROJAS"/>
    <s v="7293691929"/>
    <m/>
    <m/>
    <m/>
    <m/>
    <m/>
    <m/>
    <n v="1220.5"/>
    <n v="43.913365333333331"/>
    <n v="1"/>
    <s v="Individual sin Garantía"/>
    <s v="ITURBIDE #SN"/>
    <s v="Santiago Oxtotitlán"/>
    <s v="México"/>
    <s v="Villa Guerrero"/>
    <s v="18°57'55.2&quot;N 99°40'06.0&quot;W"/>
    <s v="Ver en mapa"/>
    <m/>
    <m/>
    <n v="3"/>
    <n v="3"/>
    <s v="Transferencia electrónica"/>
    <s v="100154601"/>
    <n v="0"/>
    <n v="0"/>
    <n v="0"/>
  </r>
  <r>
    <s v="001258"/>
    <s v="Región Estado México"/>
    <x v="0"/>
    <s v="000082"/>
    <s v="ENRIQUEZ VILCHIS MARIA ALEJANDRA"/>
    <x v="5"/>
    <x v="5"/>
    <s v="02"/>
    <s v="JIMENEZ BLANCO JULIANA"/>
    <d v="2025-12-03T00:00:00"/>
    <d v="2026-12-03T00:00:00"/>
    <n v="12000"/>
    <n v="12640.89"/>
    <n v="0"/>
    <x v="6"/>
    <n v="12"/>
    <s v="Mensual"/>
    <n v="2031.63"/>
    <n v="696"/>
    <n v="0"/>
    <n v="0"/>
    <n v="0"/>
    <n v="12640.89"/>
    <n v="0"/>
    <n v="0"/>
    <n v="0"/>
    <n v="0"/>
    <n v="0"/>
    <m/>
    <m/>
    <s v="Entregado"/>
    <n v="7291051764"/>
    <s v="soterojim12@gmail.com"/>
    <m/>
    <s v="COMPRAVENTA DE FRUTAS"/>
    <n v="6112015"/>
    <s v="SOTERO LUIS MACARIO"/>
    <s v="5526795882.0"/>
    <s v="AZUCENA SOTERO JIMENEZ"/>
    <s v="5562928117"/>
    <s v="FLOR SOTERO JIMENEZ"/>
    <s v="7225338917"/>
    <s v="MACARIO SOTERO LUIS"/>
    <s v="5526795882"/>
    <m/>
    <m/>
    <m/>
    <m/>
    <m/>
    <m/>
    <n v="23683.55"/>
    <n v="0"/>
    <n v="1"/>
    <s v="Individual sin Garantía"/>
    <s v="SAN MATEO AMANALCO  #SN"/>
    <s v="San Mateo cu"/>
    <s v="México"/>
    <s v="Amanalco"/>
    <s v="19°16'49.5&quot;N 100°01'19.6&quot;W"/>
    <s v="Ver en mapa"/>
    <m/>
    <m/>
    <n v="0"/>
    <n v="0"/>
    <s v="Transferencia electrónica"/>
    <s v="100125802"/>
    <n v="0"/>
    <n v="0"/>
    <n v="0"/>
  </r>
  <r>
    <s v="001296"/>
    <s v="Región Estado México"/>
    <x v="0"/>
    <s v="000037"/>
    <s v="CREDIFLEXI CREDIFLEXI CREDIFLEXI"/>
    <x v="5"/>
    <x v="5"/>
    <s v="01"/>
    <s v="CAMACHO MERCADO MARCO ANTONIO"/>
    <d v="2025-05-07T00:00:00"/>
    <d v="2026-05-07T00:00:00"/>
    <n v="10000"/>
    <n v="10534.08"/>
    <n v="0"/>
    <x v="6"/>
    <n v="12"/>
    <s v="Mensual"/>
    <n v="1702.69"/>
    <n v="696"/>
    <n v="0"/>
    <n v="0"/>
    <n v="0"/>
    <n v="4389.2"/>
    <n v="0"/>
    <n v="0"/>
    <n v="0"/>
    <n v="0"/>
    <n v="0"/>
    <n v="1702.69"/>
    <d v="2025-12-08T00:00:00"/>
    <s v="Entregado"/>
    <n v="7222412758"/>
    <s v="7222412758"/>
    <m/>
    <s v="ESTABLECIMIENTOS PRIVADOS DE INSTRUCCION EDUCACION CULTURA E INVESTIGACION"/>
    <n v="9119018"/>
    <m/>
    <m/>
    <s v="AMARESH VALDEZ NAVARRO"/>
    <s v="7225123777"/>
    <s v="JOSEFINA MARTINEZ GARCIA"/>
    <s v="7223819132"/>
    <s v="PALOMA GARCIA AGUILAR"/>
    <s v="7224135274"/>
    <m/>
    <m/>
    <m/>
    <m/>
    <m/>
    <m/>
    <n v="8223.15"/>
    <n v="0.31"/>
    <n v="1"/>
    <s v="Individual sin Garantía"/>
    <s v="AV TOLUCA  #203-SN"/>
    <s v="Valle de Bravo"/>
    <s v="México"/>
    <s v="Valle De Bravo"/>
    <m/>
    <s v="Ver en mapa"/>
    <m/>
    <m/>
    <n v="2"/>
    <n v="2"/>
    <s v="Transferencia electrónica"/>
    <s v="100129601"/>
    <n v="0"/>
    <n v="0"/>
    <n v="0"/>
  </r>
  <r>
    <s v="001376"/>
    <s v="Región Estado México"/>
    <x v="0"/>
    <s v="000082"/>
    <s v="ENRIQUEZ VILCHIS MARIA ALEJANDRA"/>
    <x v="5"/>
    <x v="5"/>
    <s v="02"/>
    <s v="GOMEZ CARRANZA ANGELICA"/>
    <d v="2025-12-16T00:00:00"/>
    <d v="2026-06-16T00:00:00"/>
    <n v="15000"/>
    <n v="15801.12"/>
    <n v="0"/>
    <x v="6"/>
    <n v="6"/>
    <s v="Mensual"/>
    <n v="3838.65"/>
    <n v="348"/>
    <n v="0"/>
    <n v="0"/>
    <n v="0"/>
    <n v="15801.12"/>
    <n v="0"/>
    <n v="0"/>
    <n v="0"/>
    <n v="0"/>
    <n v="0"/>
    <m/>
    <m/>
    <s v="Entregado"/>
    <n v="7221330950"/>
    <s v="ag1753777@gmail.com"/>
    <m/>
    <s v="COMPRAVENTA DE FLORES Y ADORNOS FLORALES NATURALES"/>
    <n v="6326020"/>
    <s v="LARA GARCIA JOSE"/>
    <s v="5575181437.0"/>
    <s v="ARELI ARELLANO PEÑALOZA"/>
    <s v="7226023715"/>
    <s v="MARIA DEL ROSARIO GONZALEZ VEGA"/>
    <s v="7221148633"/>
    <s v="LUIS ENRIQUE SANCHEZ QUINTERO"/>
    <s v="7228219071"/>
    <m/>
    <m/>
    <m/>
    <m/>
    <m/>
    <m/>
    <n v="22683.88"/>
    <n v="0"/>
    <n v="1"/>
    <s v="Individual sin Garantía"/>
    <s v="16 DE SEPTIEMBRE  #SN"/>
    <s v="Amanalco de Becerra"/>
    <s v="México"/>
    <s v="Amanalco"/>
    <m/>
    <s v="Ver en mapa"/>
    <m/>
    <m/>
    <n v="0"/>
    <n v="0"/>
    <s v="Transferencia electrónica"/>
    <s v="100137602"/>
    <n v="0"/>
    <n v="0"/>
    <n v="0"/>
  </r>
  <r>
    <s v="001557"/>
    <s v="Región Estado México"/>
    <x v="3"/>
    <s v="000042"/>
    <s v="Avila Nieto Luis Alfredo"/>
    <x v="3"/>
    <x v="3"/>
    <s v="01"/>
    <s v="MEJIA BUENO ROKY GERMAN"/>
    <d v="2025-08-04T00:00:00"/>
    <d v="2026-08-04T00:00:00"/>
    <n v="100000"/>
    <n v="105340.78"/>
    <n v="0"/>
    <x v="6"/>
    <n v="12"/>
    <s v="Mensual"/>
    <n v="16504.91"/>
    <n v="696"/>
    <n v="0"/>
    <n v="0"/>
    <n v="0"/>
    <n v="70227.19"/>
    <n v="0"/>
    <n v="0"/>
    <n v="0"/>
    <n v="0"/>
    <n v="0"/>
    <n v="17100"/>
    <d v="2025-12-16T00:00:00"/>
    <s v="Entregado"/>
    <n v="7226830718"/>
    <s v="rokymejia12@icloud.com"/>
    <m/>
    <s v="COMPRAVENTA DE CARNE DE RES Y OTRAS ESPECIES DE GANADO"/>
    <n v="6122014"/>
    <s v="GUADARRAMA RODRIGUEZ DEISY DENISSE"/>
    <m/>
    <s v="JESUS EDMUNDO SOTELO AVILEZ"/>
    <s v="7228047850"/>
    <s v="JUAN PABLO BAUTISTA CASTAÑEDA"/>
    <s v="7228478216"/>
    <s v="DANA IDITH RODRIGUEZ AVILEZ"/>
    <s v="7227957131"/>
    <s v="Garantía Prendaria"/>
    <s v="REFACTURA EXPEDIDA POR DISTRIBUCIÓN DE COMERCIO EXTERIOR ASIA MEXICO, S.A. DE C.V., , , Valor 165,000.00, Nombre VEHICULO  PICK UP TOYOTA TACOMA, Folio Factura No 21264, Fecha Factura 20/01/2011, Número de serie 5TENL42N63Z180330, Número de motor SIN NUMERO, Modelo 2003, Marca TOYOTA, Propietario MEJIA BUENO ROKY GERMAN"/>
    <s v="VEHICULO  PICK UP TOYOTA TACOMA"/>
    <m/>
    <m/>
    <m/>
    <n v="131529.97"/>
    <n v="45.346700000000013"/>
    <n v="2"/>
    <s v="Individual con Garantía Vehicular"/>
    <s v="16 DE SEPTIEMBRE #SN"/>
    <s v="Ixtapan de la Sal"/>
    <s v="México"/>
    <s v="Ixtapan De La Sal"/>
    <s v="18°50'42.1&quot;N 99°40'39.1&quot;W"/>
    <s v="Ver en mapa"/>
    <m/>
    <m/>
    <n v="4"/>
    <n v="4"/>
    <s v="Transferencia electrónica"/>
    <s v="100155701"/>
    <n v="0"/>
    <n v="0"/>
    <n v="0"/>
  </r>
  <r>
    <s v="001314"/>
    <s v="Región Estado México"/>
    <x v="2"/>
    <s v="000037"/>
    <s v="CREDIFLEXI CREDIFLEXI CREDIFLEXI"/>
    <x v="5"/>
    <x v="5"/>
    <s v="01"/>
    <s v="CRUZ DURAN LORENA"/>
    <d v="2025-05-14T00:00:00"/>
    <d v="2026-05-16T00:00:00"/>
    <n v="10000"/>
    <n v="10534.08"/>
    <n v="0"/>
    <x v="6"/>
    <n v="12"/>
    <s v="Mensual"/>
    <n v="1702.69"/>
    <n v="696"/>
    <n v="0"/>
    <n v="0"/>
    <n v="0"/>
    <n v="4389.46"/>
    <n v="0.262338666666667"/>
    <n v="0.26"/>
    <n v="0"/>
    <n v="0"/>
    <n v="0"/>
    <n v="1702.62"/>
    <d v="2025-12-16T00:00:00"/>
    <s v="Entregado"/>
    <n v="4432133914"/>
    <s v="cruzduranlorena1@gmail.com"/>
    <m/>
    <s v="COMPRAVENTA DE DESPERDICIOS DE PAPEL"/>
    <n v="6693015"/>
    <m/>
    <m/>
    <s v="JOSE MAURICIO BASILIO"/>
    <s v="4471505097"/>
    <s v="VERONICA HEREDIA RAMIREZ"/>
    <s v="4438933759"/>
    <s v="ALEJANDRO GARCIA GONZALEZ"/>
    <s v="5639585152"/>
    <m/>
    <m/>
    <m/>
    <m/>
    <m/>
    <m/>
    <n v="8223.7199999999993"/>
    <n v="0"/>
    <n v="1"/>
    <s v="Individual sin Garantía"/>
    <s v="LLUVIA #SN"/>
    <s v="Zinapécuaro de Figueroa Centro"/>
    <s v="Michoacán"/>
    <s v="Zinapecuaro"/>
    <m/>
    <s v="Ver en mapa"/>
    <m/>
    <m/>
    <n v="0"/>
    <n v="0"/>
    <s v="Transferencia electrónica"/>
    <s v="100131401"/>
    <n v="0"/>
    <n v="0"/>
    <n v="3.190024303680901E-5"/>
  </r>
  <r>
    <s v="004287"/>
    <s v="Región Estado México"/>
    <x v="3"/>
    <s v="000082"/>
    <s v="ENRIQUEZ VILCHIS MARIA ALEJANDRA"/>
    <x v="7"/>
    <x v="7"/>
    <s v="01"/>
    <s v="JACINTO CARMONA SANTOS"/>
    <d v="2025-11-18T00:00:00"/>
    <d v="2026-11-18T00:00:00"/>
    <n v="12000"/>
    <n v="12640.89"/>
    <n v="0"/>
    <x v="6"/>
    <n v="12"/>
    <s v="Mensual"/>
    <n v="2031.63"/>
    <n v="696"/>
    <n v="0"/>
    <n v="0"/>
    <n v="0"/>
    <n v="11587.48"/>
    <n v="0"/>
    <n v="0"/>
    <n v="0"/>
    <n v="0"/>
    <n v="0"/>
    <n v="2032"/>
    <d v="2025-12-18T00:00:00"/>
    <s v="Entregado"/>
    <n v="7222392673"/>
    <s v="santos_jacinto65@hotmail.com"/>
    <m/>
    <s v="CULTIVO DE FLORES Y PLANTAS DE ORNATO"/>
    <n v="131011"/>
    <m/>
    <m/>
    <s v="VIANEY JACINTO DIAZ"/>
    <s v="7228348356"/>
    <s v="JUANA DIAZ HERNANDEZ"/>
    <s v="7223516487"/>
    <s v="ANA LAURA SOLIS PEDROZA"/>
    <s v="7221312353"/>
    <m/>
    <m/>
    <m/>
    <m/>
    <m/>
    <m/>
    <n v="21709.55"/>
    <n v="0.3725"/>
    <n v="1"/>
    <s v="Individual sin Garantía"/>
    <s v="EJIDO SAN MATEO #SN"/>
    <s v="Villa Guerrero"/>
    <s v="México"/>
    <s v="Villa Guerrero"/>
    <s v="18°57'16.9&quot;N 99°38'36.4&quot;W"/>
    <s v="Ver en mapa"/>
    <m/>
    <m/>
    <n v="0"/>
    <n v="0"/>
    <s v="Transferencia electrónica"/>
    <s v="100428701"/>
    <n v="0"/>
    <n v="0"/>
    <n v="0"/>
  </r>
  <r>
    <s v="001582"/>
    <s v="Región Estado México"/>
    <x v="2"/>
    <s v="000053"/>
    <s v="Santos Gomez Mahogany"/>
    <x v="5"/>
    <x v="5"/>
    <s v="01"/>
    <s v="LOPEZ ORTEGA MIGUEL ANGEL"/>
    <d v="2025-07-25T00:00:00"/>
    <d v="2026-07-25T00:00:00"/>
    <n v="10000"/>
    <n v="10534.08"/>
    <n v="0"/>
    <x v="6"/>
    <n v="12"/>
    <s v="Mensual"/>
    <n v="1702.69"/>
    <n v="696"/>
    <n v="0"/>
    <n v="0"/>
    <n v="0"/>
    <n v="6146.6500000000005"/>
    <n v="1.77"/>
    <n v="1.77"/>
    <n v="0"/>
    <n v="0"/>
    <n v="0"/>
    <n v="1702"/>
    <d v="2025-12-26T00:00:00"/>
    <s v="Entregado"/>
    <n v="4437928856"/>
    <s v="miguelangellopez881@gmail.com"/>
    <m/>
    <s v="EMPLEADO DEL SECTOR PRIVADO"/>
    <n v="9501009"/>
    <s v="MONDRAGON CARRILLO GLORIA"/>
    <m/>
    <s v="LUCIA GARCIA ALANIS"/>
    <s v="4471513169"/>
    <s v="ALEJANDRA MARTINEZ"/>
    <s v="4471035445"/>
    <s v="CAMILO EDUARDO LOPEZ"/>
    <s v="441736466"/>
    <m/>
    <m/>
    <m/>
    <m/>
    <m/>
    <m/>
    <n v="11514.61"/>
    <n v="0"/>
    <n v="1"/>
    <s v="Individual sin Garantía"/>
    <s v="ZARAGOZA #4-B"/>
    <s v="Tziritzícuaro (Nativitas) cu"/>
    <s v="Michoacán"/>
    <s v="Maravatio"/>
    <s v="19°57'13.4&quot;N 100°27'56.3&quot;W"/>
    <s v="Ver en mapa"/>
    <m/>
    <m/>
    <n v="0"/>
    <n v="0"/>
    <s v="Transferencia electrónica"/>
    <s v="100158201"/>
    <n v="0"/>
    <n v="0"/>
    <n v="1.5371775509548301E-4"/>
  </r>
  <r>
    <s v="001277"/>
    <s v="Región Estado México"/>
    <x v="2"/>
    <s v="000037"/>
    <s v="CREDIFLEXI CREDIFLEXI CREDIFLEXI"/>
    <x v="5"/>
    <x v="5"/>
    <s v="01"/>
    <s v="FLORES CUANOS ALEJANDRO"/>
    <d v="2025-04-28T00:00:00"/>
    <d v="2026-04-28T00:00:00"/>
    <n v="10000"/>
    <n v="10534.08"/>
    <n v="0"/>
    <x v="6"/>
    <n v="12"/>
    <s v="Mensual"/>
    <n v="1702.69"/>
    <n v="696"/>
    <n v="0"/>
    <n v="0"/>
    <n v="0"/>
    <n v="3511.36"/>
    <n v="0"/>
    <n v="0"/>
    <n v="0"/>
    <n v="0"/>
    <n v="0"/>
    <n v="1702.69"/>
    <d v="2025-12-28T00:00:00"/>
    <s v="Entregado"/>
    <n v="4431747146"/>
    <s v="bkuanw04@hotmail.com"/>
    <m/>
    <s v="EMPLEADO DEL SECTOR PUBLICO"/>
    <n v="9800000"/>
    <s v="LOPEZ GARCIA CONCEPCION"/>
    <s v="4431747146.0"/>
    <s v="JOSE GONZALEZ"/>
    <s v="4472170440"/>
    <s v="JUAN HERNANDEZ ASENCION"/>
    <s v="4431991666"/>
    <s v="GUSTAVO REYES RAMIREZ"/>
    <s v="4471504053"/>
    <m/>
    <m/>
    <m/>
    <m/>
    <m/>
    <m/>
    <n v="6578.51"/>
    <n v="0.26"/>
    <n v="1"/>
    <s v="Individual sin Garantía"/>
    <s v="JACARANDAS #100-SN"/>
    <s v="Vista Hermosa"/>
    <s v="Michoacán"/>
    <s v="Maravatio"/>
    <m/>
    <s v="Ver en mapa"/>
    <m/>
    <m/>
    <n v="1"/>
    <n v="1"/>
    <s v="Transferencia electrónica"/>
    <s v="100127701"/>
    <n v="0"/>
    <n v="0"/>
    <n v="0"/>
  </r>
  <r>
    <s v="001747"/>
    <s v="Región Estado México"/>
    <x v="3"/>
    <s v="000042"/>
    <s v="Avila Nieto Luis Alfredo"/>
    <x v="3"/>
    <x v="3"/>
    <s v="01"/>
    <s v="ESTRADA GUADARRAMA ADAN"/>
    <d v="2025-08-14T00:00:00"/>
    <d v="2026-08-14T00:00:00"/>
    <n v="20000"/>
    <n v="21068.16"/>
    <n v="0"/>
    <x v="6"/>
    <n v="12"/>
    <s v="Mensual"/>
    <n v="3347.38"/>
    <n v="696"/>
    <n v="57.53"/>
    <n v="0"/>
    <n v="0"/>
    <n v="14045.44"/>
    <n v="0"/>
    <n v="0"/>
    <n v="0"/>
    <n v="0"/>
    <n v="57.53"/>
    <n v="40"/>
    <d v="2025-12-19T00:00:00"/>
    <s v="Entregado"/>
    <n v="7226031899"/>
    <s v="estradaguadarramaadan@gmail.com"/>
    <m/>
    <s v="CULTIVO DE FLORES Y PLANTAS DE ORNATO"/>
    <n v="131011"/>
    <s v="AYALA LUGO MARIBEL"/>
    <m/>
    <s v="JOSUE ESTRADA AYALA"/>
    <s v="7225740332"/>
    <s v="ADAN JESUS ESTRADA AYALA"/>
    <s v="7226422996"/>
    <s v="MARIA YURITZI ESTRADA AYALA"/>
    <s v="27292944394"/>
    <m/>
    <m/>
    <m/>
    <m/>
    <m/>
    <m/>
    <n v="26314.6"/>
    <n v="0.47"/>
    <n v="1"/>
    <s v="Individual sin Garantía"/>
    <s v="EL MANANTIAL #SN"/>
    <s v="Jesús Carranza"/>
    <s v="México"/>
    <s v="Villa Guerrero"/>
    <s v="18°56'45.7&quot;N 99°37'43.5&quot;W"/>
    <s v="Ver en mapa"/>
    <m/>
    <m/>
    <n v="4"/>
    <n v="4"/>
    <s v="Transferencia electrónica"/>
    <s v="100174701"/>
    <n v="0"/>
    <n v="0"/>
    <n v="0"/>
  </r>
  <r>
    <s v="001301"/>
    <s v="Región Estado México"/>
    <x v="3"/>
    <s v="000082"/>
    <s v="ENRIQUEZ VILCHIS MARIA ALEJANDRA"/>
    <x v="3"/>
    <x v="3"/>
    <s v="02"/>
    <s v="FLORES SALDIVAR CLEMENTINA"/>
    <d v="2025-10-27T00:00:00"/>
    <d v="2026-04-13T00:00:00"/>
    <n v="12000"/>
    <n v="12640.89"/>
    <n v="0"/>
    <x v="6"/>
    <n v="12"/>
    <s v="Catorcenal"/>
    <n v="1534.96"/>
    <n v="696"/>
    <n v="0"/>
    <n v="4"/>
    <n v="0"/>
    <n v="8427.26"/>
    <n v="0"/>
    <n v="0"/>
    <n v="0"/>
    <n v="0"/>
    <n v="0"/>
    <n v="1534.96"/>
    <d v="2025-12-22T00:00:00"/>
    <s v="Entregado"/>
    <n v="7297604453"/>
    <s v="clementinasaldivar1@gmail.com"/>
    <m/>
    <s v="COMPRAVENTA DE OTRAS JOYAS"/>
    <n v="6225024"/>
    <s v="ANTONIO SANCHEZ JACOBO"/>
    <m/>
    <s v="TONANZI BARRIENTOS FLORES"/>
    <s v="7225689860"/>
    <s v="VIRIDIANA GUADARRAMA"/>
    <s v="7225453554"/>
    <s v="NOEMI RAMIREZ SANDOVAL"/>
    <s v="7228458054"/>
    <m/>
    <m/>
    <m/>
    <m/>
    <m/>
    <m/>
    <n v="11815.62"/>
    <n v="7.3649599999999996E-2"/>
    <n v="1"/>
    <s v="Individual sin Garantía"/>
    <s v="1 DE MAYO #SN"/>
    <s v="San José el Cuartel"/>
    <s v="México"/>
    <s v="Tenancingo"/>
    <m/>
    <s v="Ver en mapa"/>
    <m/>
    <m/>
    <n v="2"/>
    <n v="2"/>
    <s v="Transferencia electrónica"/>
    <s v="100130102"/>
    <n v="0"/>
    <n v="0"/>
    <n v="0"/>
  </r>
  <r>
    <s v="001311"/>
    <s v="Región Estado México"/>
    <x v="3"/>
    <s v="000050"/>
    <s v="Camacho Gonzalez Jorge"/>
    <x v="3"/>
    <x v="3"/>
    <s v="02"/>
    <s v="MILLAN MILLAN GIOVANNI"/>
    <d v="2025-10-23T00:00:00"/>
    <d v="2026-10-23T00:00:00"/>
    <n v="25000"/>
    <n v="26335.19"/>
    <n v="0"/>
    <x v="6"/>
    <n v="12"/>
    <s v="Mensual"/>
    <n v="4169.7299999999996"/>
    <n v="696"/>
    <n v="0"/>
    <n v="0"/>
    <n v="0"/>
    <n v="21945.99"/>
    <n v="0"/>
    <n v="0"/>
    <n v="0"/>
    <n v="0"/>
    <n v="0"/>
    <n v="4170"/>
    <d v="2025-12-23T00:00:00"/>
    <s v="Entregado"/>
    <n v="7225459451"/>
    <s v="citlallimillan23@gmail.com"/>
    <m/>
    <s v="CULTIVO DE FLORES Y PLANTAS DE ORNATO"/>
    <n v="131011"/>
    <m/>
    <m/>
    <s v="ANASTACIO MILLAN"/>
    <s v="7297312371"/>
    <s v="CIRILO JIMENEZ MILLAN"/>
    <s v="7226645108"/>
    <s v="JANETH VAZQUEZ FLORES"/>
    <s v="7296621526"/>
    <m/>
    <m/>
    <m/>
    <m/>
    <m/>
    <m/>
    <n v="41086.730000000003"/>
    <n v="30.544309277777771"/>
    <n v="1"/>
    <s v="Individual sin Garantía"/>
    <s v="CUAHUTEMOC #SN"/>
    <s v="San Martín Coapaxtongo"/>
    <s v="México"/>
    <s v="Tenancingo"/>
    <m/>
    <s v="Ver en mapa"/>
    <m/>
    <m/>
    <n v="1"/>
    <n v="1"/>
    <s v="Transferencia electrónica"/>
    <s v="100131102"/>
    <n v="0"/>
    <n v="0"/>
    <n v="0"/>
  </r>
  <r>
    <s v="001083"/>
    <s v="Región Estado México"/>
    <x v="1"/>
    <s v="000037"/>
    <s v="CREDIFLEXI CREDIFLEXI CREDIFLEXI"/>
    <x v="4"/>
    <x v="4"/>
    <s v="02"/>
    <s v="DAVILA MONROY ROLANDO"/>
    <d v="2025-08-19T00:00:00"/>
    <d v="2026-02-19T00:00:00"/>
    <n v="30000"/>
    <n v="30000"/>
    <n v="0"/>
    <x v="6"/>
    <n v="6"/>
    <s v="Mensual"/>
    <n v="5846.95"/>
    <n v="558"/>
    <n v="0"/>
    <n v="0"/>
    <n v="0"/>
    <n v="10826.61"/>
    <n v="0"/>
    <n v="0"/>
    <n v="0"/>
    <n v="0"/>
    <n v="0"/>
    <n v="5846.95"/>
    <d v="2025-12-15T00:00:00"/>
    <s v="Entregado"/>
    <n v="7227803366"/>
    <s v="goodcaroriginal2022@gmail.com"/>
    <m/>
    <s v="COMPRAVENTA DE AUTOMOVILES Y CAMIONES NUEVOS"/>
    <n v="6811013"/>
    <m/>
    <m/>
    <s v="ARTEMISA DEL TORAL"/>
    <s v="7224551026"/>
    <s v="MIGUEL ANGEL SALDAÑA"/>
    <s v="7227028812"/>
    <s v="JAVIER VARGAS"/>
    <s v="7221600931"/>
    <m/>
    <m/>
    <m/>
    <m/>
    <m/>
    <m/>
    <n v="10826.61"/>
    <n v="0"/>
    <n v="1"/>
    <s v="Individual Especial Semanal"/>
    <s v="AREZZO #12-SN"/>
    <s v="San Blas Totoltepec"/>
    <s v="México"/>
    <s v="Toluca"/>
    <m/>
    <s v="Ver en mapa"/>
    <m/>
    <m/>
    <n v="0"/>
    <n v="0"/>
    <s v="Transferencia electrónica"/>
    <m/>
    <n v="0"/>
    <n v="0"/>
    <n v="0"/>
  </r>
  <r>
    <s v="001268"/>
    <s v="Región Estado México"/>
    <x v="1"/>
    <s v="000037"/>
    <s v="CREDIFLEXI CREDIFLEXI CREDIFLEXI"/>
    <x v="5"/>
    <x v="5"/>
    <s v="01"/>
    <s v="CORONA ROBLES GABRIEL"/>
    <d v="2025-04-23T00:00:00"/>
    <d v="2026-04-23T00:00:00"/>
    <n v="25000"/>
    <n v="26335.19"/>
    <n v="0"/>
    <x v="6"/>
    <n v="12"/>
    <s v="Mensual"/>
    <n v="3686.44"/>
    <n v="696"/>
    <n v="0"/>
    <n v="0"/>
    <n v="0"/>
    <n v="8778.4"/>
    <n v="0"/>
    <n v="0"/>
    <n v="0"/>
    <n v="0"/>
    <n v="0"/>
    <n v="3687"/>
    <d v="2025-12-23T00:00:00"/>
    <s v="Entregado"/>
    <n v="7223601170"/>
    <s v="mayamary05@icloud.com"/>
    <m/>
    <s v="RESTAURANTE"/>
    <n v="8711021"/>
    <s v="VALDEZ ESTEVEZ MARIA EUGENIA"/>
    <m/>
    <s v="GERARDO FLORES"/>
    <s v="7224954244"/>
    <s v="FELIPE CAZAS"/>
    <s v="7225767330"/>
    <s v="EZEQUIEL REYES"/>
    <s v="7225663418"/>
    <s v="Garantía Prendaria"/>
    <s v="TITULO EXPEDIDO POR STATE FLORIDA , Valor 20,361.00, Nombre VEHICULO PICK UP F150, Folio Factura 97908021, Fecha Factura 04/04/2008, Número de serie 2FTZX0727WCA00444, Número de motor SN, Modelo 1998, Marca FORD, Propietario CORONA ROBLES GABRIEL"/>
    <s v="VEHICULO PICK UP F150"/>
    <m/>
    <m/>
    <m/>
    <n v="14501.29"/>
    <n v="12.476699999999999"/>
    <n v="1"/>
    <s v="Individual sin Garantía"/>
    <s v="HIDALGO #48-1"/>
    <s v="Calimaya"/>
    <s v="México"/>
    <s v="Calimaya"/>
    <m/>
    <s v="Ver en mapa"/>
    <m/>
    <m/>
    <n v="0"/>
    <n v="0"/>
    <s v="Transferencia electrónica"/>
    <s v="100126801"/>
    <n v="0"/>
    <n v="0"/>
    <n v="0"/>
  </r>
  <r>
    <s v="001252"/>
    <s v="Región Estado México"/>
    <x v="1"/>
    <s v="000037"/>
    <s v="CREDIFLEXI CREDIFLEXI CREDIFLEXI"/>
    <x v="5"/>
    <x v="5"/>
    <s v="01"/>
    <s v="GONZALEZ SANCHEZ LORENZO"/>
    <d v="2025-04-15T00:00:00"/>
    <d v="2026-04-15T00:00:00"/>
    <n v="7000"/>
    <n v="7373.85"/>
    <n v="0"/>
    <x v="6"/>
    <n v="12"/>
    <s v="Mensual"/>
    <n v="1209.28"/>
    <n v="696"/>
    <n v="0"/>
    <n v="0"/>
    <n v="0"/>
    <n v="2457.9499999999998"/>
    <n v="0"/>
    <n v="0"/>
    <n v="0"/>
    <n v="0"/>
    <n v="0"/>
    <n v="1220"/>
    <d v="2025-12-15T00:00:00"/>
    <s v="Entregado"/>
    <n v="7225950568"/>
    <s v="lorenzo59gh@gmail.com"/>
    <m/>
    <s v="TRANSPORTE EN AUTOMOVILES DE SITIO Y TURISMO"/>
    <n v="7114010"/>
    <s v="HERNANDEZ ROSA MARIA"/>
    <m/>
    <s v="EFRAIN TALAVERA"/>
    <s v="7224113728"/>
    <s v="CARLOS GARCIA"/>
    <s v="7222812657"/>
    <s v="LORENZO LOPEZ"/>
    <s v="7205154703"/>
    <m/>
    <m/>
    <m/>
    <m/>
    <m/>
    <m/>
    <n v="4569.4000000000005"/>
    <n v="35.733623333333327"/>
    <n v="1"/>
    <s v="Individual sin Garantía"/>
    <s v="REFORMA #620-1"/>
    <s v="San José"/>
    <s v="México"/>
    <s v="Tenango Del Valle"/>
    <m/>
    <s v="Ver en mapa"/>
    <m/>
    <m/>
    <n v="4"/>
    <n v="3"/>
    <s v="Transferencia electrónica"/>
    <s v="100125201"/>
    <n v="0"/>
    <n v="0"/>
    <n v="0"/>
  </r>
  <r>
    <s v="001717"/>
    <s v="Región Estado México"/>
    <x v="1"/>
    <s v="000057"/>
    <s v="Camacho Frias Oscar Antonio"/>
    <x v="5"/>
    <x v="5"/>
    <s v="02"/>
    <s v="ALVAREZ HERNANDEZ QUEZTZALIA NAYELI"/>
    <d v="2025-12-04T00:00:00"/>
    <d v="2026-06-04T00:00:00"/>
    <n v="7000"/>
    <n v="7373.85"/>
    <n v="0"/>
    <x v="6"/>
    <n v="6"/>
    <s v="Mensual"/>
    <n v="1822.3"/>
    <n v="348"/>
    <n v="0"/>
    <n v="0"/>
    <n v="0"/>
    <n v="7373.85"/>
    <n v="0"/>
    <n v="0"/>
    <n v="0"/>
    <n v="0"/>
    <n v="0"/>
    <m/>
    <m/>
    <s v="Entregado"/>
    <n v="7224743639"/>
    <s v="alvarezquezt3004@gmail.com"/>
    <m/>
    <s v="RESTAURANTE"/>
    <n v="8711021"/>
    <s v="MARTINEZ ESPEJEL LUIS ARMANDO"/>
    <m/>
    <s v="AGUSTIN MARTINEZ"/>
    <s v="7299091105"/>
    <s v="BRIAN MARTINEZ"/>
    <s v="7223093460"/>
    <s v="TRINIDAD VERA"/>
    <s v="5664248310"/>
    <m/>
    <m/>
    <m/>
    <m/>
    <m/>
    <m/>
    <n v="10585.8"/>
    <n v="0"/>
    <n v="1"/>
    <s v="Individual sin Garantía"/>
    <s v="PROL 16 DE SEPTIEMBRE  #5-SN"/>
    <s v="San Lucas Tepemajalco"/>
    <s v="México"/>
    <s v="San Antonio La Isla"/>
    <s v="19°09'41.1&quot;N 99°33'49.0&quot;W"/>
    <s v="Ver en mapa"/>
    <m/>
    <m/>
    <n v="0"/>
    <n v="0"/>
    <s v="Transferencia electrónica"/>
    <s v="100171702"/>
    <n v="0"/>
    <n v="0"/>
    <n v="0"/>
  </r>
  <r>
    <s v="001395"/>
    <s v="Región Estado México"/>
    <x v="1"/>
    <s v="000082"/>
    <s v="ENRIQUEZ VILCHIS MARIA ALEJANDRA"/>
    <x v="5"/>
    <x v="5"/>
    <s v="02"/>
    <s v="ROMANO PALMA EDITH YADIRA"/>
    <d v="2025-12-04T00:00:00"/>
    <d v="2026-05-21T00:00:00"/>
    <n v="7000"/>
    <n v="7373.85"/>
    <n v="0"/>
    <x v="6"/>
    <n v="12"/>
    <s v="Catorcenal"/>
    <n v="919.56000000000006"/>
    <n v="696"/>
    <n v="0"/>
    <n v="1"/>
    <n v="0"/>
    <n v="6759.3600000000006"/>
    <n v="0"/>
    <n v="0"/>
    <n v="0"/>
    <n v="0"/>
    <n v="0"/>
    <n v="920"/>
    <d v="2025-12-18T00:00:00"/>
    <s v="Entregado"/>
    <n v="7228968921"/>
    <s v="yadis_roma30@hotmail.com"/>
    <m/>
    <s v="EMPLEADO PRIVADO"/>
    <n v="8944098"/>
    <s v="GARCIA CAMACHO CARLOS"/>
    <s v="7293288652.0"/>
    <s v="BLANCA VELAZQUEZ"/>
    <s v="7226762573"/>
    <s v="ANDREA GONZALEZ"/>
    <s v="7221259454"/>
    <s v="JUAN GARCIA"/>
    <s v="7224959630"/>
    <m/>
    <m/>
    <m/>
    <m/>
    <m/>
    <m/>
    <n v="9476.73"/>
    <n v="0.4425"/>
    <n v="1"/>
    <s v="Individual sin Garantía"/>
    <s v="IGNACIO ZARAGOZA #510"/>
    <s v="La Aurora"/>
    <s v="México"/>
    <s v="Tenango Del Valle"/>
    <s v="19°05'53.2&quot;N 99°35'14.2&quot;W"/>
    <s v="Ver en mapa"/>
    <m/>
    <m/>
    <n v="0"/>
    <n v="0"/>
    <s v="Transferencia electrónica"/>
    <s v="100139502"/>
    <n v="0"/>
    <n v="0"/>
    <n v="0"/>
  </r>
  <r>
    <s v="001313"/>
    <s v="Región Estado México"/>
    <x v="1"/>
    <s v="000043"/>
    <s v="Cedillo Gonzalez Hugo"/>
    <x v="5"/>
    <x v="5"/>
    <s v="01"/>
    <s v="ALMEIDA ROJAS JUAN ANTONIO"/>
    <d v="2025-05-15T00:00:00"/>
    <d v="2026-01-15T00:00:00"/>
    <n v="10000"/>
    <n v="10534.08"/>
    <n v="0"/>
    <x v="6"/>
    <n v="8"/>
    <s v="Mensual"/>
    <n v="2146.86"/>
    <n v="464"/>
    <n v="0"/>
    <n v="0"/>
    <n v="0"/>
    <n v="1316.76"/>
    <n v="0"/>
    <n v="0"/>
    <n v="0"/>
    <n v="0"/>
    <n v="0"/>
    <n v="2150"/>
    <d v="2025-12-15T00:00:00"/>
    <s v="Entregado"/>
    <n v="7294023563"/>
    <s v="salazar.veronica9097@gmail.com"/>
    <m/>
    <s v="EMPLEADO DEL SECTOR PRIVADO"/>
    <n v="9501009"/>
    <s v="CERINO SALAZAR DIANA VERONICA"/>
    <m/>
    <s v="VIVIANA ROMERO"/>
    <s v="7225945025"/>
    <s v="VERONICA CERINO"/>
    <s v="5513968284"/>
    <s v="SOFIA ROJAS"/>
    <s v="7131155537"/>
    <m/>
    <m/>
    <m/>
    <m/>
    <m/>
    <m/>
    <n v="2085.81"/>
    <n v="3.0507960000000001"/>
    <n v="1"/>
    <s v="Individual sin Garantía"/>
    <s v="BENITO JUAREZ #412-SN"/>
    <s v="Guadalupe"/>
    <s v="México"/>
    <s v="Tenango Del Valle"/>
    <m/>
    <s v="Ver en mapa"/>
    <m/>
    <m/>
    <n v="1"/>
    <n v="1"/>
    <s v="Transferencia electrónica"/>
    <s v="100131301"/>
    <n v="0"/>
    <n v="0"/>
    <n v="0"/>
  </r>
  <r>
    <s v="001287"/>
    <s v="Región Estado México"/>
    <x v="1"/>
    <s v="000037"/>
    <s v="CREDIFLEXI CREDIFLEXI CREDIFLEXI"/>
    <x v="5"/>
    <x v="5"/>
    <s v="01"/>
    <s v="HERNANDEZ GARDUÑO MARIBEL"/>
    <d v="2025-04-30T00:00:00"/>
    <d v="2026-04-30T00:00:00"/>
    <n v="20000"/>
    <n v="21068.16"/>
    <n v="0"/>
    <x v="6"/>
    <n v="12"/>
    <s v="Mensual"/>
    <n v="3347.38"/>
    <n v="696"/>
    <n v="0"/>
    <n v="0"/>
    <n v="1"/>
    <n v="8778.4"/>
    <n v="3330.07"/>
    <n v="1755.68"/>
    <n v="1533.71"/>
    <n v="40.68"/>
    <n v="0"/>
    <n v="20"/>
    <d v="2025-12-05T00:00:00"/>
    <s v="Entregado"/>
    <n v="7297349018"/>
    <s v="mhernandez18@gmail.com"/>
    <m/>
    <s v="EMPLEADO PRIVADO"/>
    <n v="8944098"/>
    <s v="HERMENEGILDO FLORES JUAN"/>
    <m/>
    <s v="ESTEFANIA MORALES"/>
    <s v="7121912619"/>
    <s v="ANA KAREN PAREDES"/>
    <s v="7201041413"/>
    <s v="CRISTINA MORALES"/>
    <s v="7299200772"/>
    <m/>
    <m/>
    <m/>
    <m/>
    <m/>
    <m/>
    <n v="16487.599999999999"/>
    <n v="0"/>
    <n v="1"/>
    <s v="Individual sin Garantía"/>
    <s v="LEONA VICARIO #412-SN"/>
    <s v="Coaxustenco"/>
    <s v="México"/>
    <s v="Metepec"/>
    <m/>
    <s v="Ver en mapa"/>
    <m/>
    <m/>
    <n v="4"/>
    <n v="3"/>
    <s v="Transferencia electrónica"/>
    <s v="100128701"/>
    <n v="0"/>
    <n v="0"/>
    <n v="0.2019742109221476"/>
  </r>
  <r>
    <s v="001371"/>
    <s v="Región Estado México"/>
    <x v="1"/>
    <s v="000037"/>
    <s v="CREDIFLEXI CREDIFLEXI CREDIFLEXI"/>
    <x v="5"/>
    <x v="5"/>
    <s v="01"/>
    <s v="GONZALEZ GARCIA CESAR"/>
    <d v="2025-06-09T00:00:00"/>
    <d v="2026-06-09T00:00:00"/>
    <n v="300000"/>
    <n v="300000"/>
    <n v="0"/>
    <x v="6"/>
    <n v="12"/>
    <s v="Mensual"/>
    <n v="18000"/>
    <n v="0"/>
    <n v="0"/>
    <n v="0"/>
    <n v="0"/>
    <n v="300000"/>
    <n v="0"/>
    <n v="0"/>
    <n v="0"/>
    <n v="0"/>
    <n v="0"/>
    <n v="18000"/>
    <d v="2025-12-17T00:00:00"/>
    <s v="Entregado"/>
    <n v="7223946314"/>
    <s v="cesargonzalezg@yahoo.com"/>
    <m/>
    <s v="CONSTRUCCION DE VIVIENDA RESIDENCIAL"/>
    <n v="4111944"/>
    <s v="OZUNA RODRIGUEZ MARLO PAOLA"/>
    <s v="7225557944.0"/>
    <s v="ALEJANDRO DE LA ROSA GONZALEZ"/>
    <s v="7224592553"/>
    <s v="ADOLFO PICHARDO GONZALEZ"/>
    <s v="7222613175"/>
    <s v="GEORGINA GONZALEZ GARCIA"/>
    <s v="7225725525"/>
    <m/>
    <m/>
    <m/>
    <m/>
    <m/>
    <m/>
    <n v="300000"/>
    <n v="0"/>
    <n v="2"/>
    <s v="Individual Especial Revolvente"/>
    <s v="PASEO DE LOS CEDROS #MZ 2-LT 173"/>
    <s v="Club de Golf los Encinos"/>
    <s v="México"/>
    <s v="Lerma"/>
    <m/>
    <s v="Ver en mapa"/>
    <m/>
    <m/>
    <n v="6"/>
    <n v="6"/>
    <s v="Transferencia electrónica"/>
    <s v="100137101"/>
    <n v="0"/>
    <n v="0"/>
    <n v="0"/>
  </r>
  <r>
    <s v="001249"/>
    <s v="Región Estado México"/>
    <x v="1"/>
    <s v="000037"/>
    <s v="CREDIFLEXI CREDIFLEXI CREDIFLEXI"/>
    <x v="5"/>
    <x v="5"/>
    <s v="01"/>
    <s v="GARCIA FLORES SEBASTIAN ADOLFO"/>
    <d v="2025-04-14T00:00:00"/>
    <d v="2026-04-14T00:00:00"/>
    <n v="250000"/>
    <n v="250000"/>
    <n v="0"/>
    <x v="6"/>
    <n v="12"/>
    <s v="Mensual"/>
    <n v="26896.28"/>
    <n v="0"/>
    <n v="0"/>
    <n v="0"/>
    <n v="0"/>
    <n v="97248.39"/>
    <n v="0"/>
    <n v="0"/>
    <n v="0"/>
    <n v="0"/>
    <n v="0"/>
    <n v="25735.82"/>
    <d v="2025-12-17T00:00:00"/>
    <s v="Entregado"/>
    <n v="5529680097"/>
    <s v="sebassagf@gmail.com"/>
    <m/>
    <s v="ASESORES FISCALES Y FINANCIEROS"/>
    <n v="8400002"/>
    <s v="FLORES YAÑEZ ROSA MARIA"/>
    <m/>
    <m/>
    <m/>
    <m/>
    <m/>
    <m/>
    <m/>
    <m/>
    <m/>
    <m/>
    <m/>
    <m/>
    <m/>
    <n v="97248.39"/>
    <n v="0"/>
    <n v="1"/>
    <s v="Individual Especial Semanal"/>
    <s v="VIA VILLA FLORENCE  #10-DEP 501 PISO 5"/>
    <s v="Hacienda de las Palmas"/>
    <s v="México"/>
    <s v="Huixquilucan"/>
    <m/>
    <s v="Ver en mapa"/>
    <m/>
    <m/>
    <n v="4"/>
    <n v="4"/>
    <s v="Transferencia electrónica"/>
    <s v="100124901"/>
    <n v="0"/>
    <n v="0"/>
    <n v="0"/>
  </r>
  <r>
    <s v="001614"/>
    <s v="Región Estado México"/>
    <x v="1"/>
    <s v="000057"/>
    <s v="Camacho Frias Oscar Antonio"/>
    <x v="5"/>
    <x v="5"/>
    <s v="02"/>
    <s v="CABRERA BUSTOS MA REFUGIO"/>
    <d v="2025-11-26T00:00:00"/>
    <d v="2026-06-01T00:00:00"/>
    <n v="10000"/>
    <n v="10534.08"/>
    <n v="0"/>
    <x v="6"/>
    <n v="6"/>
    <s v="Mensual"/>
    <n v="2599.44"/>
    <n v="348"/>
    <n v="0"/>
    <n v="0"/>
    <n v="0"/>
    <n v="10534.08"/>
    <n v="0"/>
    <n v="0"/>
    <n v="0"/>
    <n v="0"/>
    <n v="0"/>
    <m/>
    <m/>
    <s v="Entregado"/>
    <n v="7205753825"/>
    <s v="mariacabrera9157@gmail.com"/>
    <m/>
    <s v="RESTAURANTE"/>
    <n v="8711021"/>
    <s v="CUEVAS RANGES MANUEL"/>
    <m/>
    <s v="AGUSTINA RAMIREZ"/>
    <s v="7222347937"/>
    <s v="SILVIA GONZALEZ GARCIA"/>
    <s v="7224043270"/>
    <s v="ELIZABETH GOMEZMENDOZA"/>
    <s v="7292427675"/>
    <m/>
    <m/>
    <m/>
    <m/>
    <m/>
    <m/>
    <n v="15248.64"/>
    <n v="0"/>
    <n v="1"/>
    <s v="Individual sin Garantía"/>
    <s v="AV JUAREZ  #49-SN"/>
    <s v="Los Ángeles"/>
    <s v="México"/>
    <s v="Calimaya"/>
    <s v="19°09'54.4&quot;N 99°37'04.6&quot;W"/>
    <s v="Ver en mapa"/>
    <m/>
    <m/>
    <n v="0"/>
    <n v="0"/>
    <s v="Transferencia electrónica"/>
    <s v="100161402"/>
    <n v="0"/>
    <n v="0"/>
    <n v="0"/>
  </r>
  <r>
    <s v="001359"/>
    <s v="Región Estado México"/>
    <x v="1"/>
    <s v="000082"/>
    <s v="ENRIQUEZ VILCHIS MARIA ALEJANDRA"/>
    <x v="5"/>
    <x v="5"/>
    <s v="02"/>
    <s v="MIRANDA MEJIA MARICELA"/>
    <d v="2025-11-25T00:00:00"/>
    <d v="2026-11-25T00:00:00"/>
    <n v="10000"/>
    <n v="10534.08"/>
    <n v="0"/>
    <x v="6"/>
    <n v="12"/>
    <s v="Mensual"/>
    <n v="1702.69"/>
    <n v="696"/>
    <n v="0"/>
    <n v="0"/>
    <n v="0"/>
    <n v="9656.24"/>
    <n v="0"/>
    <n v="0"/>
    <n v="0"/>
    <n v="0"/>
    <n v="0"/>
    <n v="1703"/>
    <d v="2025-12-26T00:00:00"/>
    <s v="Entregado"/>
    <n v="7291158321"/>
    <s v="enjambre121194@gmail.com"/>
    <m/>
    <s v="COMPRAVENTA DE PAPELERIA Y ARTICULOS DE ESCRITORIO"/>
    <n v="6233019"/>
    <m/>
    <m/>
    <s v="SALBA SEBASTIAN"/>
    <s v="7224938662"/>
    <s v="LETICIA HUERTA"/>
    <s v="7223472593"/>
    <s v="FABIOLA GARCIA"/>
    <s v="7223193970"/>
    <m/>
    <m/>
    <m/>
    <m/>
    <m/>
    <m/>
    <n v="18091.3"/>
    <n v="0.31"/>
    <n v="1"/>
    <s v="Individual sin Garantía"/>
    <s v="PROL MIGUEL HIDALGO #104-SN"/>
    <s v="Campesina"/>
    <s v="México"/>
    <s v="Tenango Del Valle"/>
    <m/>
    <s v="Ver en mapa"/>
    <m/>
    <m/>
    <n v="0"/>
    <n v="0"/>
    <s v="Transferencia electrónica"/>
    <s v="100135902"/>
    <n v="0"/>
    <n v="0"/>
    <n v="0"/>
  </r>
  <r>
    <s v="001351"/>
    <s v="Región Estado México"/>
    <x v="1"/>
    <s v="000057"/>
    <s v="Camacho Frias Oscar Antonio"/>
    <x v="5"/>
    <x v="5"/>
    <s v="02"/>
    <s v="GARDUÑO PULIDO ANGELICA"/>
    <d v="2025-12-15T00:00:00"/>
    <d v="2026-06-15T00:00:00"/>
    <n v="7000"/>
    <n v="7373.85"/>
    <n v="0"/>
    <x v="6"/>
    <n v="6"/>
    <s v="Mensual"/>
    <n v="1822.3"/>
    <n v="348"/>
    <n v="0"/>
    <n v="0"/>
    <n v="0"/>
    <n v="7373.85"/>
    <n v="0"/>
    <n v="0"/>
    <n v="0"/>
    <n v="0"/>
    <n v="0"/>
    <m/>
    <m/>
    <s v="Entregado"/>
    <n v="7131151162"/>
    <s v="angelicagardunopulido@gmail.com"/>
    <m/>
    <s v="EMPLEADO DEL SECTOR PRIVADO"/>
    <n v="9501009"/>
    <m/>
    <m/>
    <s v="MAGALY BARRIOS"/>
    <s v="7296000227"/>
    <s v="HUMBERTO SALAZAR"/>
    <s v="7223561881"/>
    <s v="VICTOR RAMIREZ"/>
    <s v="7226076514"/>
    <m/>
    <m/>
    <m/>
    <m/>
    <m/>
    <m/>
    <n v="10585.8"/>
    <n v="0"/>
    <n v="1"/>
    <s v="Individual sin Garantía"/>
    <s v=" IGNACIO ZARAGOZA #11-SN"/>
    <s v="San Miguel de Ocampo"/>
    <s v="México"/>
    <s v="Joquicingo"/>
    <m/>
    <s v="Ver en mapa"/>
    <m/>
    <m/>
    <n v="0"/>
    <n v="0"/>
    <s v="Transferencia electrónica"/>
    <s v="100135102"/>
    <n v="0"/>
    <n v="0"/>
    <n v="0"/>
  </r>
  <r>
    <s v="001532"/>
    <s v="Región Estado México"/>
    <x v="1"/>
    <s v="000057"/>
    <s v="Camacho Frias Oscar Antonio"/>
    <x v="5"/>
    <x v="5"/>
    <s v="02"/>
    <s v="DIAZ DE JESUS LILIA"/>
    <d v="2025-12-09T00:00:00"/>
    <d v="2026-12-09T00:00:00"/>
    <n v="10000"/>
    <n v="10534.08"/>
    <n v="0"/>
    <x v="6"/>
    <n v="12"/>
    <s v="Mensual"/>
    <n v="1702.69"/>
    <n v="696"/>
    <n v="0"/>
    <n v="0"/>
    <n v="0"/>
    <n v="10534.08"/>
    <n v="0"/>
    <n v="0"/>
    <n v="0"/>
    <n v="0"/>
    <n v="0"/>
    <m/>
    <m/>
    <s v="Entregado"/>
    <n v="7202108671"/>
    <s v="dyakelin53@gmail.com"/>
    <m/>
    <s v="TORTILLERIA"/>
    <n v="2093011"/>
    <s v="FUENTES MORALES ISIDRO"/>
    <m/>
    <s v="FLORENTINO DIAZ DE JESUS"/>
    <s v="7223770966"/>
    <s v="JAQUELINE FUENTES DIAZ"/>
    <s v="7200108671"/>
    <s v="MARIA FELIX DIAZ"/>
    <s v="5655705804"/>
    <m/>
    <m/>
    <m/>
    <m/>
    <m/>
    <m/>
    <n v="19736.3"/>
    <n v="0"/>
    <n v="1"/>
    <s v="Individual sin Garantía"/>
    <s v="LAGO VALENCIA #616-SN"/>
    <s v="El Seminario 1a Sección"/>
    <s v="México"/>
    <s v="Toluca"/>
    <s v="19°16'05.4&quot;N 99°40'42.7&quot;W"/>
    <s v="Ver en mapa"/>
    <m/>
    <m/>
    <n v="0"/>
    <n v="0"/>
    <s v="Transferencia electrónica"/>
    <s v="100153202"/>
    <n v="0"/>
    <n v="0"/>
    <n v="0"/>
  </r>
  <r>
    <s v="001345"/>
    <s v="Región Estado México"/>
    <x v="1"/>
    <s v="000082"/>
    <s v="ENRIQUEZ VILCHIS MARIA ALEJANDRA"/>
    <x v="5"/>
    <x v="5"/>
    <s v="02"/>
    <s v="SANCHEZ SALGADO FANNY"/>
    <d v="2025-11-13T00:00:00"/>
    <d v="2026-04-30T00:00:00"/>
    <n v="9000"/>
    <n v="9480.67"/>
    <n v="0"/>
    <x v="6"/>
    <n v="12"/>
    <s v="Catorcenal"/>
    <n v="1165.72"/>
    <n v="696"/>
    <n v="0"/>
    <n v="3"/>
    <n v="0"/>
    <n v="7110.51"/>
    <n v="7.4999999999999997E-3"/>
    <n v="0.01"/>
    <n v="0"/>
    <n v="0"/>
    <n v="0"/>
    <n v="1165.72"/>
    <d v="2025-12-26T00:00:00"/>
    <s v="Entregado"/>
    <n v="7207943134"/>
    <s v="fannyyareli77@gmail.com"/>
    <m/>
    <s v="EMPLEADO DEL SECTOR PRIVADO"/>
    <n v="9501009"/>
    <m/>
    <m/>
    <s v="TANIA SANCHEZ"/>
    <s v="7224937877"/>
    <s v="MARIANA VENANCIO"/>
    <s v="7223935032"/>
    <s v="EVA LOPEZ"/>
    <s v="7297667772"/>
    <m/>
    <m/>
    <m/>
    <m/>
    <m/>
    <m/>
    <n v="9969.5"/>
    <n v="0"/>
    <n v="1"/>
    <s v="Individual sin Garantía"/>
    <s v="HDA PASTAJE #16C-SN"/>
    <s v="San Francisco"/>
    <s v="México"/>
    <s v="Metepec"/>
    <m/>
    <s v="Ver en mapa"/>
    <m/>
    <m/>
    <n v="1"/>
    <n v="1"/>
    <s v="Transferencia electrónica"/>
    <s v="100134502"/>
    <n v="0"/>
    <n v="0"/>
    <n v="7.5229449821956961E-7"/>
  </r>
  <r>
    <s v="001503"/>
    <s v="Región Estado México"/>
    <x v="1"/>
    <s v="000043"/>
    <s v="Cedillo Gonzalez Hugo"/>
    <x v="5"/>
    <x v="5"/>
    <s v="01"/>
    <s v="GARCIA SALAS MARIA GUADALUPE"/>
    <d v="2025-07-22T00:00:00"/>
    <d v="2026-01-22T00:00:00"/>
    <n v="5000"/>
    <n v="5267.04"/>
    <n v="0"/>
    <x v="6"/>
    <n v="6"/>
    <s v="Mensual"/>
    <n v="1322.42"/>
    <n v="348"/>
    <n v="0"/>
    <n v="0"/>
    <n v="0"/>
    <n v="877.84"/>
    <n v="0"/>
    <n v="0"/>
    <n v="0"/>
    <n v="0"/>
    <n v="0"/>
    <n v="1323"/>
    <d v="2025-12-22T00:00:00"/>
    <s v="Entregado"/>
    <n v="7294569713"/>
    <s v="maria.lupis12.16@gmail.com"/>
    <m/>
    <s v="IMPRENTA ( TIPOGRAFIA)"/>
    <n v="2921056"/>
    <m/>
    <m/>
    <s v="ROBERTO CARLOS GONZALEZ"/>
    <s v="7225674101"/>
    <s v="MARCO ANTONIO GONZALEZ"/>
    <s v="7206426174"/>
    <s v="VICTORIA GARCIA SALAS"/>
    <s v="7229242971"/>
    <m/>
    <m/>
    <m/>
    <m/>
    <m/>
    <m/>
    <n v="1263.24"/>
    <n v="1.17336533333333"/>
    <n v="1"/>
    <s v="Individual sin Garantía"/>
    <s v="Lago Michigan  #1713-4"/>
    <s v="El Seminario 1a Sección"/>
    <s v="México"/>
    <s v="Toluca"/>
    <s v="19°16'16.9&quot;N 99°40'06.5&quot;W"/>
    <s v="Ver en mapa"/>
    <m/>
    <m/>
    <n v="1"/>
    <n v="1"/>
    <s v="Transferencia electrónica"/>
    <s v="100150301"/>
    <n v="0"/>
    <n v="0"/>
    <n v="0"/>
  </r>
  <r>
    <s v="001358"/>
    <s v="Región Estado México"/>
    <x v="1"/>
    <s v="000039"/>
    <s v="CALL CENTER"/>
    <x v="5"/>
    <x v="5"/>
    <s v="02"/>
    <s v="PADILLA TELLEZ JOSE"/>
    <d v="2025-10-30T00:00:00"/>
    <d v="2026-05-01T00:00:00"/>
    <n v="8000"/>
    <n v="8427.26"/>
    <n v="0"/>
    <x v="6"/>
    <n v="6"/>
    <s v="Mensual"/>
    <n v="2077.71"/>
    <n v="348"/>
    <n v="0"/>
    <n v="0"/>
    <n v="0"/>
    <n v="7022.72"/>
    <n v="0"/>
    <n v="0"/>
    <n v="0"/>
    <n v="0"/>
    <n v="0"/>
    <n v="2077.71"/>
    <d v="2025-12-01T00:00:00"/>
    <s v="Entregado"/>
    <n v="7221289605"/>
    <s v="jose.padillat21@gmail.com"/>
    <m/>
    <s v="EMPLEADO DEL SECTOR PRIVADO"/>
    <n v="9501009"/>
    <m/>
    <m/>
    <s v="ARIEL REYES"/>
    <s v="7223026661"/>
    <s v="DANIEL MARTINEZ"/>
    <s v="7299981731"/>
    <s v="SABINO GARCIA"/>
    <s v="7293272452"/>
    <m/>
    <m/>
    <m/>
    <m/>
    <m/>
    <m/>
    <n v="10098.52"/>
    <n v="6.7000000000000002E-3"/>
    <n v="1"/>
    <s v="Individual sin Garantía"/>
    <s v="PRIV JOSEFA O DE DOMINGUEZ  #1-SN"/>
    <s v="Coaxustenco"/>
    <s v="México"/>
    <s v="Metepec"/>
    <m/>
    <s v="Ver en mapa"/>
    <m/>
    <m/>
    <n v="0"/>
    <n v="0"/>
    <s v="Transferencia electrónica"/>
    <s v="100135802"/>
    <n v="0"/>
    <n v="0"/>
    <n v="0"/>
  </r>
  <r>
    <s v="004227"/>
    <s v="Región Estado México"/>
    <x v="1"/>
    <s v="000057"/>
    <s v="Camacho Frias Oscar Antonio"/>
    <x v="5"/>
    <x v="5"/>
    <s v="01"/>
    <s v="ESCALONA TELLECHEA IRENE VALERIA"/>
    <d v="2025-11-07T00:00:00"/>
    <d v="2026-05-07T00:00:00"/>
    <n v="5000"/>
    <n v="5267.04"/>
    <n v="0"/>
    <x v="6"/>
    <n v="6"/>
    <s v="Mensual"/>
    <n v="1316.11"/>
    <n v="348"/>
    <n v="0"/>
    <n v="0"/>
    <n v="0"/>
    <n v="4389.2"/>
    <n v="0"/>
    <n v="0"/>
    <n v="0"/>
    <n v="0"/>
    <n v="0"/>
    <n v="1317"/>
    <d v="2025-12-08T00:00:00"/>
    <s v="Entregado"/>
    <n v="7225951286"/>
    <s v="irene280192@gmail.com"/>
    <m/>
    <s v="EMPLEADO DEL SECTOR PRIVADO"/>
    <n v="9501009"/>
    <m/>
    <m/>
    <s v="VERONICA ESCALONA"/>
    <s v="7202103527"/>
    <s v="GUADALUPE SALAZAR"/>
    <s v="7295758605"/>
    <s v="LIA IBARRA"/>
    <s v="7134277344"/>
    <m/>
    <m/>
    <m/>
    <m/>
    <m/>
    <m/>
    <n v="6289.6900000000014"/>
    <n v="0.89"/>
    <n v="1"/>
    <s v="Individual sin Garantía"/>
    <s v="JOSE MARIA MORELOS #69 B"/>
    <s v="San Lorenzo Cuauhtenco"/>
    <s v="México"/>
    <s v="Calimaya"/>
    <s v="19°11'43.3&quot;N 99°37'45.3&quot;W"/>
    <s v="Ver en mapa"/>
    <m/>
    <m/>
    <n v="0"/>
    <n v="0"/>
    <s v="Transferencia electrónica"/>
    <s v="100422701"/>
    <n v="0"/>
    <n v="0"/>
    <n v="0"/>
  </r>
  <r>
    <s v="001124"/>
    <s v="Región Estado México"/>
    <x v="1"/>
    <s v="000037"/>
    <s v="CREDIFLEXI CREDIFLEXI CREDIFLEXI"/>
    <x v="4"/>
    <x v="4"/>
    <s v="03"/>
    <s v="MONROY NEGRETE SANDRA"/>
    <d v="2025-10-15T00:00:00"/>
    <d v="2026-04-15T00:00:00"/>
    <n v="12000"/>
    <n v="12000"/>
    <n v="0"/>
    <x v="6"/>
    <n v="6"/>
    <s v="Mensual"/>
    <n v="2364.58"/>
    <n v="378"/>
    <n v="0"/>
    <n v="0"/>
    <n v="0"/>
    <n v="8321.77"/>
    <n v="0"/>
    <n v="0"/>
    <n v="0"/>
    <n v="0"/>
    <n v="0"/>
    <n v="2365"/>
    <d v="2025-12-15T00:00:00"/>
    <s v="Entregado"/>
    <n v="7226823285"/>
    <s v="rolandodavila@hotmail.com"/>
    <m/>
    <s v="AMA DE CASA"/>
    <n v="9900908"/>
    <m/>
    <m/>
    <s v="MARU CASTILLO VARGAS"/>
    <s v="7226981804"/>
    <s v="JAQUELIN AGUSTIN AMBRIS"/>
    <s v="7223699815"/>
    <s v="JESUS JAVIER VARGAS CASTAÑEDA"/>
    <s v="7221660937"/>
    <m/>
    <m/>
    <m/>
    <m/>
    <m/>
    <m/>
    <n v="8320.93"/>
    <n v="0.84"/>
    <n v="1"/>
    <s v="Individual Especial Semanal"/>
    <s v="CONVENTO CASTILLA #MZ 2-LT 47 C"/>
    <s v="San Blas Totoltepec"/>
    <s v="México"/>
    <s v="Toluca"/>
    <m/>
    <s v="Ver en mapa"/>
    <m/>
    <m/>
    <n v="0"/>
    <n v="0"/>
    <s v="Desembolso en caja"/>
    <s v="100112403"/>
    <n v="0"/>
    <n v="0"/>
    <n v="0"/>
  </r>
  <r>
    <s v="001083"/>
    <s v="Región Estado México"/>
    <x v="1"/>
    <s v="000037"/>
    <s v="CREDIFLEXI CREDIFLEXI CREDIFLEXI"/>
    <x v="4"/>
    <x v="4"/>
    <s v="03"/>
    <s v="DAVILA MONROY ROLANDO"/>
    <d v="2025-10-09T00:00:00"/>
    <d v="2026-03-15T00:00:00"/>
    <n v="5846.95"/>
    <n v="5846.95"/>
    <n v="0"/>
    <x v="6"/>
    <n v="5"/>
    <s v="Mensual"/>
    <n v="5846.95"/>
    <n v="0"/>
    <n v="0"/>
    <n v="0"/>
    <n v="0"/>
    <n v="5846.95"/>
    <n v="0"/>
    <n v="0"/>
    <n v="0"/>
    <n v="0"/>
    <n v="0"/>
    <m/>
    <m/>
    <s v="Entregado"/>
    <n v="7227803366"/>
    <s v="goodcaroriginal2022@gmail.com"/>
    <m/>
    <s v="COMPRAVENTA DE AUTOMOVILES Y CAMIONES NUEVOS"/>
    <n v="6811013"/>
    <m/>
    <m/>
    <m/>
    <m/>
    <m/>
    <m/>
    <m/>
    <m/>
    <m/>
    <m/>
    <m/>
    <m/>
    <m/>
    <m/>
    <n v="5846.95"/>
    <n v="0"/>
    <n v="1"/>
    <s v="Individual Especial Semanal"/>
    <s v="AREZZO #12-SN"/>
    <s v="San Blas Totoltepec"/>
    <s v="México"/>
    <s v="Toluca"/>
    <m/>
    <s v="Ver en mapa"/>
    <m/>
    <m/>
    <n v="0"/>
    <n v="0"/>
    <s v="Transferencia electrónica"/>
    <s v="100108303"/>
    <n v="0"/>
    <n v="0"/>
    <n v="0"/>
  </r>
  <r>
    <s v="003824"/>
    <s v="Región Estado México"/>
    <x v="1"/>
    <s v="000037"/>
    <s v="CREDIFLEXI CREDIFLEXI CREDIFLEXI"/>
    <x v="5"/>
    <x v="5"/>
    <s v="02"/>
    <s v="RODRIGUEZ DU POND JORGE ANTONIO"/>
    <d v="2025-10-17T00:00:00"/>
    <d v="2026-04-30T00:00:00"/>
    <n v="50000"/>
    <n v="50000"/>
    <n v="0"/>
    <x v="6"/>
    <n v="12"/>
    <s v="Quincenal"/>
    <n v="4803.71"/>
    <n v="618"/>
    <n v="0"/>
    <n v="0"/>
    <n v="1"/>
    <n v="38634.85"/>
    <n v="4803.71"/>
    <n v="3947.32"/>
    <n v="804.89"/>
    <n v="51.5"/>
    <n v="0"/>
    <n v="4803.71"/>
    <d v="2025-12-15T00:00:00"/>
    <s v="Entregado"/>
    <n v="5544790066"/>
    <s v="jorge.rodriguez@financieracrediflexi.com"/>
    <m/>
    <s v="EMPLEADO PRIVADO"/>
    <n v="8944098"/>
    <m/>
    <m/>
    <m/>
    <m/>
    <m/>
    <m/>
    <m/>
    <m/>
    <m/>
    <m/>
    <m/>
    <m/>
    <m/>
    <m/>
    <n v="39491.24"/>
    <n v="0"/>
    <n v="1"/>
    <s v="Individual Especial Semanal"/>
    <s v="JESUS DEL MONTE #47 T A D-404"/>
    <s v="Jesús del Monte"/>
    <s v="México"/>
    <s v="Huixquilucan"/>
    <m/>
    <s v="Ver en mapa"/>
    <m/>
    <m/>
    <n v="1"/>
    <n v="1"/>
    <s v="Desembolso en caja"/>
    <s v="100382402"/>
    <n v="0"/>
    <n v="0"/>
    <n v="0.12163988773206411"/>
  </r>
  <r>
    <s v="001265"/>
    <s v="Región Estado México"/>
    <x v="1"/>
    <s v="000082"/>
    <s v="ENRIQUEZ VILCHIS MARIA ALEJANDRA"/>
    <x v="5"/>
    <x v="5"/>
    <s v="02"/>
    <s v="ALANIS GARCIA PAULO CESAR"/>
    <d v="2025-12-04T00:00:00"/>
    <d v="2026-12-04T00:00:00"/>
    <n v="12000"/>
    <n v="12640.89"/>
    <n v="0"/>
    <x v="6"/>
    <n v="12"/>
    <s v="Mensual"/>
    <n v="2031.63"/>
    <n v="696"/>
    <n v="0"/>
    <n v="0"/>
    <n v="0"/>
    <n v="12640.89"/>
    <n v="0"/>
    <n v="0"/>
    <n v="0"/>
    <n v="0"/>
    <n v="0"/>
    <m/>
    <m/>
    <s v="Entregado"/>
    <n v="7293774847"/>
    <s v="cesarp88@gmail.com"/>
    <n v="7293774847"/>
    <s v="VULCANIZACION DE LLANTAS Y CAMARAS"/>
    <n v="3212024"/>
    <s v="ZARAGOZA MANJARREZ ADRINAN"/>
    <m/>
    <s v="MARIA ELENA MANJARREZ"/>
    <s v="7227862042"/>
    <s v="ADRIANA ZARAGOZA"/>
    <s v="7227862041"/>
    <s v="JUAN ANGEL ALANIS"/>
    <s v="7227863490"/>
    <m/>
    <m/>
    <m/>
    <m/>
    <m/>
    <m/>
    <n v="23683.55"/>
    <n v="0"/>
    <n v="1"/>
    <s v="Individual sin Garantía"/>
    <s v="SAN ANGEL  #SN"/>
    <s v="San Antonio el Llanito"/>
    <s v="México"/>
    <s v="Ocoyoacac"/>
    <m/>
    <s v="Ver en mapa"/>
    <m/>
    <m/>
    <n v="0"/>
    <n v="0"/>
    <s v="Transferencia electrónica"/>
    <s v="100126502"/>
    <n v="0"/>
    <n v="0"/>
    <n v="0"/>
  </r>
  <r>
    <s v="002648"/>
    <s v="Región Estado México"/>
    <x v="1"/>
    <s v="000037"/>
    <s v="CREDIFLEXI CREDIFLEXI CREDIFLEXI"/>
    <x v="4"/>
    <x v="4"/>
    <s v="01"/>
    <s v="VAZQUEZ MEDINA HECTOR MANUEL"/>
    <d v="2025-09-04T00:00:00"/>
    <d v="2026-03-15T00:00:00"/>
    <n v="30000"/>
    <n v="30000"/>
    <n v="0"/>
    <x v="6"/>
    <n v="12"/>
    <s v="Quincenal"/>
    <n v="2935"/>
    <n v="492"/>
    <n v="0"/>
    <n v="0"/>
    <n v="1"/>
    <n v="16165.03"/>
    <n v="2935"/>
    <n v="2557.23"/>
    <n v="336.77"/>
    <n v="41"/>
    <n v="0"/>
    <n v="2935"/>
    <d v="2025-12-15T00:00:00"/>
    <s v="Entregado"/>
    <n v="5579074408"/>
    <s v="hectormanuelvm@outlook.com"/>
    <m/>
    <s v="EMPLEADO PRIVADO"/>
    <n v="8944098"/>
    <m/>
    <m/>
    <m/>
    <m/>
    <m/>
    <m/>
    <m/>
    <m/>
    <m/>
    <m/>
    <m/>
    <m/>
    <m/>
    <m/>
    <n v="16542.8"/>
    <n v="0"/>
    <n v="1"/>
    <s v="Individual Especial Semanal"/>
    <s v="MAPLE #30-6"/>
    <s v="El Manto"/>
    <s v="Ciudad de México"/>
    <s v="Iztapalapa"/>
    <m/>
    <s v="Ver en mapa"/>
    <m/>
    <m/>
    <n v="1"/>
    <n v="1"/>
    <s v="Transferencia electrónica"/>
    <s v="100264801"/>
    <n v="0"/>
    <n v="0"/>
    <n v="0.17741857484827239"/>
  </r>
  <r>
    <s v="004738"/>
    <s v="Región Estado México"/>
    <x v="1"/>
    <s v="000082"/>
    <s v="ENRIQUEZ VILCHIS MARIA ALEJANDRA"/>
    <x v="5"/>
    <x v="5"/>
    <s v="01"/>
    <s v="RABLING CONDE NORMAN ENRIQUE"/>
    <d v="2025-11-26T00:00:00"/>
    <d v="2026-05-26T00:00:00"/>
    <n v="30000"/>
    <n v="30000"/>
    <n v="0"/>
    <x v="6"/>
    <n v="6"/>
    <s v="Mensual"/>
    <n v="6309.6100000000006"/>
    <n v="366"/>
    <n v="0"/>
    <n v="0"/>
    <n v="0"/>
    <n v="25781.39"/>
    <n v="0"/>
    <n v="0"/>
    <n v="0"/>
    <n v="0"/>
    <n v="0"/>
    <n v="6310"/>
    <d v="2025-12-26T00:00:00"/>
    <s v="Entregado"/>
    <n v="7712197133"/>
    <s v="rablingn@gmail.com"/>
    <m/>
    <s v="EMPLEADO PRIVADO"/>
    <n v="8944098"/>
    <m/>
    <m/>
    <m/>
    <m/>
    <m/>
    <m/>
    <m/>
    <m/>
    <m/>
    <m/>
    <m/>
    <m/>
    <m/>
    <m/>
    <n v="25781"/>
    <n v="0.39"/>
    <n v="1"/>
    <s v="Individual Especial Semanal"/>
    <s v="AV PIRULES #104"/>
    <s v="Villas de Pachuca"/>
    <s v="Hidalgo"/>
    <s v="Pachuca De Soto"/>
    <m/>
    <s v="Ver en mapa"/>
    <m/>
    <m/>
    <n v="0"/>
    <n v="0"/>
    <s v="Transferencia electrónica"/>
    <s v="100473801"/>
    <n v="0"/>
    <n v="0"/>
    <n v="0"/>
  </r>
  <r>
    <s v="001073"/>
    <s v="Región Estado México"/>
    <x v="1"/>
    <s v="000037"/>
    <s v="CREDIFLEXI CREDIFLEXI CREDIFLEXI"/>
    <x v="4"/>
    <x v="4"/>
    <s v="01"/>
    <s v="CAMPOS SANCHEZ VICTOR HUMBERTO"/>
    <d v="2025-08-15T00:00:00"/>
    <d v="2026-02-15T00:00:00"/>
    <n v="7000"/>
    <n v="7000"/>
    <n v="0"/>
    <x v="6"/>
    <n v="12"/>
    <s v="Quincenal"/>
    <n v="733.31000000000006"/>
    <n v="816"/>
    <n v="0"/>
    <n v="0"/>
    <n v="1"/>
    <n v="2528.1799999999998"/>
    <n v="733.31000000000006"/>
    <n v="612.64"/>
    <n v="52.67"/>
    <n v="68"/>
    <n v="0"/>
    <n v="733.31000000000006"/>
    <d v="2025-12-15T00:00:00"/>
    <s v="Entregado"/>
    <n v="2225315368"/>
    <s v="vicam8@hotmail.com"/>
    <n v="2225315368"/>
    <s v="EMPLEADO PRIVADO"/>
    <n v="8944098"/>
    <m/>
    <m/>
    <m/>
    <m/>
    <m/>
    <m/>
    <m/>
    <m/>
    <m/>
    <m/>
    <m/>
    <m/>
    <m/>
    <m/>
    <n v="2648.85"/>
    <n v="0"/>
    <n v="1"/>
    <s v="Individual Especial Semanal"/>
    <s v="6 AND JARD 5 SUR #EDIF 12-C"/>
    <s v="INFONAVIT Loma Bella"/>
    <s v="Puebla"/>
    <s v="Puebla"/>
    <m/>
    <s v="Ver en mapa"/>
    <m/>
    <m/>
    <n v="1"/>
    <n v="1"/>
    <s v="Transferencia electrónica"/>
    <s v="100107301"/>
    <n v="0"/>
    <n v="0"/>
    <n v="0.27684089321781152"/>
  </r>
  <r>
    <s v="001685"/>
    <s v="Región Estado México"/>
    <x v="1"/>
    <s v="000043"/>
    <s v="Cedillo Gonzalez Hugo"/>
    <x v="5"/>
    <x v="5"/>
    <s v="01"/>
    <s v="ENZASTEGUI LEDEZMA MARIA DE LOS ANGELES"/>
    <d v="2025-08-08T00:00:00"/>
    <d v="2026-08-08T00:00:00"/>
    <n v="10000"/>
    <n v="10534.08"/>
    <n v="0"/>
    <x v="6"/>
    <n v="12"/>
    <s v="Mensual"/>
    <n v="1702.69"/>
    <n v="696"/>
    <n v="0"/>
    <n v="0"/>
    <n v="0"/>
    <n v="7022.72"/>
    <n v="0"/>
    <n v="0"/>
    <n v="0"/>
    <n v="0"/>
    <n v="0"/>
    <n v="1703"/>
    <d v="2025-12-07T00:00:00"/>
    <s v="Entregado"/>
    <n v="7207884541"/>
    <s v="mariadelosangelesenzastegui@gmail.com"/>
    <m/>
    <s v="EMPLEADO PRIVADO"/>
    <n v="8944098"/>
    <m/>
    <m/>
    <s v="JAZMIN ENZASTEGUI"/>
    <s v="7223922027"/>
    <s v="NANCY LEDEZMA"/>
    <s v="7221235341"/>
    <s v="IRVING ARELLANO"/>
    <s v="7228466438"/>
    <m/>
    <m/>
    <m/>
    <m/>
    <m/>
    <m/>
    <n v="13156.3"/>
    <n v="1.2329493333333299"/>
    <n v="1"/>
    <s v="Individual sin Garantía"/>
    <s v="CJON REFORMA #1-SN"/>
    <s v="Santiago Tlacotepec"/>
    <s v="México"/>
    <s v="Toluca"/>
    <s v="19°13'30.7&quot;N 99°40'23.5&quot;W"/>
    <s v="Ver en mapa"/>
    <m/>
    <m/>
    <n v="0"/>
    <n v="0"/>
    <s v="Transferencia electrónica"/>
    <s v="100168501"/>
    <n v="0"/>
    <n v="0"/>
    <n v="0"/>
  </r>
  <r>
    <s v="001384"/>
    <s v="Región Estado México"/>
    <x v="1"/>
    <s v="000043"/>
    <s v="Cedillo Gonzalez Hugo"/>
    <x v="6"/>
    <x v="6"/>
    <s v="01"/>
    <s v="SOTO ARRIAGA MA GUADALUPE"/>
    <d v="2025-06-09T00:00:00"/>
    <d v="2026-06-09T00:00:00"/>
    <n v="30000"/>
    <n v="31602.23"/>
    <n v="0"/>
    <x v="6"/>
    <n v="12"/>
    <s v="Mensual"/>
    <n v="4992.07"/>
    <n v="696"/>
    <n v="0"/>
    <n v="0"/>
    <n v="0"/>
    <n v="15801.11"/>
    <n v="0"/>
    <n v="0"/>
    <n v="0"/>
    <n v="0"/>
    <n v="0"/>
    <n v="5572"/>
    <d v="2025-12-26T00:00:00"/>
    <s v="Entregado"/>
    <n v="7225655574"/>
    <s v="maria3sot900@gmail.com"/>
    <m/>
    <s v="RESTAURANTE"/>
    <n v="8711021"/>
    <s v="MIRANDA MEJIA NOE"/>
    <s v="7225655574.0"/>
    <s v="MARICELA MIRANDA"/>
    <s v="7291158321"/>
    <s v="ELSA VIDAL"/>
    <s v="7226443534"/>
    <s v="JESUS RUIZ"/>
    <s v="7226365266"/>
    <m/>
    <m/>
    <m/>
    <m/>
    <m/>
    <m/>
    <n v="29603.88"/>
    <n v="0.557639833333333"/>
    <n v="1"/>
    <s v="Individual sin Garantía"/>
    <s v="PROL HIDALGO #100-SN"/>
    <s v="Campesina"/>
    <s v="México"/>
    <s v="Tenango Del Valle"/>
    <s v="19°06'12.0&quot;N 99°34'59.8&quot;W"/>
    <s v="Ver en mapa"/>
    <m/>
    <m/>
    <n v="4"/>
    <n v="4"/>
    <s v="Transferencia electrónica"/>
    <s v="100138401"/>
    <n v="0"/>
    <n v="0"/>
    <n v="0"/>
  </r>
  <r>
    <s v="001196"/>
    <s v="Región Estado México"/>
    <x v="1"/>
    <s v="000037"/>
    <s v="CREDIFLEXI CREDIFLEXI CREDIFLEXI"/>
    <x v="5"/>
    <x v="5"/>
    <s v="02"/>
    <s v="MANJARREZ AGUIRRE PATRICIA"/>
    <d v="2025-08-07T00:00:00"/>
    <d v="2026-08-07T00:00:00"/>
    <n v="350000"/>
    <n v="368692.72"/>
    <n v="0"/>
    <x v="6"/>
    <n v="12"/>
    <s v="Mensual"/>
    <n v="47915.51"/>
    <n v="696"/>
    <n v="0"/>
    <n v="0"/>
    <n v="0"/>
    <n v="245795.15"/>
    <n v="0"/>
    <n v="0"/>
    <n v="0"/>
    <n v="0"/>
    <n v="0"/>
    <n v="47915.51"/>
    <d v="2025-12-05T00:00:00"/>
    <s v="Entregado"/>
    <n v="7213387385"/>
    <s v="gm8927694@gmail.com"/>
    <m/>
    <s v="RESTAURANTE"/>
    <n v="8711021"/>
    <s v="ZAMORA MARTINEZ GREGORIO"/>
    <m/>
    <s v="EFRAIN CHAVEZ REGULES"/>
    <s v="7221374276"/>
    <s v="JULIETA PORCAYO VILLAREAL"/>
    <s v="7292316842"/>
    <s v="MARCO MARTINEZ SANCHEZ"/>
    <s v="4271680267"/>
    <s v="Garantía Prendaria"/>
    <s v="FACTURA EXPEDIDA POR AUTOMOTRIZ LERMA S.A DE C.V, , Valor 192,857.00, Nombre AUTOMOVIL SAVEIRO ROBUST, Folio Factura FEAL00021514, Fecha Factura 23/05/2023, Número de serie 9BWKB45U5PP046145, Número de motor CFZ56079, Modelo 2023, Marca VOLKSWAGEN, Propietario MARTINEZ ZAMORA GREGORIO"/>
    <s v="AUTOMOVIL SAVEIRO ROBUST"/>
    <m/>
    <m/>
    <m/>
    <n v="382860.06"/>
    <n v="6.7000000000000002E-3"/>
    <n v="2"/>
    <s v="Individual con Garantía Vehicular"/>
    <s v="16 DE SEPTIEMBRE #106"/>
    <s v="San Juan"/>
    <s v="México"/>
    <s v="San Mateo Atenco"/>
    <m/>
    <s v="Ver en mapa"/>
    <m/>
    <m/>
    <n v="1"/>
    <n v="1"/>
    <s v="Transferencia electrónica"/>
    <s v="100119602"/>
    <n v="0"/>
    <n v="0"/>
    <n v="0"/>
  </r>
  <r>
    <s v="001686"/>
    <s v="Región Estado México"/>
    <x v="1"/>
    <s v="000057"/>
    <s v="Camacho Frias Oscar Antonio"/>
    <x v="5"/>
    <x v="5"/>
    <s v="02"/>
    <s v="SANCHEZ PERALTA ESTHER"/>
    <d v="2025-11-24T00:00:00"/>
    <d v="2026-05-11T00:00:00"/>
    <n v="8000"/>
    <n v="8427.26"/>
    <n v="0"/>
    <x v="6"/>
    <n v="12"/>
    <s v="Catorcenal"/>
    <n v="1042.6400000000001"/>
    <n v="696"/>
    <n v="0"/>
    <n v="2"/>
    <n v="0"/>
    <n v="7022.72"/>
    <n v="0"/>
    <n v="0"/>
    <n v="0"/>
    <n v="0"/>
    <n v="0"/>
    <n v="1043"/>
    <d v="2025-12-22T00:00:00"/>
    <s v="Entregado"/>
    <n v="7201199567"/>
    <s v="esthersanchezperalta51@gmail.com"/>
    <m/>
    <s v="RESTAURANTE"/>
    <n v="8711021"/>
    <s v="MEJIA ARZALUZ VICTOR"/>
    <m/>
    <s v="VICTOR MEJIA ARZALUZ"/>
    <s v="7203347006"/>
    <s v="ROSALBA SANCHEZ PERALTA"/>
    <s v="5512138858"/>
    <s v="ANA KAREN PERALTA SOTO"/>
    <s v="7221474286"/>
    <m/>
    <m/>
    <m/>
    <m/>
    <m/>
    <m/>
    <n v="9845.69"/>
    <n v="0.71788320000000005"/>
    <n v="1"/>
    <s v="Individual sin Garantía"/>
    <s v="PRIV DE LA CRUZ #3-SN"/>
    <s v="San Felipe Tlalmimilolpan"/>
    <s v="México"/>
    <s v="Toluca"/>
    <s v="19°14'07.5&quot;N 99°38'57.9&quot;W"/>
    <s v="Ver en mapa"/>
    <m/>
    <m/>
    <n v="0"/>
    <n v="0"/>
    <s v="Transferencia electrónica"/>
    <s v="100168602"/>
    <n v="0"/>
    <n v="0"/>
    <n v="0"/>
  </r>
  <r>
    <s v="003324"/>
    <s v="Región Estado México"/>
    <x v="1"/>
    <s v="000057"/>
    <s v="Camacho Frias Oscar Antonio"/>
    <x v="5"/>
    <x v="5"/>
    <s v="01"/>
    <s v="OLMOS PALACIOS FIDELINA"/>
    <d v="2025-10-03T00:00:00"/>
    <d v="2026-04-03T00:00:00"/>
    <n v="5000"/>
    <n v="5267.04"/>
    <n v="0"/>
    <x v="6"/>
    <n v="6"/>
    <s v="Mensual"/>
    <n v="1318.22"/>
    <n v="348"/>
    <n v="0"/>
    <n v="0"/>
    <n v="0"/>
    <n v="3511.36"/>
    <n v="0"/>
    <n v="0"/>
    <n v="0"/>
    <n v="0"/>
    <n v="0"/>
    <n v="1318.22"/>
    <d v="2025-12-03T00:00:00"/>
    <s v="Entregado"/>
    <n v="7291838816"/>
    <s v="filleyla94@gmail.com"/>
    <m/>
    <s v="RESTAURANTE"/>
    <n v="8711021"/>
    <s v="SOLIS LOPEZ EDGAR"/>
    <s v="7291838816.0"/>
    <s v="LAURA SOLIS LOPEZ"/>
    <s v="7299824257"/>
    <s v="EDGAR SOLIS LOPEZ"/>
    <s v="7291838816"/>
    <s v="PERLA DENISSE DIAZ CONSUELO"/>
    <s v="7229422159"/>
    <m/>
    <m/>
    <m/>
    <m/>
    <m/>
    <m/>
    <n v="5040.8500000000004"/>
    <n v="0.01"/>
    <n v="1"/>
    <s v="Individual sin Garantía"/>
    <s v="HIPOLITO ORTIZ #156"/>
    <s v="La Teresona"/>
    <s v="México"/>
    <s v="Toluca"/>
    <s v="19°17'44.1&quot;N 99°40'33.8&quot;W"/>
    <s v="Ver en mapa"/>
    <m/>
    <m/>
    <n v="0"/>
    <n v="0"/>
    <s v="Transferencia electrónica"/>
    <s v="100332401"/>
    <n v="0"/>
    <n v="0"/>
    <n v="0"/>
  </r>
  <r>
    <s v="001388"/>
    <s v="Región Estado México"/>
    <x v="4"/>
    <s v="000082"/>
    <s v="ENRIQUEZ VILCHIS MARIA ALEJANDRA"/>
    <x v="5"/>
    <x v="5"/>
    <s v="02"/>
    <s v="ARENAS DE JESUS LORENA"/>
    <d v="2025-11-21T00:00:00"/>
    <d v="2026-05-21T00:00:00"/>
    <n v="40000"/>
    <n v="42136.31"/>
    <n v="0"/>
    <x v="6"/>
    <n v="6"/>
    <s v="Mensual"/>
    <n v="10122.91"/>
    <n v="348"/>
    <n v="0"/>
    <n v="0"/>
    <n v="0"/>
    <n v="35113.589999999997"/>
    <n v="0"/>
    <n v="0"/>
    <n v="0"/>
    <n v="0"/>
    <n v="0"/>
    <n v="10123"/>
    <d v="2025-12-22T00:00:00"/>
    <s v="Entregado"/>
    <n v="5511319176"/>
    <s v="lorenaarenas@hotmail.com"/>
    <m/>
    <s v="CRIA Y EXPLOTACION DE GANADO PORCINO"/>
    <n v="221010"/>
    <s v="GONZALEZ MATEO FELIPE"/>
    <s v="7121586321.0"/>
    <s v="JOVANI AVILA ADILON"/>
    <s v="7121180744"/>
    <s v="ADELINA MIRANDA"/>
    <s v="7122139937"/>
    <s v="JUAN CONTRERAS"/>
    <s v="5529501737"/>
    <m/>
    <m/>
    <m/>
    <m/>
    <m/>
    <m/>
    <n v="50324.480000000003"/>
    <n v="9.1700000000000004E-2"/>
    <n v="1"/>
    <s v="Individual sin Garantía"/>
    <s v="SAN BARTOLO DEL LLANO #SN"/>
    <s v="San Bartolo del Llano cu"/>
    <s v="México"/>
    <s v="Ixtlahuaca"/>
    <s v="19°35'34.9&quot;N 99°44'46.8&quot;W"/>
    <s v="Ver en mapa"/>
    <m/>
    <m/>
    <n v="0"/>
    <n v="0"/>
    <s v="Transferencia electrónica"/>
    <s v="100138802"/>
    <n v="0"/>
    <n v="0"/>
    <n v="0"/>
  </r>
  <r>
    <s v="001392"/>
    <s v="Región Estado México"/>
    <x v="4"/>
    <s v="000082"/>
    <s v="ENRIQUEZ VILCHIS MARIA ALEJANDRA"/>
    <x v="5"/>
    <x v="5"/>
    <s v="02"/>
    <s v="MAYA RUIZ VICTORIA"/>
    <d v="2025-12-18T00:00:00"/>
    <d v="2026-06-04T00:00:00"/>
    <n v="8000"/>
    <n v="8427.26"/>
    <n v="0"/>
    <x v="6"/>
    <n v="12"/>
    <s v="Catorcenal"/>
    <n v="1042.6400000000001"/>
    <n v="696"/>
    <n v="0"/>
    <n v="0"/>
    <n v="0"/>
    <n v="8427.26"/>
    <n v="0"/>
    <n v="0"/>
    <n v="0"/>
    <n v="0"/>
    <n v="0"/>
    <m/>
    <m/>
    <s v="Entregado"/>
    <n v="7121159067"/>
    <s v="araceli121285@gmail.com"/>
    <m/>
    <s v="CRIA Y EXPLOTACION DE GANADO OVINO"/>
    <n v="222018"/>
    <m/>
    <m/>
    <s v="ROSALBA GONZALEZ CRUZ"/>
    <s v="5585724160"/>
    <s v="MARGARITA MARTINEZ"/>
    <s v="7121359448"/>
    <s v="ESTELA SANCHEZ"/>
    <s v="7121918364"/>
    <m/>
    <m/>
    <m/>
    <m/>
    <m/>
    <m/>
    <n v="11815.69"/>
    <n v="0"/>
    <n v="1"/>
    <s v="Individual sin Garantía"/>
    <s v="EL TUNAL #SN"/>
    <s v="El Tunal"/>
    <s v="México"/>
    <s v="San Felipe Del Progreso"/>
    <s v="19°42'56.5&quot;N 99°57'39.4&quot;W"/>
    <s v="Ver en mapa"/>
    <m/>
    <m/>
    <n v="0"/>
    <n v="0"/>
    <s v="Transferencia electrónica"/>
    <s v="100139202"/>
    <n v="0"/>
    <n v="0"/>
    <n v="0"/>
  </r>
  <r>
    <s v="001364"/>
    <s v="Región Estado México"/>
    <x v="4"/>
    <s v="000057"/>
    <s v="Camacho Frias Oscar Antonio"/>
    <x v="5"/>
    <x v="5"/>
    <s v="02"/>
    <s v="BARRERA BARRERA MIGUEL"/>
    <d v="2025-11-12T00:00:00"/>
    <d v="2026-11-12T00:00:00"/>
    <n v="15000"/>
    <n v="15801.12"/>
    <n v="0"/>
    <x v="6"/>
    <n v="12"/>
    <s v="Mensual"/>
    <n v="2525.04"/>
    <n v="696"/>
    <n v="0"/>
    <n v="0"/>
    <n v="0"/>
    <n v="14484.4"/>
    <n v="0.04"/>
    <n v="0.04"/>
    <n v="0"/>
    <n v="0"/>
    <n v="0"/>
    <n v="2525"/>
    <d v="2025-12-12T00:00:00"/>
    <s v="Entregado"/>
    <n v="7718840405"/>
    <s v="mb8810472@gmail.com"/>
    <m/>
    <s v="ELABORACION DE OBJETOS ARTISTICOS DE ALFARERIA Y CERAMICA"/>
    <n v="3319010"/>
    <s v="HERNANDEZ ARANDA JUANA MAURA"/>
    <s v="7718840405.0"/>
    <s v="VIVIANA RUIZ NICOLAS"/>
    <s v="7121880872"/>
    <s v="JUANA HERNANDEZ"/>
    <s v="7297180978"/>
    <s v="RAMIRO BARRERA HERNANDEZ"/>
    <s v="5511936135"/>
    <m/>
    <m/>
    <m/>
    <m/>
    <m/>
    <m/>
    <n v="27137.45"/>
    <n v="0"/>
    <n v="1"/>
    <s v="Individual sin Garantía"/>
    <s v="DOMICILIO CONOCIDO #SN"/>
    <s v="San Juanico Centro"/>
    <s v="México"/>
    <s v="Temascalcingo"/>
    <s v="19°51'06.1&quot;N 100°02'04.8&quot;W"/>
    <s v="Ver en mapa"/>
    <m/>
    <m/>
    <n v="0"/>
    <n v="0"/>
    <s v="Transferencia electrónica"/>
    <s v="100136402"/>
    <n v="0"/>
    <n v="0"/>
    <n v="1.473977842428084E-6"/>
  </r>
  <r>
    <s v="001370"/>
    <s v="Región Estado México"/>
    <x v="4"/>
    <s v="000082"/>
    <s v="ENRIQUEZ VILCHIS MARIA ALEJANDRA"/>
    <x v="5"/>
    <x v="5"/>
    <s v="02"/>
    <s v="GOMEZ MIRANDA MARIBEL"/>
    <d v="2025-10-14T00:00:00"/>
    <d v="2026-03-31T00:00:00"/>
    <n v="7000"/>
    <n v="7373.85"/>
    <n v="0"/>
    <x v="6"/>
    <n v="12"/>
    <s v="Catorcenal"/>
    <n v="919.56000000000006"/>
    <n v="696"/>
    <n v="0"/>
    <n v="5"/>
    <n v="0"/>
    <n v="4301.42"/>
    <n v="7.4999999999999997E-3"/>
    <n v="0.01"/>
    <n v="0"/>
    <n v="0"/>
    <n v="0"/>
    <n v="919.56000000000006"/>
    <d v="2025-12-22T00:00:00"/>
    <s v="Entregado"/>
    <n v="7122034888"/>
    <s v="mariagomezz26@gmail.com"/>
    <m/>
    <s v="COMPRAVENTA DE OTRAS JOYAS"/>
    <n v="6225024"/>
    <m/>
    <m/>
    <s v="EDITH VALENCIA CARDENAS"/>
    <s v="7121791882"/>
    <s v="GUADALUPE BARRERA MEDINA"/>
    <s v="5560629707"/>
    <s v="SONIA REYES"/>
    <s v="7701010417"/>
    <m/>
    <m/>
    <m/>
    <m/>
    <m/>
    <m/>
    <n v="6030.93"/>
    <n v="0"/>
    <n v="1"/>
    <s v="Individual sin Garantía"/>
    <s v="RIO PANUCO #SN"/>
    <s v="Río Lerma (Tic Ti)"/>
    <s v="México"/>
    <s v="Atlacomulco"/>
    <s v="19°48'18.2&quot;N 99°53'49.7&quot;W"/>
    <s v="Ver en mapa"/>
    <m/>
    <m/>
    <n v="0"/>
    <n v="0"/>
    <s v="Transferencia electrónica"/>
    <s v="100137002"/>
    <n v="0"/>
    <n v="0"/>
    <n v="1.243589297173073E-6"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x v="8"/>
    <x v="8"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165D9-9258-4F64-A124-98C3CCC8462F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PAR">
  <location ref="J7:S15" firstHeaderRow="1" firstDataRow="2" firstDataCol="1"/>
  <pivotFields count="69">
    <pivotField showAll="0"/>
    <pivotField showAll="0"/>
    <pivotField axis="axisRow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66" showAll="0"/>
    <pivotField showAll="0"/>
    <pivotField showAll="0"/>
    <pivotField axis="axisCol" showAll="0">
      <items count="10">
        <item x="6"/>
        <item x="5"/>
        <item x="4"/>
        <item x="3"/>
        <item x="2"/>
        <item x="1"/>
        <item x="0"/>
        <item x="7"/>
        <item m="1" x="8"/>
        <item t="default"/>
      </items>
    </pivotField>
    <pivotField showAll="0"/>
    <pivotField showAll="0"/>
    <pivotField showAll="0"/>
    <pivotField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numFmtId="9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Saldo riesgo total" fld="67" baseField="0" baseItem="0" numFmtId="165"/>
  </dataFields>
  <formats count="5">
    <format dxfId="42">
      <pivotArea dataOnly="0" labelOnly="1" fieldPosition="0">
        <references count="1">
          <reference field="14" count="0"/>
        </references>
      </pivotArea>
    </format>
    <format dxfId="43">
      <pivotArea field="14" grandRow="1" outline="0" collapsedLevelsAreSubtotals="1" axis="axisCol" fieldPosition="0">
        <references count="1">
          <reference field="14" count="0" selected="0"/>
        </references>
      </pivotArea>
    </format>
    <format dxfId="44">
      <pivotArea field="14" grandRow="1" outline="0" collapsedLevelsAreSubtotals="1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45">
      <pivotArea field="14" grandRow="1" outline="0" collapsedLevelsAreSubtotals="1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46">
      <pivotArea field="14" grandRow="1" outline="0" collapsedLevelsAreSubtotals="1" axis="axisCol" fieldPosition="0">
        <references count="1">
          <reference field="14" count="7" selected="0">
            <x v="0"/>
            <x v="1"/>
            <x v="2"/>
            <x v="3"/>
            <x v="4"/>
            <x v="5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0C8F6-1688-4BFB-94A1-D1EE0E8846FF}" name="TablaDinámica2" cacheId="1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Coordinación">
  <location ref="A8:G15" firstHeaderRow="0" firstDataRow="1" firstDataCol="1"/>
  <pivotFields count="69">
    <pivotField showAll="0"/>
    <pivotField showAll="0"/>
    <pivotField axis="axisRow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66" showAll="0"/>
    <pivotField dataField="1"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numFmtId="9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ntidad_x000a_Prestada" fld="12" baseField="0" baseItem="0"/>
    <dataField name="Saldo_x000a_Capital" fld="22" baseField="0" baseItem="0" numFmtId="166"/>
    <dataField name="Saldo_x000a_Vencido" fld="23" baseField="0" baseItem="0" numFmtId="166"/>
    <dataField name="Saldo_x000a_Total" fld="50" baseField="0" baseItem="0" numFmtId="166"/>
    <dataField name="Saldo_x000a_Riesgo Capital" fld="66" baseField="0" baseItem="0" numFmtId="165"/>
    <dataField name="Saldo_x000a_Riesgo Total" fld="67" baseField="0" baseItem="0" numFmtId="165"/>
  </dataFields>
  <formats count="20">
    <format dxfId="22">
      <pivotArea field="2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4">
      <pivotArea field="2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">
      <pivotArea collapsedLevelsAreSubtotals="1" fieldPosition="0">
        <references count="1">
          <reference field="2" count="0"/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29">
      <pivotArea field="2" type="button" dataOnly="0" labelOnly="1" outline="0" axis="axisRow" fieldPosition="0"/>
    </format>
    <format dxfId="30">
      <pivotArea grandRow="1" outline="0" collapsedLevelsAreSubtotals="1" fieldPosition="0"/>
    </format>
    <format dxfId="31">
      <pivotArea dataOnly="0" labelOnly="1" grandRow="1" outline="0" fieldPosition="0"/>
    </format>
    <format dxfId="32">
      <pivotArea dataOnly="0" labelOnly="1" fieldPosition="0">
        <references count="1">
          <reference field="2" count="1">
            <x v="5"/>
          </reference>
        </references>
      </pivotArea>
    </format>
    <format dxfId="33">
      <pivotArea grandRow="1" outline="0" collapsedLevelsAreSubtotals="1" fieldPosition="0"/>
    </format>
    <format dxfId="34">
      <pivotArea field="2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35">
      <pivotArea field="2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36">
      <pivotArea dataOnly="0" labelOnly="1" grandRow="1" outline="0" fieldPosition="0"/>
    </format>
    <format dxfId="37">
      <pivotArea field="2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38">
      <pivotArea field="2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39">
      <pivotArea dataOnly="0" grandRow="1" fieldPosition="0"/>
    </format>
    <format dxfId="40">
      <pivotArea grandRow="1" outline="0" collapsedLevelsAreSubtotals="1" fieldPosition="0"/>
    </format>
    <format dxfId="4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EC0F2-77D2-45AE-B5CF-49FDC76AF7B5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7:W26" firstHeaderRow="1" firstDataRow="2" firstDataCol="3"/>
  <pivotFields count="6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oordinación" axis="axisRow" compact="0" outline="0" showAll="0" defaultSubtotal="0">
      <items count="6">
        <item x="4"/>
        <item x="2"/>
        <item x="1"/>
        <item x="3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4"/>
        <item x="5"/>
        <item x="3"/>
        <item x="6"/>
        <item x="1"/>
        <item x="7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3"/>
        <item x="5"/>
        <item x="0"/>
        <item x="2"/>
        <item x="4"/>
        <item x="7"/>
        <item x="6"/>
        <item x="1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9">
        <item x="6"/>
        <item x="5"/>
        <item x="4"/>
        <item x="3"/>
        <item x="2"/>
        <item x="1"/>
        <item x="0"/>
        <item x="7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5"/>
    <field x="6"/>
  </rowFields>
  <rowItems count="18">
    <i>
      <x/>
      <x v="2"/>
      <x v="1"/>
    </i>
    <i r="1">
      <x v="5"/>
      <x v="7"/>
    </i>
    <i r="1">
      <x v="7"/>
      <x v="3"/>
    </i>
    <i>
      <x v="1"/>
      <x/>
      <x v="2"/>
    </i>
    <i r="1">
      <x v="2"/>
      <x v="1"/>
    </i>
    <i r="1">
      <x v="5"/>
      <x v="7"/>
    </i>
    <i>
      <x v="2"/>
      <x/>
      <x v="2"/>
    </i>
    <i r="1">
      <x v="1"/>
      <x v="4"/>
    </i>
    <i r="1">
      <x v="2"/>
      <x v="1"/>
    </i>
    <i r="1">
      <x v="4"/>
      <x v="6"/>
    </i>
    <i>
      <x v="3"/>
      <x v="2"/>
      <x v="1"/>
    </i>
    <i r="1">
      <x v="3"/>
      <x/>
    </i>
    <i r="1">
      <x v="6"/>
      <x v="5"/>
    </i>
    <i>
      <x v="4"/>
      <x/>
      <x v="2"/>
    </i>
    <i r="1">
      <x v="2"/>
      <x v="1"/>
    </i>
    <i r="1">
      <x v="7"/>
      <x v="3"/>
    </i>
    <i>
      <x v="5"/>
      <x v="8"/>
      <x v="8"/>
    </i>
    <i t="grand">
      <x/>
    </i>
  </rowItems>
  <colFields count="1">
    <field x="1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Saldo riesgo total" fld="67" baseField="0" baseItem="0"/>
  </dataFields>
  <formats count="5">
    <format dxfId="17">
      <pivotArea grandRow="1" outline="0" collapsedLevelsAreSubtotals="1" fieldPosition="0"/>
    </format>
    <format dxfId="18">
      <pivotArea dataOnly="0" labelOnly="1" outline="0" fieldPosition="0">
        <references count="1">
          <reference field="14" count="7">
            <x v="0"/>
            <x v="1"/>
            <x v="2"/>
            <x v="3"/>
            <x v="4"/>
            <x v="5"/>
            <x v="6"/>
          </reference>
        </references>
      </pivotArea>
    </format>
    <format dxfId="19">
      <pivotArea field="14" grandRow="1" outline="0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20">
      <pivotArea outline="0" fieldPosition="0">
        <references count="4">
          <reference field="2" count="5" selected="0">
            <x v="0"/>
            <x v="1"/>
            <x v="2"/>
            <x v="3"/>
            <x v="4"/>
          </reference>
          <reference field="5" count="8" selected="0">
            <x v="0"/>
            <x v="1"/>
            <x v="2"/>
            <x v="3"/>
            <x v="4"/>
            <x v="5"/>
            <x v="6"/>
            <x v="7"/>
          </reference>
          <reference field="6" count="8" selected="0">
            <x v="0"/>
            <x v="1"/>
            <x v="2"/>
            <x v="3"/>
            <x v="4"/>
            <x v="5"/>
            <x v="6"/>
            <x v="7"/>
          </reference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21">
      <pivotArea field="14" grandRow="1" outline="0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9A7A3-4141-4DAD-9761-B8491DE1E75F}" name="TablaDinámica2" cacheId="1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A8:I26" firstHeaderRow="0" firstDataRow="1" firstDataCol="3"/>
  <pivotFields count="6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oordinación" axis="axisRow" compact="0" outline="0" showAll="0" defaultSubtotal="0">
      <items count="6">
        <item x="4"/>
        <item x="2"/>
        <item x="1"/>
        <item x="3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4"/>
        <item x="5"/>
        <item x="3"/>
        <item x="6"/>
        <item x="1"/>
        <item x="7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3"/>
        <item x="2"/>
        <item x="4"/>
        <item x="6"/>
        <item x="1"/>
        <item x="8"/>
        <item x="7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5"/>
    <field x="6"/>
  </rowFields>
  <rowItems count="18">
    <i>
      <x/>
      <x v="2"/>
      <x v="8"/>
    </i>
    <i r="1">
      <x v="5"/>
      <x v="4"/>
    </i>
    <i r="1">
      <x v="7"/>
      <x v="1"/>
    </i>
    <i>
      <x v="1"/>
      <x/>
      <x v="7"/>
    </i>
    <i r="1">
      <x v="2"/>
      <x v="8"/>
    </i>
    <i r="1">
      <x v="5"/>
      <x v="4"/>
    </i>
    <i>
      <x v="2"/>
      <x/>
      <x v="7"/>
    </i>
    <i r="1">
      <x v="1"/>
      <x v="2"/>
    </i>
    <i r="1">
      <x v="2"/>
      <x v="8"/>
    </i>
    <i r="1">
      <x v="4"/>
      <x v="3"/>
    </i>
    <i>
      <x v="3"/>
      <x v="2"/>
      <x v="8"/>
    </i>
    <i r="1">
      <x v="3"/>
      <x/>
    </i>
    <i r="1">
      <x v="6"/>
      <x v="6"/>
    </i>
    <i>
      <x v="4"/>
      <x/>
      <x v="7"/>
    </i>
    <i r="1">
      <x v="2"/>
      <x v="8"/>
    </i>
    <i r="1">
      <x v="7"/>
      <x v="1"/>
    </i>
    <i>
      <x v="5"/>
      <x v="8"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ntidad_x000a_Prestada" fld="12" baseField="0" baseItem="0"/>
    <dataField name="Saldo_x000a_Capital" fld="22" baseField="0" baseItem="0"/>
    <dataField name="Saldo_x000a_Vencido" fld="23" baseField="0" baseItem="0"/>
    <dataField name="Saldo_x000a_Total" fld="50" baseField="0" baseItem="0"/>
    <dataField name="Saldo_x000a_Riesgo Capital" fld="66" baseField="0" baseItem="0"/>
    <dataField name="Saldo_x000a_Riesgo Total" fld="67" baseField="0" baseItem="0"/>
  </dataFields>
  <formats count="17">
    <format dxfId="0">
      <pivotArea field="2" type="button" dataOnly="0" labelOnly="1" outline="0" axis="axisRow" fieldPosition="0"/>
    </format>
    <format dxfId="1">
      <pivotArea field="5" type="button" dataOnly="0" labelOnly="1" outline="0" axis="axisRow" fieldPosition="1"/>
    </format>
    <format dxfId="2">
      <pivotArea field="6" type="button" dataOnly="0" labelOnly="1" outline="0" axis="axisRow" fieldPosition="2"/>
    </format>
    <format dxfId="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">
      <pivotArea dataOnly="0" labelOnly="1" outline="0" fieldPosition="0">
        <references count="1">
          <reference field="2" count="1">
            <x v="5"/>
          </reference>
        </references>
      </pivotArea>
    </format>
    <format dxfId="5">
      <pivotArea dataOnly="0" labelOnly="1" outline="0" fieldPosition="0">
        <references count="2">
          <reference field="2" count="1" selected="0">
            <x v="5"/>
          </reference>
          <reference field="5" count="1">
            <x v="8"/>
          </reference>
        </references>
      </pivotArea>
    </format>
    <format dxfId="6">
      <pivotArea dataOnly="0" labelOnly="1" outline="0" fieldPosition="0">
        <references count="3">
          <reference field="2" count="1" selected="0">
            <x v="5"/>
          </reference>
          <reference field="5" count="1" selected="0">
            <x v="8"/>
          </reference>
          <reference field="6" count="1">
            <x v="5"/>
          </reference>
        </references>
      </pivotArea>
    </format>
    <format dxfId="7">
      <pivotArea outline="0" fieldPosition="0">
        <references count="3">
          <reference field="2" count="5" selected="0">
            <x v="0"/>
            <x v="1"/>
            <x v="2"/>
            <x v="3"/>
            <x v="4"/>
          </reference>
          <reference field="5" count="8" selected="0">
            <x v="0"/>
            <x v="1"/>
            <x v="2"/>
            <x v="3"/>
            <x v="4"/>
            <x v="5"/>
            <x v="6"/>
            <x v="7"/>
          </reference>
          <reference field="6" count="8" selected="0">
            <x v="0"/>
            <x v="1"/>
            <x v="2"/>
            <x v="3"/>
            <x v="4"/>
            <x v="6"/>
            <x v="7"/>
            <x v="8"/>
          </reference>
        </references>
      </pivotArea>
    </format>
    <format dxfId="8">
      <pivotArea grandRow="1" outline="0" collapsedLevelsAreSubtotals="1" fieldPosition="0"/>
    </format>
    <format dxfId="9">
      <pivotArea dataOnly="0" labelOnly="1" grandRow="1" outline="0" fieldPosition="0"/>
    </format>
    <format dxfId="10">
      <pivotArea grandRow="1" outline="0" collapsedLevelsAreSubtotals="1" fieldPosition="0"/>
    </format>
    <format dxfId="11">
      <pivotArea dataOnly="0" labelOnly="1" grandRow="1" outline="0" fieldPosition="0"/>
    </format>
    <format dxfId="12">
      <pivotArea dataOnly="0" labelOnly="1" grandRow="1" outline="0" fieldPosition="0"/>
    </format>
    <format dxfId="13">
      <pivotArea dataOnly="0" labelOnly="1" grandRow="1" outline="0" fieldPosition="0"/>
    </format>
    <format dxfId="14">
      <pivotArea field="2" grandRow="1" outline="0" axis="axisRow" fieldPosition="0">
        <references count="1">
          <reference field="4294967294" count="1" selected="0">
            <x v="5"/>
          </reference>
        </references>
      </pivotArea>
    </format>
    <format dxfId="15">
      <pivotArea field="2" grandRow="1" outline="0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D46106-5C47-441D-8121-C3F027B37D77}" name="T_18112025" displayName="T_18112025" ref="A2:BQ3" insertRow="1">
  <autoFilter ref="A2:BQ3" xr:uid="{10D46106-5C47-441D-8121-C3F027B37D77}"/>
  <tableColumns count="69">
    <tableColumn id="1" xr3:uid="{45AB632D-1122-4B80-B84C-B27DAB2FC8B5}" name="Código acreditado" dataDxfId="68"/>
    <tableColumn id="2" xr3:uid="{56A60274-305A-4AC1-8E51-953967DA1E68}" name="Nom. región"/>
    <tableColumn id="3" xr3:uid="{BD97A124-225D-40D5-B3E6-985115D7D666}" name="Coordinación"/>
    <tableColumn id="4" xr3:uid="{18C8E859-BA54-491C-B0C9-A8C3932FBDE1}" name="Código promotor"/>
    <tableColumn id="5" xr3:uid="{E2E5D7CB-2B4E-41EA-9DEF-05FAB812B2EB}" name="Nombre promotor"/>
    <tableColumn id="6" xr3:uid="{F09793CB-8A25-4838-B64B-EC581BB9972E}" name="Código recuperador"/>
    <tableColumn id="7" xr3:uid="{8E589B69-B8A7-4E98-A83A-6E00296230DD}" name="Nombre recuperador"/>
    <tableColumn id="8" xr3:uid="{B4F1CF15-FD07-4E79-AFFC-CDAA81FE2738}" name="Ciclo"/>
    <tableColumn id="9" xr3:uid="{082FAA69-DBFF-46FC-A7D2-B5E4DDC7E8B7}" name="Nombre acreditado"/>
    <tableColumn id="10" xr3:uid="{F131CC65-61B3-4ED5-95A6-95F505E9E842}" name="Inicio ciclo" dataDxfId="67"/>
    <tableColumn id="11" xr3:uid="{34F112EA-0BC7-4EEF-8E28-C0732D18D81A}" name="Fin ciclo" dataDxfId="66"/>
    <tableColumn id="12" xr3:uid="{4B3AD626-CA83-45D8-83C4-5D7AD6ACA557}" name="Cantidad entregada" dataDxfId="65"/>
    <tableColumn id="13" xr3:uid="{3883B301-4ED6-4929-86A9-661C41FC3B32}" name="Cantidad Prestada" dataDxfId="64"/>
    <tableColumn id="14" xr3:uid="{AA93B381-3BDA-427B-8EDF-E6354650575C}" name="Días de mora"/>
    <tableColumn id="15" xr3:uid="{800B2624-AB8E-4909-9EE2-4DA7BF5A0A37}" name="PAR"/>
    <tableColumn id="16" xr3:uid="{7A254042-BB5B-4F41-A9D3-DAFAD1D133A2}" name="Plazo del crédito"/>
    <tableColumn id="17" xr3:uid="{9A83C30A-F209-4F6F-B948-5F5AFCC18810}" name="Periodicidad"/>
    <tableColumn id="18" xr3:uid="{083F4FCF-0EDE-4262-AA37-98740F581D76}" name="Parcialidad + Parcialidad comisión"/>
    <tableColumn id="19" xr3:uid="{895E2C82-81B3-4949-AC9D-ACD09DF1FDF6}" name="Comisión a pagar"/>
    <tableColumn id="20" xr3:uid="{AABC9F03-56A9-40DA-94EC-3F3B267566CC}" name="Interés moratorio saldo vencido total" dataDxfId="63"/>
    <tableColumn id="21" xr3:uid="{328236F2-7148-4CB9-8512-0D2EDF1BD035}" name="Pagos vencidos" dataDxfId="62"/>
    <tableColumn id="22" xr3:uid="{801E3434-C094-4269-9345-72A8C0AE5F55}" name="Periodos vencidos"/>
    <tableColumn id="23" xr3:uid="{84A22AA9-9BC6-4A39-8EE3-F1400FE2BCA7}" name="Saldo capital" dataDxfId="61"/>
    <tableColumn id="24" xr3:uid="{2D23D163-4883-4DBD-9994-16C25DAC69B3}" name="Saldo vencido" dataDxfId="60"/>
    <tableColumn id="25" xr3:uid="{79B1C402-CE9E-487F-9A8E-81311838658B}" name="Saldo capital vencido" dataDxfId="59"/>
    <tableColumn id="26" xr3:uid="{87F24D6D-B8DC-407A-A2BD-601DB3D425FA}" name="Saldo interés vencido" dataDxfId="58"/>
    <tableColumn id="27" xr3:uid="{F87BD36D-98E5-4F0E-AEC5-EB267105899F}" name="Saldo comisión vencida" dataDxfId="57"/>
    <tableColumn id="28" xr3:uid="{93249545-B07B-4A09-808F-9ED828048AC8}" name="Saldo recargos" dataDxfId="56"/>
    <tableColumn id="29" xr3:uid="{2832DD59-AF7A-4147-A7DC-F3CC07589229}" name="$ Último pago" dataDxfId="55"/>
    <tableColumn id="30" xr3:uid="{12F63B83-B909-4491-B9C1-2CEA2480DE1A}" name="Último pago" dataDxfId="54"/>
    <tableColumn id="31" xr3:uid="{36DC10E2-231A-4BFC-8AB7-ED12061E3D69}" name="Situación crédito"/>
    <tableColumn id="32" xr3:uid="{B89C2B40-4052-49F0-96FB-84B40E829ED8}" name="Medio comunic. 1"/>
    <tableColumn id="33" xr3:uid="{DD12DD5D-3C97-44E0-86DB-8C20C7CFDD1E}" name="Medio comunic. 2"/>
    <tableColumn id="34" xr3:uid="{8F5976FC-1C11-4F21-A788-B5964E54B4D9}" name="Medio comunic. 3"/>
    <tableColumn id="35" xr3:uid="{85A62C4C-842E-4915-A6CB-7C5C60A7EB86}" name="Actividad económica PLD"/>
    <tableColumn id="36" xr3:uid="{FD9B3E1F-A73C-451D-8273-DE17F0F82187}" name="Código actividad económica PLD"/>
    <tableColumn id="37" xr3:uid="{CAD8EEFF-D93A-458C-B0C8-3749DB9E59C1}" name="Nombre conyuge"/>
    <tableColumn id="38" xr3:uid="{4C739AD4-3083-47D9-B26D-E8EF8F5835D1}" name="Teléfono conyuge"/>
    <tableColumn id="39" xr3:uid="{AB1DF676-C709-4C52-8C1A-1A5E16DA58FB}" name="Nombre Referencia1"/>
    <tableColumn id="40" xr3:uid="{E771F7D0-53F8-42FF-B1FB-9E7C88DA4697}" name="Teléfono Referencia1"/>
    <tableColumn id="41" xr3:uid="{1A4B1524-B076-4C77-A8CB-E7088E4FE862}" name="Nombre Referencia2"/>
    <tableColumn id="42" xr3:uid="{1A8E6D0A-645D-4E4F-B4CF-39DABC3DB62B}" name="Teléfono Referencia2"/>
    <tableColumn id="43" xr3:uid="{10C74279-CD33-489F-B1F1-004BDE198225}" name="Nombre Referencia3"/>
    <tableColumn id="44" xr3:uid="{A936190A-20A0-4A06-AD7E-A2CACC349D71}" name="Teléfono Referencia3"/>
    <tableColumn id="45" xr3:uid="{785BE78C-DB95-49FF-BA3E-36332FD4D0DA}" name="Tipo Garantía 1"/>
    <tableColumn id="46" xr3:uid="{B0AAABB2-319D-4932-A7F2-F7679FE94C2C}" name="Descripción garantía 1"/>
    <tableColumn id="47" xr3:uid="{77E19DDA-7E31-430D-9F4E-2F64B8AA711F}" name="Garantía 1"/>
    <tableColumn id="48" xr3:uid="{3DFD0FA7-753D-47E2-9C9F-1B9F89D6A76B}" name="Tipo Garantía 2"/>
    <tableColumn id="49" xr3:uid="{BDEB7300-71A5-4C60-9F66-49D144BECE18}" name="Descripción garantía 2"/>
    <tableColumn id="50" xr3:uid="{5F4A9E4E-9219-4942-9BA8-B91326BB2814}" name="Garantía 2"/>
    <tableColumn id="51" xr3:uid="{F644ED04-B57A-4F37-B2AB-0732D59FA4A1}" name="Saldo total" dataDxfId="53"/>
    <tableColumn id="52" xr3:uid="{C8299F8C-588E-47E1-8238-6D88C20505E7}" name="Saldo adelantado" dataDxfId="52"/>
    <tableColumn id="53" xr3:uid="{C0B0BA4E-44B2-4020-AE8B-9D18EC27A2E0}" name="Cód. producto crédito"/>
    <tableColumn id="54" xr3:uid="{EB888286-D588-4D37-AE08-EC6A1DA12B16}" name="Nom. producto crédito"/>
    <tableColumn id="55" xr3:uid="{D8E9758C-EFD4-4C30-B8D4-28BA0FAFF4D9}" name="Calle"/>
    <tableColumn id="56" xr3:uid="{BDFDA04A-965B-4A6C-8DBA-68298BD5EE02}" name="Colonia"/>
    <tableColumn id="57" xr3:uid="{913A1172-AA94-4182-89D0-0926C1F936C2}" name="Entidad federativa"/>
    <tableColumn id="58" xr3:uid="{5168D7AF-9E44-4709-AF32-9236572B7471}" name="Municipio"/>
    <tableColumn id="59" xr3:uid="{A38D81F5-CDFB-41B3-B85F-1C19D335B9C4}" name="Geolocalización domicilio"/>
    <tableColumn id="60" xr3:uid="{A6BDD858-5EA5-4F8C-BA19-7E141A37BA7B}" name="Link de Geolocalización" dataDxfId="51"/>
    <tableColumn id="61" xr3:uid="{D92129B5-11F2-4C49-8B99-DC60C4E5C841}" name="Castigado cartera"/>
    <tableColumn id="62" xr3:uid="{47F56B99-6911-4E25-A7B4-7E801630D507}" name="Nom. personal castiga cartera"/>
    <tableColumn id="63" xr3:uid="{865F0885-1DC4-43D3-B04E-9F786EFFF365}" name="Frecuencia"/>
    <tableColumn id="64" xr3:uid="{B4520D4E-F6F0-4B56-876C-350E31D27492}" name="Criticidad"/>
    <tableColumn id="65" xr3:uid="{8C28B571-2D1E-4EC5-820E-6EE2E1C02066}" name="Forma de entrega"/>
    <tableColumn id="66" xr3:uid="{3E65D14E-0B52-4DA4-86AE-A37DA8EB0E3F}" name="Concepto Depósito" dataDxfId="50"/>
    <tableColumn id="67" xr3:uid="{18AA5489-C623-4E4B-AC5B-2E9C4890EAE1}" name="Saldo riesgo capital" dataDxfId="49"/>
    <tableColumn id="68" xr3:uid="{A2186643-E023-4F4C-A8B6-1CDFA6DB3D43}" name="Saldo riesgo total" dataDxfId="48"/>
    <tableColumn id="69" xr3:uid="{E9C1DDC1-9481-41A0-B2F4-C572741C2188}" name="% MORA" dataDxfId="4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1771-6608-4E75-8963-5E06FF38DCE5}">
  <dimension ref="A4:S15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C13" sqref="C13"/>
    </sheetView>
  </sheetViews>
  <sheetFormatPr defaultColWidth="11.5546875" defaultRowHeight="14.4" x14ac:dyDescent="0.3"/>
  <cols>
    <col min="1" max="1" width="17.109375" bestFit="1" customWidth="1"/>
    <col min="2" max="7" width="14.109375" bestFit="1" customWidth="1"/>
    <col min="8" max="8" width="27.44140625" customWidth="1"/>
    <col min="9" max="9" width="0.44140625" customWidth="1"/>
    <col min="10" max="10" width="24.44140625" hidden="1" customWidth="1"/>
    <col min="11" max="11" width="27.44140625" hidden="1" customWidth="1"/>
    <col min="12" max="17" width="27.44140625" customWidth="1"/>
    <col min="18" max="18" width="10.77734375" hidden="1" customWidth="1"/>
    <col min="19" max="19" width="15" hidden="1" customWidth="1"/>
  </cols>
  <sheetData>
    <row r="4" spans="1:19" ht="15" thickBot="1" x14ac:dyDescent="0.35"/>
    <row r="5" spans="1:19" ht="15" thickBot="1" x14ac:dyDescent="0.35">
      <c r="K5" s="30" t="s">
        <v>14</v>
      </c>
      <c r="L5" s="31"/>
      <c r="M5" s="31"/>
      <c r="N5" s="31"/>
      <c r="O5" s="31"/>
      <c r="P5" s="31"/>
      <c r="Q5" s="31"/>
    </row>
    <row r="6" spans="1:19" ht="34.950000000000003" customHeight="1" thickBot="1" x14ac:dyDescent="0.35">
      <c r="A6" s="10" t="s">
        <v>2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105</v>
      </c>
      <c r="G6" s="10" t="s">
        <v>106</v>
      </c>
      <c r="H6" s="11" t="s">
        <v>99</v>
      </c>
      <c r="I6" s="16"/>
      <c r="J6" t="s">
        <v>103</v>
      </c>
      <c r="K6" s="17" t="s">
        <v>92</v>
      </c>
      <c r="L6" s="17" t="s">
        <v>108</v>
      </c>
      <c r="M6" s="17" t="s">
        <v>109</v>
      </c>
      <c r="N6" s="17" t="s">
        <v>110</v>
      </c>
      <c r="O6" s="17" t="s">
        <v>111</v>
      </c>
      <c r="P6" s="17" t="s">
        <v>112</v>
      </c>
      <c r="Q6" s="17" t="s">
        <v>100</v>
      </c>
      <c r="R6" s="17" t="s">
        <v>93</v>
      </c>
      <c r="S6" t="s">
        <v>94</v>
      </c>
    </row>
    <row r="7" spans="1:19" hidden="1" x14ac:dyDescent="0.3">
      <c r="J7" s="7" t="s">
        <v>104</v>
      </c>
      <c r="K7" s="7" t="s">
        <v>14</v>
      </c>
    </row>
    <row r="8" spans="1:19" ht="27" hidden="1" thickBot="1" x14ac:dyDescent="0.35">
      <c r="A8" s="27" t="s">
        <v>2</v>
      </c>
      <c r="B8" s="27" t="s">
        <v>95</v>
      </c>
      <c r="C8" s="27" t="s">
        <v>96</v>
      </c>
      <c r="D8" s="27" t="s">
        <v>97</v>
      </c>
      <c r="E8" s="27" t="s">
        <v>98</v>
      </c>
      <c r="F8" s="27" t="s">
        <v>105</v>
      </c>
      <c r="G8" s="27" t="s">
        <v>106</v>
      </c>
      <c r="H8" s="11" t="s">
        <v>99</v>
      </c>
      <c r="I8" s="16"/>
      <c r="J8" s="7" t="s">
        <v>103</v>
      </c>
      <c r="K8" s="17" t="s">
        <v>92</v>
      </c>
      <c r="L8" s="17" t="s">
        <v>91</v>
      </c>
      <c r="M8" s="17" t="s">
        <v>90</v>
      </c>
      <c r="N8" s="17" t="s">
        <v>87</v>
      </c>
      <c r="O8" s="17" t="s">
        <v>86</v>
      </c>
      <c r="P8" s="17" t="s">
        <v>82</v>
      </c>
      <c r="Q8" s="17" t="s">
        <v>100</v>
      </c>
      <c r="R8" s="17" t="s">
        <v>93</v>
      </c>
      <c r="S8" t="s">
        <v>94</v>
      </c>
    </row>
    <row r="9" spans="1:19" x14ac:dyDescent="0.3">
      <c r="A9" s="13" t="s">
        <v>83</v>
      </c>
      <c r="B9" s="8">
        <v>244390.62000000002</v>
      </c>
      <c r="C9" s="8">
        <v>172728.89</v>
      </c>
      <c r="D9" s="8">
        <v>60939.56077733331</v>
      </c>
      <c r="E9" s="8">
        <v>290703.87</v>
      </c>
      <c r="F9" s="8">
        <v>110402.21999999999</v>
      </c>
      <c r="G9" s="8">
        <v>195395.32</v>
      </c>
      <c r="H9" s="14">
        <f>IFERROR(D9/E9,0)</f>
        <v>0.20962762132245888</v>
      </c>
      <c r="I9" s="16"/>
      <c r="J9" s="13" t="s">
        <v>83</v>
      </c>
      <c r="K9" s="8">
        <v>0</v>
      </c>
      <c r="L9" s="8"/>
      <c r="M9" s="8">
        <v>23495.599999999999</v>
      </c>
      <c r="N9" s="8">
        <v>92613.26999999999</v>
      </c>
      <c r="O9" s="8">
        <v>29854.129999999997</v>
      </c>
      <c r="P9" s="8">
        <v>13493.72</v>
      </c>
      <c r="Q9" s="8">
        <v>35938.6</v>
      </c>
      <c r="R9" s="8"/>
      <c r="S9" s="8">
        <v>195395.32</v>
      </c>
    </row>
    <row r="10" spans="1:19" x14ac:dyDescent="0.3">
      <c r="A10" s="13" t="s">
        <v>70</v>
      </c>
      <c r="B10" s="8">
        <v>657326.46999999986</v>
      </c>
      <c r="C10" s="8">
        <v>384039.19</v>
      </c>
      <c r="D10" s="8">
        <v>241395.14976914154</v>
      </c>
      <c r="E10" s="8">
        <v>556059.03999999992</v>
      </c>
      <c r="F10" s="8">
        <v>369991.72</v>
      </c>
      <c r="G10" s="8">
        <v>529742.19999999995</v>
      </c>
      <c r="H10" s="14">
        <f>IFERROR(D10/E10,0)</f>
        <v>0.4341178407406911</v>
      </c>
      <c r="I10" s="16"/>
      <c r="J10" s="13" t="s">
        <v>70</v>
      </c>
      <c r="K10" s="8">
        <v>0</v>
      </c>
      <c r="L10" s="8">
        <v>185431.65</v>
      </c>
      <c r="M10" s="8">
        <v>37792.720000000001</v>
      </c>
      <c r="N10" s="8">
        <v>49403.38</v>
      </c>
      <c r="O10" s="8">
        <v>22958.11</v>
      </c>
      <c r="P10" s="8">
        <v>44175.37</v>
      </c>
      <c r="Q10" s="8">
        <v>189980.96999999997</v>
      </c>
      <c r="R10" s="8"/>
      <c r="S10" s="8">
        <v>529742.19999999995</v>
      </c>
    </row>
    <row r="11" spans="1:19" x14ac:dyDescent="0.3">
      <c r="A11" s="13" t="s">
        <v>69</v>
      </c>
      <c r="B11" s="8">
        <v>2018368.3</v>
      </c>
      <c r="C11" s="8">
        <v>1397419.4099999995</v>
      </c>
      <c r="D11" s="8">
        <v>598551.07984093321</v>
      </c>
      <c r="E11" s="8">
        <v>1790205.4200000002</v>
      </c>
      <c r="F11" s="8">
        <v>507309.04999999993</v>
      </c>
      <c r="G11" s="8">
        <v>670318.69999999995</v>
      </c>
      <c r="H11" s="14">
        <f t="shared" ref="H11:H13" si="0">IFERROR(D11/E11,0)</f>
        <v>0.33434770845511863</v>
      </c>
      <c r="I11" s="16"/>
      <c r="J11" s="13" t="s">
        <v>69</v>
      </c>
      <c r="K11" s="8">
        <v>0</v>
      </c>
      <c r="L11" s="8">
        <v>22777.61</v>
      </c>
      <c r="M11" s="8">
        <v>150562.4</v>
      </c>
      <c r="N11" s="8"/>
      <c r="O11" s="8">
        <v>46575.69</v>
      </c>
      <c r="P11" s="8">
        <v>55079.479999999996</v>
      </c>
      <c r="Q11" s="8">
        <v>395323.51999999996</v>
      </c>
      <c r="R11" s="8"/>
      <c r="S11" s="8">
        <v>670318.69999999995</v>
      </c>
    </row>
    <row r="12" spans="1:19" x14ac:dyDescent="0.3">
      <c r="A12" s="13" t="s">
        <v>75</v>
      </c>
      <c r="B12" s="8">
        <v>897503.47</v>
      </c>
      <c r="C12" s="8">
        <v>609446.39999999991</v>
      </c>
      <c r="D12" s="8">
        <v>426037.72121705546</v>
      </c>
      <c r="E12" s="8">
        <v>1144930.4200000004</v>
      </c>
      <c r="F12" s="8">
        <v>324411.48999999993</v>
      </c>
      <c r="G12" s="8">
        <v>645750.73000000021</v>
      </c>
      <c r="H12" s="14">
        <f t="shared" si="0"/>
        <v>0.37210795850550926</v>
      </c>
      <c r="I12" s="16"/>
      <c r="J12" s="13" t="s">
        <v>75</v>
      </c>
      <c r="K12" s="8">
        <v>0</v>
      </c>
      <c r="L12" s="8"/>
      <c r="M12" s="8">
        <v>40660.490000000005</v>
      </c>
      <c r="N12" s="8">
        <v>15432.3</v>
      </c>
      <c r="O12" s="8">
        <v>120532.40999999997</v>
      </c>
      <c r="P12" s="8">
        <v>44008.76</v>
      </c>
      <c r="Q12" s="8">
        <v>425116.77</v>
      </c>
      <c r="R12" s="8"/>
      <c r="S12" s="8">
        <v>645750.73</v>
      </c>
    </row>
    <row r="13" spans="1:19" x14ac:dyDescent="0.3">
      <c r="A13" s="13" t="s">
        <v>66</v>
      </c>
      <c r="B13" s="8">
        <v>1042873.73</v>
      </c>
      <c r="C13" s="8">
        <v>547980.15999999992</v>
      </c>
      <c r="D13" s="8">
        <v>409455.95687774458</v>
      </c>
      <c r="E13" s="8">
        <v>943982.7</v>
      </c>
      <c r="F13" s="8">
        <v>385299.99</v>
      </c>
      <c r="G13" s="8">
        <v>679258.23999999987</v>
      </c>
      <c r="H13" s="14">
        <f t="shared" si="0"/>
        <v>0.43375366611882255</v>
      </c>
      <c r="I13" s="16"/>
      <c r="J13" s="13" t="s">
        <v>66</v>
      </c>
      <c r="K13" s="8">
        <v>0</v>
      </c>
      <c r="L13" s="8">
        <v>36708.21</v>
      </c>
      <c r="M13" s="8">
        <v>41046.43</v>
      </c>
      <c r="N13" s="8">
        <v>35269</v>
      </c>
      <c r="O13" s="8">
        <v>75575.39</v>
      </c>
      <c r="P13" s="8">
        <v>100583.13</v>
      </c>
      <c r="Q13" s="8">
        <v>390076.07999999996</v>
      </c>
      <c r="R13" s="8"/>
      <c r="S13" s="8">
        <v>679258.24</v>
      </c>
    </row>
    <row r="14" spans="1:19" ht="15" thickBot="1" x14ac:dyDescent="0.35">
      <c r="A14" s="18" t="s">
        <v>113</v>
      </c>
      <c r="B14" s="8"/>
      <c r="C14" s="8"/>
      <c r="D14" s="8"/>
      <c r="E14" s="8"/>
      <c r="F14" s="8"/>
      <c r="G14" s="8"/>
      <c r="I14" s="16"/>
      <c r="J14" s="13" t="s">
        <v>93</v>
      </c>
      <c r="K14" s="8"/>
      <c r="L14" s="8"/>
      <c r="M14" s="8"/>
      <c r="N14" s="8"/>
      <c r="O14" s="8"/>
      <c r="P14" s="8"/>
      <c r="Q14" s="8"/>
      <c r="R14" s="8"/>
      <c r="S14" s="8"/>
    </row>
    <row r="15" spans="1:19" ht="15" customHeight="1" thickBot="1" x14ac:dyDescent="0.35">
      <c r="A15" s="28" t="s">
        <v>107</v>
      </c>
      <c r="B15" s="28">
        <v>4860462.59</v>
      </c>
      <c r="C15" s="28">
        <v>3111614.05</v>
      </c>
      <c r="D15" s="28">
        <v>1736379.4684822082</v>
      </c>
      <c r="E15" s="28">
        <v>4725881.45</v>
      </c>
      <c r="F15" s="28">
        <v>1697414.4699999997</v>
      </c>
      <c r="G15" s="28">
        <v>2720465.19</v>
      </c>
      <c r="H15" s="22">
        <f>D15/E15</f>
        <v>0.36741917605279922</v>
      </c>
      <c r="I15" s="19"/>
      <c r="J15" s="13" t="s">
        <v>94</v>
      </c>
      <c r="K15" s="26">
        <v>0</v>
      </c>
      <c r="L15" s="25">
        <v>244917.47</v>
      </c>
      <c r="M15" s="25">
        <v>293557.64</v>
      </c>
      <c r="N15" s="25">
        <v>192717.94999999998</v>
      </c>
      <c r="O15" s="25">
        <v>295495.73</v>
      </c>
      <c r="P15" s="25">
        <v>257340.46000000002</v>
      </c>
      <c r="Q15" s="25">
        <v>1436435.94</v>
      </c>
      <c r="R15" s="26"/>
      <c r="S15" s="8">
        <v>2720465.19</v>
      </c>
    </row>
  </sheetData>
  <mergeCells count="1">
    <mergeCell ref="K5:Q5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926C-8E00-41A7-B8A5-46ECE3BDB2AD}">
  <dimension ref="A3:W26"/>
  <sheetViews>
    <sheetView showGridLines="0" workbookViewId="0">
      <pane xSplit="3" ySplit="8" topLeftCell="H73" activePane="bottomRight" state="frozen"/>
      <selection pane="topRight" activeCell="D1" sqref="D1"/>
      <selection pane="bottomLeft" activeCell="A8" sqref="A8"/>
      <selection pane="bottomRight" activeCell="K31" sqref="K31"/>
    </sheetView>
  </sheetViews>
  <sheetFormatPr defaultColWidth="11.5546875" defaultRowHeight="14.4" x14ac:dyDescent="0.3"/>
  <cols>
    <col min="1" max="2" width="27.44140625" customWidth="1"/>
    <col min="3" max="3" width="32.88671875" bestFit="1" customWidth="1"/>
    <col min="4" max="4" width="17" bestFit="1" customWidth="1"/>
    <col min="5" max="7" width="14.109375" bestFit="1" customWidth="1"/>
    <col min="8" max="8" width="18.5546875" bestFit="1" customWidth="1"/>
    <col min="9" max="9" width="16.88671875" bestFit="1" customWidth="1"/>
    <col min="10" max="10" width="27.44140625" customWidth="1"/>
    <col min="11" max="11" width="0.44140625" customWidth="1"/>
    <col min="12" max="12" width="16.5546875" hidden="1" customWidth="1"/>
    <col min="13" max="13" width="11.5546875" hidden="1" customWidth="1"/>
    <col min="14" max="14" width="32.77734375" hidden="1" customWidth="1"/>
    <col min="15" max="15" width="27.44140625" hidden="1" customWidth="1"/>
    <col min="16" max="21" width="27.44140625" customWidth="1"/>
    <col min="22" max="22" width="13.77734375" hidden="1" customWidth="1"/>
    <col min="23" max="23" width="14" hidden="1" customWidth="1"/>
  </cols>
  <sheetData>
    <row r="3" spans="1:23" ht="15" thickBot="1" x14ac:dyDescent="0.35"/>
    <row r="4" spans="1:23" ht="15" thickBot="1" x14ac:dyDescent="0.35">
      <c r="O4" s="30" t="s">
        <v>14</v>
      </c>
      <c r="P4" s="31"/>
      <c r="Q4" s="31"/>
      <c r="R4" s="31"/>
      <c r="S4" s="31"/>
      <c r="T4" s="31"/>
      <c r="U4" s="31"/>
    </row>
    <row r="5" spans="1:23" ht="34.950000000000003" customHeight="1" thickBot="1" x14ac:dyDescent="0.35">
      <c r="A5" s="10" t="s">
        <v>2</v>
      </c>
      <c r="B5" s="10" t="s">
        <v>5</v>
      </c>
      <c r="C5" s="10" t="s">
        <v>6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105</v>
      </c>
      <c r="I5" s="10" t="s">
        <v>106</v>
      </c>
      <c r="J5" s="20" t="s">
        <v>99</v>
      </c>
      <c r="K5" s="19"/>
      <c r="L5" t="s">
        <v>2</v>
      </c>
      <c r="M5" t="s">
        <v>5</v>
      </c>
      <c r="N5" t="s">
        <v>6</v>
      </c>
      <c r="O5" s="17" t="s">
        <v>92</v>
      </c>
      <c r="P5" s="17" t="s">
        <v>108</v>
      </c>
      <c r="Q5" s="17" t="s">
        <v>109</v>
      </c>
      <c r="R5" s="17" t="s">
        <v>110</v>
      </c>
      <c r="S5" s="17" t="s">
        <v>111</v>
      </c>
      <c r="T5" s="17" t="s">
        <v>112</v>
      </c>
      <c r="U5" s="17" t="s">
        <v>100</v>
      </c>
      <c r="V5" t="s">
        <v>93</v>
      </c>
      <c r="W5" t="s">
        <v>94</v>
      </c>
    </row>
    <row r="6" spans="1:23" hidden="1" x14ac:dyDescent="0.3"/>
    <row r="7" spans="1:23" hidden="1" x14ac:dyDescent="0.3">
      <c r="K7" s="19"/>
      <c r="L7" s="7" t="s">
        <v>104</v>
      </c>
      <c r="O7" s="7" t="s">
        <v>14</v>
      </c>
    </row>
    <row r="8" spans="1:23" ht="15" hidden="1" thickBot="1" x14ac:dyDescent="0.35">
      <c r="A8" s="23" t="s">
        <v>2</v>
      </c>
      <c r="B8" s="23" t="s">
        <v>5</v>
      </c>
      <c r="C8" s="23" t="s">
        <v>6</v>
      </c>
      <c r="D8" s="12" t="s">
        <v>95</v>
      </c>
      <c r="E8" s="12" t="s">
        <v>96</v>
      </c>
      <c r="F8" s="12" t="s">
        <v>97</v>
      </c>
      <c r="G8" s="12" t="s">
        <v>98</v>
      </c>
      <c r="H8" s="12" t="s">
        <v>105</v>
      </c>
      <c r="I8" s="12" t="s">
        <v>106</v>
      </c>
      <c r="J8" s="20" t="s">
        <v>99</v>
      </c>
      <c r="K8" s="19"/>
      <c r="L8" s="7" t="s">
        <v>2</v>
      </c>
      <c r="M8" s="7" t="s">
        <v>5</v>
      </c>
      <c r="N8" s="7" t="s">
        <v>6</v>
      </c>
      <c r="O8" s="17" t="s">
        <v>92</v>
      </c>
      <c r="P8" s="17" t="s">
        <v>91</v>
      </c>
      <c r="Q8" s="17" t="s">
        <v>90</v>
      </c>
      <c r="R8" s="17" t="s">
        <v>87</v>
      </c>
      <c r="S8" s="17" t="s">
        <v>86</v>
      </c>
      <c r="T8" s="17" t="s">
        <v>82</v>
      </c>
      <c r="U8" s="17" t="s">
        <v>100</v>
      </c>
      <c r="V8" t="s">
        <v>93</v>
      </c>
      <c r="W8" t="s">
        <v>94</v>
      </c>
    </row>
    <row r="9" spans="1:23" x14ac:dyDescent="0.3">
      <c r="A9" t="s">
        <v>83</v>
      </c>
      <c r="B9" t="s">
        <v>84</v>
      </c>
      <c r="C9" t="s">
        <v>85</v>
      </c>
      <c r="D9" s="8">
        <v>73738.540000000008</v>
      </c>
      <c r="E9" s="8">
        <v>62326.67</v>
      </c>
      <c r="F9" s="8">
        <v>4.7500000000000001E-2</v>
      </c>
      <c r="G9" s="8">
        <v>95308.550000000017</v>
      </c>
      <c r="H9" s="8">
        <v>0</v>
      </c>
      <c r="I9" s="8">
        <v>0</v>
      </c>
      <c r="J9" s="14">
        <f>IFERROR(F9/G9,0)</f>
        <v>4.9838130996641952E-7</v>
      </c>
      <c r="K9" s="19"/>
      <c r="L9" t="s">
        <v>83</v>
      </c>
      <c r="M9" t="s">
        <v>84</v>
      </c>
      <c r="N9" t="s">
        <v>85</v>
      </c>
      <c r="O9" s="8">
        <v>0</v>
      </c>
      <c r="P9" s="8"/>
      <c r="Q9" s="8"/>
      <c r="R9" s="8"/>
      <c r="S9" s="8"/>
      <c r="T9" s="8"/>
      <c r="U9" s="8"/>
      <c r="W9">
        <v>0</v>
      </c>
    </row>
    <row r="10" spans="1:23" x14ac:dyDescent="0.3">
      <c r="A10" t="s">
        <v>83</v>
      </c>
      <c r="B10" t="s">
        <v>71</v>
      </c>
      <c r="C10" t="s">
        <v>72</v>
      </c>
      <c r="D10" s="8">
        <v>144316.89000000001</v>
      </c>
      <c r="E10" s="8">
        <v>84067.029999999984</v>
      </c>
      <c r="F10" s="8">
        <v>54000.434977333309</v>
      </c>
      <c r="G10" s="8">
        <v>156950.87</v>
      </c>
      <c r="H10" s="8">
        <v>84067.029999999984</v>
      </c>
      <c r="I10" s="8">
        <v>156950.87</v>
      </c>
      <c r="J10" s="14">
        <f t="shared" ref="J10:J23" si="0">IFERROR(F10/G10,0)</f>
        <v>0.34405948165392974</v>
      </c>
      <c r="K10" s="19"/>
      <c r="L10" t="s">
        <v>83</v>
      </c>
      <c r="M10" t="s">
        <v>71</v>
      </c>
      <c r="N10" t="s">
        <v>72</v>
      </c>
      <c r="O10" s="8"/>
      <c r="P10" s="8"/>
      <c r="Q10" s="8">
        <v>23495.599999999999</v>
      </c>
      <c r="R10" s="8">
        <v>54168.82</v>
      </c>
      <c r="S10" s="8">
        <v>29854.129999999997</v>
      </c>
      <c r="T10" s="8">
        <v>13493.72</v>
      </c>
      <c r="U10" s="8">
        <v>35938.6</v>
      </c>
      <c r="W10">
        <v>156950.87</v>
      </c>
    </row>
    <row r="11" spans="1:23" x14ac:dyDescent="0.3">
      <c r="A11" t="s">
        <v>83</v>
      </c>
      <c r="B11" t="s">
        <v>73</v>
      </c>
      <c r="C11" t="s">
        <v>74</v>
      </c>
      <c r="D11" s="8">
        <v>26335.19</v>
      </c>
      <c r="E11" s="8">
        <v>26335.19</v>
      </c>
      <c r="F11" s="8">
        <v>6939.0783000000001</v>
      </c>
      <c r="G11" s="8">
        <v>38444.449999999997</v>
      </c>
      <c r="H11" s="8">
        <v>26335.19</v>
      </c>
      <c r="I11" s="8">
        <v>38444.449999999997</v>
      </c>
      <c r="J11" s="14">
        <f t="shared" si="0"/>
        <v>0.18049623027511125</v>
      </c>
      <c r="K11" s="19"/>
      <c r="L11" t="s">
        <v>83</v>
      </c>
      <c r="M11" t="s">
        <v>73</v>
      </c>
      <c r="N11" t="s">
        <v>74</v>
      </c>
      <c r="O11" s="8"/>
      <c r="P11" s="8"/>
      <c r="Q11" s="8"/>
      <c r="R11" s="8">
        <v>38444.449999999997</v>
      </c>
      <c r="S11" s="8"/>
      <c r="T11" s="8"/>
      <c r="U11" s="8"/>
      <c r="W11">
        <v>38444.449999999997</v>
      </c>
    </row>
    <row r="12" spans="1:23" x14ac:dyDescent="0.3">
      <c r="A12" t="s">
        <v>70</v>
      </c>
      <c r="B12" t="s">
        <v>67</v>
      </c>
      <c r="C12" t="s">
        <v>68</v>
      </c>
      <c r="D12" s="8">
        <v>26335.19</v>
      </c>
      <c r="E12" s="8">
        <v>17352.87</v>
      </c>
      <c r="F12" s="8">
        <v>29632.639999999999</v>
      </c>
      <c r="G12" s="8">
        <v>29632.639999999999</v>
      </c>
      <c r="H12" s="8">
        <v>17352.87</v>
      </c>
      <c r="I12" s="8">
        <v>29632.639999999999</v>
      </c>
      <c r="J12" s="14">
        <f t="shared" si="0"/>
        <v>1</v>
      </c>
      <c r="K12" s="19"/>
      <c r="L12" t="s">
        <v>70</v>
      </c>
      <c r="M12" t="s">
        <v>67</v>
      </c>
      <c r="N12" t="s">
        <v>68</v>
      </c>
      <c r="O12" s="8"/>
      <c r="P12" s="8"/>
      <c r="Q12" s="8"/>
      <c r="R12" s="8"/>
      <c r="S12" s="8"/>
      <c r="T12" s="8"/>
      <c r="U12" s="8">
        <v>29632.639999999999</v>
      </c>
      <c r="W12">
        <v>29632.639999999999</v>
      </c>
    </row>
    <row r="13" spans="1:23" x14ac:dyDescent="0.3">
      <c r="A13" t="s">
        <v>70</v>
      </c>
      <c r="B13" t="s">
        <v>84</v>
      </c>
      <c r="C13" t="s">
        <v>85</v>
      </c>
      <c r="D13" s="8">
        <v>286526.92000000004</v>
      </c>
      <c r="E13" s="8">
        <v>212928.00999999995</v>
      </c>
      <c r="F13" s="8">
        <v>29244.630249291666</v>
      </c>
      <c r="G13" s="8">
        <v>261151.87</v>
      </c>
      <c r="H13" s="8">
        <v>198880.53999999998</v>
      </c>
      <c r="I13" s="8">
        <v>234835.03</v>
      </c>
      <c r="J13" s="14">
        <f t="shared" si="0"/>
        <v>0.11198323124889616</v>
      </c>
      <c r="K13" s="19"/>
      <c r="L13" t="s">
        <v>70</v>
      </c>
      <c r="M13" t="s">
        <v>84</v>
      </c>
      <c r="N13" t="s">
        <v>85</v>
      </c>
      <c r="O13" s="8">
        <v>0</v>
      </c>
      <c r="P13" s="8">
        <v>185431.65</v>
      </c>
      <c r="Q13" s="8"/>
      <c r="R13" s="8">
        <v>49403.38</v>
      </c>
      <c r="S13" s="8"/>
      <c r="T13" s="8"/>
      <c r="U13" s="8"/>
      <c r="W13">
        <v>234835.03</v>
      </c>
    </row>
    <row r="14" spans="1:23" x14ac:dyDescent="0.3">
      <c r="A14" t="s">
        <v>70</v>
      </c>
      <c r="B14" t="s">
        <v>71</v>
      </c>
      <c r="C14" t="s">
        <v>72</v>
      </c>
      <c r="D14" s="8">
        <v>344464.36</v>
      </c>
      <c r="E14" s="8">
        <v>153758.31000000003</v>
      </c>
      <c r="F14" s="8">
        <v>182517.8795198499</v>
      </c>
      <c r="G14" s="8">
        <v>265274.53000000003</v>
      </c>
      <c r="H14" s="8">
        <v>153758.31000000003</v>
      </c>
      <c r="I14" s="8">
        <v>265274.53000000003</v>
      </c>
      <c r="J14" s="14">
        <f t="shared" si="0"/>
        <v>0.68803393797304957</v>
      </c>
      <c r="K14" s="19"/>
      <c r="L14" t="s">
        <v>70</v>
      </c>
      <c r="M14" t="s">
        <v>71</v>
      </c>
      <c r="N14" t="s">
        <v>72</v>
      </c>
      <c r="O14" s="8"/>
      <c r="P14" s="8"/>
      <c r="Q14" s="8">
        <v>37792.720000000001</v>
      </c>
      <c r="R14" s="8"/>
      <c r="S14" s="8">
        <v>22958.11</v>
      </c>
      <c r="T14" s="8">
        <v>44175.37</v>
      </c>
      <c r="U14" s="8">
        <v>160348.33000000002</v>
      </c>
      <c r="W14">
        <v>265274.53000000003</v>
      </c>
    </row>
    <row r="15" spans="1:23" x14ac:dyDescent="0.3">
      <c r="A15" t="s">
        <v>69</v>
      </c>
      <c r="B15" t="s">
        <v>67</v>
      </c>
      <c r="C15" t="s">
        <v>68</v>
      </c>
      <c r="D15" s="8">
        <v>151943.01</v>
      </c>
      <c r="E15" s="8">
        <v>54682.01</v>
      </c>
      <c r="F15" s="8">
        <v>61882.239999999998</v>
      </c>
      <c r="G15" s="8">
        <v>60203.92</v>
      </c>
      <c r="H15" s="8">
        <v>54682.01</v>
      </c>
      <c r="I15" s="8">
        <v>60203.92</v>
      </c>
      <c r="J15" s="14">
        <f t="shared" si="0"/>
        <v>1.027877254504358</v>
      </c>
      <c r="K15" s="19"/>
      <c r="L15" t="s">
        <v>69</v>
      </c>
      <c r="M15" t="s">
        <v>67</v>
      </c>
      <c r="N15" t="s">
        <v>68</v>
      </c>
      <c r="O15" s="8"/>
      <c r="P15" s="8"/>
      <c r="Q15" s="8"/>
      <c r="R15" s="8"/>
      <c r="S15" s="8"/>
      <c r="T15" s="8"/>
      <c r="U15" s="8">
        <v>60203.92</v>
      </c>
      <c r="W15">
        <v>60203.92</v>
      </c>
    </row>
    <row r="16" spans="1:23" x14ac:dyDescent="0.3">
      <c r="A16" t="s">
        <v>69</v>
      </c>
      <c r="B16" t="s">
        <v>76</v>
      </c>
      <c r="C16" t="s">
        <v>77</v>
      </c>
      <c r="D16" s="8">
        <v>108846.95</v>
      </c>
      <c r="E16" s="8">
        <v>61142.189999999995</v>
      </c>
      <c r="F16" s="8">
        <v>13168.68</v>
      </c>
      <c r="G16" s="8">
        <v>63991.939999999995</v>
      </c>
      <c r="H16" s="8">
        <v>17453.650000000001</v>
      </c>
      <c r="I16" s="8">
        <v>19805.8</v>
      </c>
      <c r="J16" s="14">
        <f t="shared" si="0"/>
        <v>0.20578654124253776</v>
      </c>
      <c r="K16" s="19"/>
      <c r="L16" t="s">
        <v>69</v>
      </c>
      <c r="M16" t="s">
        <v>76</v>
      </c>
      <c r="N16" t="s">
        <v>77</v>
      </c>
      <c r="O16" s="8">
        <v>0</v>
      </c>
      <c r="P16" s="8"/>
      <c r="Q16" s="8">
        <v>5604.63</v>
      </c>
      <c r="R16" s="8"/>
      <c r="S16" s="8"/>
      <c r="T16" s="8"/>
      <c r="U16" s="8">
        <v>14201.17</v>
      </c>
      <c r="W16">
        <v>19805.8</v>
      </c>
    </row>
    <row r="17" spans="1:23" x14ac:dyDescent="0.3">
      <c r="A17" t="s">
        <v>69</v>
      </c>
      <c r="B17" t="s">
        <v>84</v>
      </c>
      <c r="C17" t="s">
        <v>85</v>
      </c>
      <c r="D17" s="8">
        <v>1555324.0299999998</v>
      </c>
      <c r="E17" s="8">
        <v>1186820.6499999999</v>
      </c>
      <c r="F17" s="8">
        <v>423567.13519826671</v>
      </c>
      <c r="G17" s="8">
        <v>1483842.5300000003</v>
      </c>
      <c r="H17" s="8">
        <v>356199.94</v>
      </c>
      <c r="I17" s="8">
        <v>437745.83</v>
      </c>
      <c r="J17" s="14">
        <f t="shared" si="0"/>
        <v>0.28545288777931621</v>
      </c>
      <c r="K17" s="19"/>
      <c r="L17" t="s">
        <v>69</v>
      </c>
      <c r="M17" t="s">
        <v>84</v>
      </c>
      <c r="N17" t="s">
        <v>85</v>
      </c>
      <c r="O17" s="8">
        <v>0</v>
      </c>
      <c r="P17" s="8">
        <v>5693.01</v>
      </c>
      <c r="Q17" s="8">
        <v>141795.13</v>
      </c>
      <c r="R17" s="8"/>
      <c r="S17" s="8">
        <v>12448.69</v>
      </c>
      <c r="T17" s="8"/>
      <c r="U17" s="8">
        <v>277809</v>
      </c>
      <c r="W17">
        <v>437745.83</v>
      </c>
    </row>
    <row r="18" spans="1:23" x14ac:dyDescent="0.3">
      <c r="A18" t="s">
        <v>69</v>
      </c>
      <c r="B18" t="s">
        <v>80</v>
      </c>
      <c r="C18" t="s">
        <v>81</v>
      </c>
      <c r="D18" s="8">
        <v>202254.31</v>
      </c>
      <c r="E18" s="8">
        <v>94774.559999999983</v>
      </c>
      <c r="F18" s="8">
        <v>99933.024642666671</v>
      </c>
      <c r="G18" s="8">
        <v>182167.03000000003</v>
      </c>
      <c r="H18" s="8">
        <v>78973.449999999983</v>
      </c>
      <c r="I18" s="8">
        <v>152563.15000000002</v>
      </c>
      <c r="J18" s="14">
        <f t="shared" si="0"/>
        <v>0.54857909602339483</v>
      </c>
      <c r="K18" s="19"/>
      <c r="L18" t="s">
        <v>69</v>
      </c>
      <c r="M18" t="s">
        <v>80</v>
      </c>
      <c r="N18" t="s">
        <v>81</v>
      </c>
      <c r="O18" s="8">
        <v>0</v>
      </c>
      <c r="P18" s="8">
        <v>17084.599999999999</v>
      </c>
      <c r="Q18" s="8">
        <v>3162.64</v>
      </c>
      <c r="R18" s="8"/>
      <c r="S18" s="8">
        <v>34127</v>
      </c>
      <c r="T18" s="8">
        <v>55079.479999999996</v>
      </c>
      <c r="U18" s="8">
        <v>43109.43</v>
      </c>
      <c r="W18">
        <v>152563.15</v>
      </c>
    </row>
    <row r="19" spans="1:23" x14ac:dyDescent="0.3">
      <c r="A19" t="s">
        <v>75</v>
      </c>
      <c r="B19" t="s">
        <v>84</v>
      </c>
      <c r="C19" t="s">
        <v>85</v>
      </c>
      <c r="D19" s="8">
        <v>303381.44999999995</v>
      </c>
      <c r="E19" s="8">
        <v>171091.30999999997</v>
      </c>
      <c r="F19" s="8">
        <v>8753.5815325777767</v>
      </c>
      <c r="G19" s="8">
        <v>285620.75999999995</v>
      </c>
      <c r="H19" s="8">
        <v>12289.76</v>
      </c>
      <c r="I19" s="8">
        <v>18897.54</v>
      </c>
      <c r="J19" s="14">
        <f t="shared" si="0"/>
        <v>3.0647567538780368E-2</v>
      </c>
      <c r="K19" s="19"/>
      <c r="L19" t="s">
        <v>75</v>
      </c>
      <c r="M19" t="s">
        <v>84</v>
      </c>
      <c r="N19" t="s">
        <v>85</v>
      </c>
      <c r="O19" s="8">
        <v>0</v>
      </c>
      <c r="P19" s="8"/>
      <c r="Q19" s="8">
        <v>18897.54</v>
      </c>
      <c r="R19" s="8"/>
      <c r="S19" s="8"/>
      <c r="T19" s="8"/>
      <c r="U19" s="8"/>
      <c r="W19">
        <v>18897.54</v>
      </c>
    </row>
    <row r="20" spans="1:23" x14ac:dyDescent="0.3">
      <c r="A20" t="s">
        <v>75</v>
      </c>
      <c r="B20" t="s">
        <v>78</v>
      </c>
      <c r="C20" t="s">
        <v>79</v>
      </c>
      <c r="D20" s="8">
        <v>581481.12999999989</v>
      </c>
      <c r="E20" s="8">
        <v>426767.60999999993</v>
      </c>
      <c r="F20" s="8">
        <v>417284.13968447776</v>
      </c>
      <c r="G20" s="8">
        <v>837600.1100000001</v>
      </c>
      <c r="H20" s="8">
        <v>312121.72999999992</v>
      </c>
      <c r="I20" s="8">
        <v>626853.19000000018</v>
      </c>
      <c r="J20" s="14">
        <f t="shared" si="0"/>
        <v>0.49819016819909168</v>
      </c>
      <c r="K20" s="19"/>
      <c r="L20" t="s">
        <v>75</v>
      </c>
      <c r="M20" t="s">
        <v>78</v>
      </c>
      <c r="N20" t="s">
        <v>79</v>
      </c>
      <c r="O20" s="8">
        <v>0</v>
      </c>
      <c r="P20" s="8"/>
      <c r="Q20" s="8">
        <v>21762.95</v>
      </c>
      <c r="R20" s="8">
        <v>15432.3</v>
      </c>
      <c r="S20" s="8">
        <v>120532.40999999997</v>
      </c>
      <c r="T20" s="8">
        <v>44008.76</v>
      </c>
      <c r="U20" s="8">
        <v>425116.77</v>
      </c>
      <c r="W20">
        <v>626853.18999999994</v>
      </c>
    </row>
    <row r="21" spans="1:23" x14ac:dyDescent="0.3">
      <c r="A21" t="s">
        <v>75</v>
      </c>
      <c r="B21" t="s">
        <v>88</v>
      </c>
      <c r="C21" t="s">
        <v>89</v>
      </c>
      <c r="D21" s="8">
        <v>12640.89</v>
      </c>
      <c r="E21" s="8">
        <v>11587.48</v>
      </c>
      <c r="F21" s="8">
        <v>0</v>
      </c>
      <c r="G21" s="8">
        <v>21709.55</v>
      </c>
      <c r="H21" s="8">
        <v>0</v>
      </c>
      <c r="I21" s="8">
        <v>0</v>
      </c>
      <c r="J21" s="14">
        <f t="shared" si="0"/>
        <v>0</v>
      </c>
      <c r="K21" s="19"/>
      <c r="L21" t="s">
        <v>75</v>
      </c>
      <c r="M21" t="s">
        <v>88</v>
      </c>
      <c r="N21" t="s">
        <v>89</v>
      </c>
      <c r="O21" s="8">
        <v>0</v>
      </c>
      <c r="P21" s="8"/>
      <c r="Q21" s="8"/>
      <c r="R21" s="8"/>
      <c r="S21" s="8"/>
      <c r="T21" s="8"/>
      <c r="U21" s="8"/>
      <c r="W21">
        <v>0</v>
      </c>
    </row>
    <row r="22" spans="1:23" x14ac:dyDescent="0.3">
      <c r="A22" t="s">
        <v>66</v>
      </c>
      <c r="B22" t="s">
        <v>67</v>
      </c>
      <c r="C22" t="s">
        <v>68</v>
      </c>
      <c r="D22" s="8">
        <v>131675.97999999998</v>
      </c>
      <c r="E22" s="8">
        <v>72506.52</v>
      </c>
      <c r="F22" s="8">
        <v>115484.01999999999</v>
      </c>
      <c r="G22" s="8">
        <v>115484.02</v>
      </c>
      <c r="H22" s="8">
        <v>72506.52</v>
      </c>
      <c r="I22" s="8">
        <v>115484.02</v>
      </c>
      <c r="J22" s="14">
        <f t="shared" si="0"/>
        <v>0.99999999999999989</v>
      </c>
      <c r="K22" s="19"/>
      <c r="L22" t="s">
        <v>66</v>
      </c>
      <c r="M22" t="s">
        <v>67</v>
      </c>
      <c r="N22" t="s">
        <v>68</v>
      </c>
      <c r="O22" s="8"/>
      <c r="P22" s="8"/>
      <c r="Q22" s="8"/>
      <c r="R22" s="8"/>
      <c r="S22" s="8"/>
      <c r="T22" s="8"/>
      <c r="U22" s="8">
        <v>115484.02</v>
      </c>
      <c r="W22">
        <v>115484.02</v>
      </c>
    </row>
    <row r="23" spans="1:23" x14ac:dyDescent="0.3">
      <c r="A23" t="s">
        <v>66</v>
      </c>
      <c r="B23" t="s">
        <v>84</v>
      </c>
      <c r="C23" t="s">
        <v>85</v>
      </c>
      <c r="D23" s="8">
        <v>346571.19</v>
      </c>
      <c r="E23" s="8">
        <v>179798.05</v>
      </c>
      <c r="F23" s="8">
        <v>12662.417828266667</v>
      </c>
      <c r="G23" s="8">
        <v>301432.67000000004</v>
      </c>
      <c r="H23" s="8">
        <v>17117.88</v>
      </c>
      <c r="I23" s="8">
        <v>36708.21</v>
      </c>
      <c r="J23" s="14">
        <f t="shared" si="0"/>
        <v>4.2007450049348222E-2</v>
      </c>
      <c r="K23" s="19"/>
      <c r="L23" t="s">
        <v>66</v>
      </c>
      <c r="M23" t="s">
        <v>84</v>
      </c>
      <c r="N23" t="s">
        <v>85</v>
      </c>
      <c r="O23" s="8">
        <v>0</v>
      </c>
      <c r="P23" s="8">
        <v>36708.21</v>
      </c>
      <c r="Q23" s="8"/>
      <c r="R23" s="8"/>
      <c r="S23" s="8"/>
      <c r="T23" s="8"/>
      <c r="U23" s="8"/>
      <c r="W23">
        <v>36708.21</v>
      </c>
    </row>
    <row r="24" spans="1:23" x14ac:dyDescent="0.3">
      <c r="A24" t="s">
        <v>66</v>
      </c>
      <c r="B24" t="s">
        <v>73</v>
      </c>
      <c r="C24" t="s">
        <v>74</v>
      </c>
      <c r="D24" s="8">
        <v>564626.55999999994</v>
      </c>
      <c r="E24" s="8">
        <v>295675.59000000003</v>
      </c>
      <c r="F24" s="8">
        <v>281309.51904947788</v>
      </c>
      <c r="G24" s="8">
        <v>527066.00999999989</v>
      </c>
      <c r="H24" s="8">
        <v>295675.59000000003</v>
      </c>
      <c r="I24" s="8">
        <v>527066.00999999989</v>
      </c>
      <c r="J24" s="14">
        <f>IFERROR(F24/G24,0)</f>
        <v>0.53372730115811862</v>
      </c>
      <c r="K24" s="19"/>
      <c r="L24" t="s">
        <v>66</v>
      </c>
      <c r="M24" t="s">
        <v>73</v>
      </c>
      <c r="N24" t="s">
        <v>74</v>
      </c>
      <c r="O24" s="8"/>
      <c r="P24" s="8"/>
      <c r="Q24" s="8">
        <v>41046.43</v>
      </c>
      <c r="R24" s="8">
        <v>35269</v>
      </c>
      <c r="S24" s="8">
        <v>75575.39</v>
      </c>
      <c r="T24" s="8">
        <v>100583.13</v>
      </c>
      <c r="U24" s="8">
        <v>274592.06</v>
      </c>
      <c r="W24">
        <v>527066.01</v>
      </c>
    </row>
    <row r="25" spans="1:23" ht="15" customHeight="1" thickBot="1" x14ac:dyDescent="0.35">
      <c r="A25" s="21" t="s">
        <v>113</v>
      </c>
      <c r="B25" s="21" t="s">
        <v>113</v>
      </c>
      <c r="C25" s="21" t="s">
        <v>113</v>
      </c>
      <c r="K25" s="19"/>
      <c r="L25" t="s">
        <v>93</v>
      </c>
      <c r="M25" t="s">
        <v>93</v>
      </c>
      <c r="N25" t="s">
        <v>93</v>
      </c>
    </row>
    <row r="26" spans="1:23" ht="15" thickBot="1" x14ac:dyDescent="0.35">
      <c r="A26" s="29" t="s">
        <v>107</v>
      </c>
      <c r="B26" s="29"/>
      <c r="C26" s="29"/>
      <c r="D26" s="28">
        <v>4860462.59</v>
      </c>
      <c r="E26" s="28">
        <v>3111614.0499999993</v>
      </c>
      <c r="F26" s="28">
        <v>1736379.4684822084</v>
      </c>
      <c r="G26" s="28">
        <v>4725881.45</v>
      </c>
      <c r="H26" s="28">
        <v>1697414.47</v>
      </c>
      <c r="I26" s="28">
        <v>2720465.19</v>
      </c>
      <c r="J26" s="22">
        <f>I31</f>
        <v>0</v>
      </c>
      <c r="K26" s="19"/>
      <c r="L26" t="s">
        <v>94</v>
      </c>
      <c r="O26" s="26">
        <v>0</v>
      </c>
      <c r="P26" s="25">
        <v>244917.47</v>
      </c>
      <c r="Q26" s="25">
        <v>293557.64000000007</v>
      </c>
      <c r="R26" s="25">
        <v>192717.94999999998</v>
      </c>
      <c r="S26" s="25">
        <v>295495.73</v>
      </c>
      <c r="T26" s="25">
        <v>257340.46000000002</v>
      </c>
      <c r="U26" s="25">
        <v>1436435.94</v>
      </c>
      <c r="V26" s="8"/>
      <c r="W26" s="8">
        <v>2720465.1899999995</v>
      </c>
    </row>
  </sheetData>
  <mergeCells count="1">
    <mergeCell ref="O4:U4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Q9"/>
  <sheetViews>
    <sheetView workbookViewId="0">
      <pane ySplit="2" topLeftCell="A3" activePane="bottomLeft" state="frozen"/>
      <selection pane="bottomLeft" activeCell="C14" sqref="C14"/>
    </sheetView>
  </sheetViews>
  <sheetFormatPr defaultColWidth="8.88671875" defaultRowHeight="14.4" x14ac:dyDescent="0.3"/>
  <cols>
    <col min="1" max="1" width="19" customWidth="1"/>
    <col min="2" max="2" width="22" customWidth="1"/>
    <col min="3" max="3" width="16" customWidth="1"/>
    <col min="4" max="4" width="17" customWidth="1"/>
    <col min="5" max="5" width="34" customWidth="1"/>
    <col min="6" max="6" width="20" customWidth="1"/>
    <col min="7" max="7" width="34" customWidth="1"/>
    <col min="8" max="8" width="7" customWidth="1"/>
    <col min="9" max="9" width="41" customWidth="1"/>
    <col min="10" max="11" width="21" customWidth="1"/>
    <col min="12" max="13" width="20" customWidth="1"/>
    <col min="14" max="14" width="14" customWidth="1"/>
    <col min="15" max="15" width="9.33203125" bestFit="1" customWidth="1"/>
    <col min="16" max="16" width="19" customWidth="1"/>
    <col min="17" max="17" width="14" customWidth="1"/>
    <col min="18" max="18" width="36" customWidth="1"/>
    <col min="19" max="19" width="18" customWidth="1"/>
    <col min="20" max="20" width="39" customWidth="1"/>
    <col min="21" max="21" width="16" customWidth="1"/>
    <col min="22" max="22" width="19" customWidth="1"/>
    <col min="23" max="24" width="20" customWidth="1"/>
    <col min="25" max="26" width="23" customWidth="1"/>
    <col min="27" max="27" width="24" customWidth="1"/>
    <col min="28" max="29" width="20" customWidth="1"/>
    <col min="30" max="30" width="21" customWidth="1"/>
    <col min="31" max="31" width="24" customWidth="1"/>
    <col min="32" max="32" width="18" customWidth="1"/>
    <col min="33" max="33" width="44" customWidth="1"/>
    <col min="34" max="34" width="20" customWidth="1"/>
    <col min="35" max="35" width="50" customWidth="1"/>
    <col min="36" max="36" width="32" customWidth="1"/>
    <col min="37" max="37" width="36" customWidth="1"/>
    <col min="38" max="38" width="18" customWidth="1"/>
    <col min="39" max="39" width="35" customWidth="1"/>
    <col min="40" max="40" width="22" customWidth="1"/>
    <col min="41" max="41" width="37" customWidth="1"/>
    <col min="42" max="42" width="22" customWidth="1"/>
    <col min="43" max="43" width="37" customWidth="1"/>
    <col min="44" max="44" width="27" customWidth="1"/>
    <col min="45" max="45" width="20" customWidth="1"/>
    <col min="46" max="47" width="50" customWidth="1"/>
    <col min="48" max="48" width="20" customWidth="1"/>
    <col min="49" max="49" width="50" customWidth="1"/>
    <col min="50" max="50" width="37" customWidth="1"/>
    <col min="51" max="52" width="20" customWidth="1"/>
    <col min="53" max="53" width="23" customWidth="1"/>
    <col min="54" max="54" width="48" customWidth="1"/>
    <col min="55" max="55" width="40" customWidth="1"/>
    <col min="56" max="56" width="39" customWidth="1"/>
    <col min="57" max="57" width="20" customWidth="1"/>
    <col min="58" max="58" width="25" customWidth="1"/>
    <col min="59" max="59" width="32" customWidth="1"/>
    <col min="60" max="60" width="25" customWidth="1"/>
    <col min="61" max="61" width="19" customWidth="1"/>
    <col min="62" max="62" width="31" customWidth="1"/>
    <col min="63" max="64" width="12" customWidth="1"/>
    <col min="65" max="65" width="27" customWidth="1"/>
    <col min="66" max="66" width="19" customWidth="1"/>
    <col min="67" max="67" width="19.44140625" bestFit="1" customWidth="1"/>
    <col min="68" max="68" width="17.6640625" bestFit="1" customWidth="1"/>
    <col min="69" max="69" width="10.5546875" bestFit="1" customWidth="1"/>
  </cols>
  <sheetData>
    <row r="2" spans="1:69" ht="34.950000000000003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2" t="s">
        <v>102</v>
      </c>
      <c r="BP2" s="12" t="s">
        <v>101</v>
      </c>
      <c r="BQ2" s="12" t="s">
        <v>99</v>
      </c>
    </row>
    <row r="3" spans="1:69" x14ac:dyDescent="0.3">
      <c r="A3" s="3"/>
      <c r="J3" s="4"/>
      <c r="K3" s="4"/>
      <c r="L3" s="5"/>
      <c r="M3" s="5"/>
      <c r="T3" s="5"/>
      <c r="U3" s="5"/>
      <c r="W3" s="5"/>
      <c r="X3" s="5"/>
      <c r="Y3" s="5"/>
      <c r="Z3" s="5"/>
      <c r="AA3" s="5"/>
      <c r="AB3" s="5"/>
      <c r="AC3" s="5"/>
      <c r="AD3" s="4"/>
      <c r="AY3" s="5"/>
      <c r="AZ3" s="5"/>
      <c r="BH3" s="6"/>
      <c r="BN3" s="3"/>
      <c r="BO3" s="5"/>
      <c r="BP3" s="5"/>
      <c r="BQ3" s="24"/>
    </row>
    <row r="8" spans="1:69" x14ac:dyDescent="0.3">
      <c r="AY8" s="15"/>
      <c r="AZ8" s="9"/>
    </row>
    <row r="9" spans="1:69" x14ac:dyDescent="0.3">
      <c r="AY9" s="15"/>
    </row>
  </sheetData>
  <conditionalFormatting sqref="N3">
    <cfRule type="colorScale" priority="2">
      <colorScale>
        <cfvo type="min"/>
        <cfvo type="percentile" val="50"/>
        <cfvo type="max"/>
        <color rgb="FF7AB800"/>
        <color rgb="FFFFEB84"/>
        <color rgb="FFFF6464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X_Coordinación</vt:lpstr>
      <vt:lpstr>X_Recuperador</vt:lpstr>
      <vt:lpstr>R_Completo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Uzziel Valdez Ordoñez</cp:lastModifiedBy>
  <dcterms:created xsi:type="dcterms:W3CDTF">2025-11-12T17:01:44Z</dcterms:created>
  <dcterms:modified xsi:type="dcterms:W3CDTF">2026-01-03T19:06:51Z</dcterms:modified>
</cp:coreProperties>
</file>