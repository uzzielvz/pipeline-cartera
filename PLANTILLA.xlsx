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zzie\Documents\Jale\automatizador-crediflexi\"/>
    </mc:Choice>
  </mc:AlternateContent>
  <xr:revisionPtr revIDLastSave="0" documentId="13_ncr:1_{CA293DB9-3C82-4975-9051-4200746F58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X_Coordinación" sheetId="19" r:id="rId1"/>
    <sheet name="X_Recuperador" sheetId="20" r:id="rId2"/>
    <sheet name="R_Completo" sheetId="1" r:id="rId3"/>
  </sheets>
  <definedNames>
    <definedName name="_xlnm._FilterDatabase" localSheetId="0" hidden="1">X_Coordinación!$A$6:$H$6</definedName>
  </definedNames>
  <calcPr calcId="191029"/>
  <pivotCaches>
    <pivotCache cacheId="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9" l="1"/>
  <c r="H10" i="19"/>
  <c r="H11" i="19"/>
  <c r="H12" i="19"/>
  <c r="H13" i="19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H15" i="19"/>
  <c r="J26" i="20"/>
</calcChain>
</file>

<file path=xl/sharedStrings.xml><?xml version="1.0" encoding="utf-8"?>
<sst xmlns="http://schemas.openxmlformats.org/spreadsheetml/2006/main" count="153" uniqueCount="90">
  <si>
    <t>Código acreditado</t>
  </si>
  <si>
    <t>Nom. región</t>
  </si>
  <si>
    <t>Coordinación</t>
  </si>
  <si>
    <t>Código promotor</t>
  </si>
  <si>
    <t>Nombre promotor</t>
  </si>
  <si>
    <t>Código recuperador</t>
  </si>
  <si>
    <t>Nombre recuperador</t>
  </si>
  <si>
    <t>Ciclo</t>
  </si>
  <si>
    <t>Nombre acreditado</t>
  </si>
  <si>
    <t>Inicio ciclo</t>
  </si>
  <si>
    <t>Fin ciclo</t>
  </si>
  <si>
    <t>Cantidad entregada</t>
  </si>
  <si>
    <t>Cantidad Prestada</t>
  </si>
  <si>
    <t>Días de mora</t>
  </si>
  <si>
    <t>PAR</t>
  </si>
  <si>
    <t>Plazo del crédito</t>
  </si>
  <si>
    <t>Periodicidad</t>
  </si>
  <si>
    <t>Parcialidad + Parcialidad comisión</t>
  </si>
  <si>
    <t>Comisión a pagar</t>
  </si>
  <si>
    <t>Interés moratorio saldo vencido total</t>
  </si>
  <si>
    <t>Pagos vencidos</t>
  </si>
  <si>
    <t>Periodos vencidos</t>
  </si>
  <si>
    <t>Saldo capital</t>
  </si>
  <si>
    <t>Saldo vencido</t>
  </si>
  <si>
    <t>Saldo capital vencido</t>
  </si>
  <si>
    <t>Saldo interés vencido</t>
  </si>
  <si>
    <t>Saldo comisión vencida</t>
  </si>
  <si>
    <t>Saldo recargos</t>
  </si>
  <si>
    <t>$ Último pago</t>
  </si>
  <si>
    <t>Último pago</t>
  </si>
  <si>
    <t>Situación crédito</t>
  </si>
  <si>
    <t>Medio comunic. 1</t>
  </si>
  <si>
    <t>Medio comunic. 2</t>
  </si>
  <si>
    <t>Medio comunic. 3</t>
  </si>
  <si>
    <t>Actividad económica PLD</t>
  </si>
  <si>
    <t>Código actividad económica PLD</t>
  </si>
  <si>
    <t>Nombre conyuge</t>
  </si>
  <si>
    <t>Teléfono conyuge</t>
  </si>
  <si>
    <t>Nombre Referencia1</t>
  </si>
  <si>
    <t>Teléfono Referencia1</t>
  </si>
  <si>
    <t>Nombre Referencia2</t>
  </si>
  <si>
    <t>Teléfono Referencia2</t>
  </si>
  <si>
    <t>Nombre Referencia3</t>
  </si>
  <si>
    <t>Teléfono Referencia3</t>
  </si>
  <si>
    <t>Tipo Garantía 1</t>
  </si>
  <si>
    <t>Descripción garantía 1</t>
  </si>
  <si>
    <t>Garantía 1</t>
  </si>
  <si>
    <t>Tipo Garantía 2</t>
  </si>
  <si>
    <t>Descripción garantía 2</t>
  </si>
  <si>
    <t>Garantía 2</t>
  </si>
  <si>
    <t>Saldo total</t>
  </si>
  <si>
    <t>Saldo adelantado</t>
  </si>
  <si>
    <t>Cód. producto crédito</t>
  </si>
  <si>
    <t>Nom. producto crédito</t>
  </si>
  <si>
    <t>Calle</t>
  </si>
  <si>
    <t>Colonia</t>
  </si>
  <si>
    <t>Entidad federativa</t>
  </si>
  <si>
    <t>Municipio</t>
  </si>
  <si>
    <t>Geolocalización domicilio</t>
  </si>
  <si>
    <t>Link de Geolocalización</t>
  </si>
  <si>
    <t>Castigado cartera</t>
  </si>
  <si>
    <t>Nom. personal castiga cartera</t>
  </si>
  <si>
    <t>Frecuencia</t>
  </si>
  <si>
    <t>Criticidad</t>
  </si>
  <si>
    <t>Forma de entrega</t>
  </si>
  <si>
    <t>Concepto Depósito</t>
  </si>
  <si>
    <t>0</t>
  </si>
  <si>
    <t>(en blanco)</t>
  </si>
  <si>
    <t>Total general</t>
  </si>
  <si>
    <t>Cantidad
Prestada</t>
  </si>
  <si>
    <t>Saldo
Capital</t>
  </si>
  <si>
    <t>Saldo
Vencido</t>
  </si>
  <si>
    <t>Saldo
Total</t>
  </si>
  <si>
    <t>% MORA</t>
  </si>
  <si>
    <t>Mayor_90</t>
  </si>
  <si>
    <t>Saldo riesgo total</t>
  </si>
  <si>
    <t>Saldo riesgo capital</t>
  </si>
  <si>
    <t>Etiquetas de fila</t>
  </si>
  <si>
    <t>Suma de Saldo riesgo total</t>
  </si>
  <si>
    <t>Saldo
Riesgo Capital</t>
  </si>
  <si>
    <t>Saldo
Riesgo Total</t>
  </si>
  <si>
    <t>Total</t>
  </si>
  <si>
    <t>1-7 días</t>
  </si>
  <si>
    <t>8-15 días</t>
  </si>
  <si>
    <t>16-30 días</t>
  </si>
  <si>
    <t>31-60 días</t>
  </si>
  <si>
    <t>61-90 días</t>
  </si>
  <si>
    <t>(blank)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</si>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</sst>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\$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rgb="FF0000FF"/>
      <name val="Calibri"/>
      <family val="2"/>
    </font>
    <font>
      <sz val="11"/>
      <color theme="1"/>
      <name val="Calibri"/>
      <family val="2"/>
      <scheme val="minor"/>
    </font>
    <font>
      <b/>
      <sz val="10"/>
      <color rgb="FF000066"/>
      <name val="Arial"/>
      <family val="2"/>
    </font>
    <font>
      <sz val="11"/>
      <color theme="0"/>
      <name val="Calibri"/>
      <family val="2"/>
      <scheme val="minor"/>
    </font>
    <font>
      <b/>
      <sz val="10"/>
      <color rgb="FF000066"/>
      <name val="Arial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indexed="18"/>
      </top>
      <bottom style="medium">
        <color indexed="18"/>
      </bottom>
      <diagonal/>
    </border>
  </borders>
  <cellStyleXfs count="4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49" fontId="0" fillId="0" borderId="0" xfId="0" applyNumberFormat="1"/>
    <xf numFmtId="14" fontId="0" fillId="0" borderId="0" xfId="0" applyNumberFormat="1"/>
    <xf numFmtId="166" fontId="0" fillId="0" borderId="0" xfId="0" applyNumberFormat="1"/>
    <xf numFmtId="0" fontId="2" fillId="0" borderId="0" xfId="0" applyFont="1"/>
    <xf numFmtId="0" fontId="0" fillId="0" borderId="0" xfId="0" pivotButton="1"/>
    <xf numFmtId="165" fontId="0" fillId="0" borderId="0" xfId="0" applyNumberFormat="1"/>
    <xf numFmtId="9" fontId="0" fillId="0" borderId="0" xfId="2" applyFont="1"/>
    <xf numFmtId="0" fontId="4" fillId="3" borderId="2" xfId="0" applyFont="1" applyFill="1" applyBorder="1" applyAlignment="1">
      <alignment horizontal="center" vertical="center" wrapText="1"/>
    </xf>
    <xf numFmtId="165" fontId="4" fillId="4" borderId="3" xfId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10" fontId="0" fillId="0" borderId="0" xfId="2" applyNumberFormat="1" applyFont="1"/>
    <xf numFmtId="164" fontId="0" fillId="0" borderId="0" xfId="0" applyNumberFormat="1"/>
    <xf numFmtId="0" fontId="0" fillId="5" borderId="0" xfId="0" applyFill="1"/>
    <xf numFmtId="0" fontId="4" fillId="3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0" fillId="6" borderId="0" xfId="0" applyFill="1"/>
    <xf numFmtId="165" fontId="4" fillId="4" borderId="3" xfId="1" applyFont="1" applyFill="1" applyBorder="1" applyAlignment="1">
      <alignment horizontal="center" vertical="top" wrapText="1"/>
    </xf>
    <xf numFmtId="0" fontId="5" fillId="0" borderId="0" xfId="0" applyFont="1"/>
    <xf numFmtId="10" fontId="4" fillId="3" borderId="4" xfId="2" applyNumberFormat="1" applyFont="1" applyFill="1" applyBorder="1"/>
    <xf numFmtId="0" fontId="0" fillId="0" borderId="0" xfId="0" pivotButton="1" applyAlignment="1">
      <alignment vertical="top"/>
    </xf>
    <xf numFmtId="10" fontId="0" fillId="0" borderId="0" xfId="0" applyNumberFormat="1"/>
    <xf numFmtId="0" fontId="6" fillId="3" borderId="0" xfId="0" applyFont="1" applyFill="1" applyAlignment="1">
      <alignment horizontal="center" vertical="center" wrapText="1"/>
    </xf>
    <xf numFmtId="165" fontId="6" fillId="3" borderId="0" xfId="0" applyNumberFormat="1" applyFont="1" applyFill="1"/>
    <xf numFmtId="0" fontId="6" fillId="3" borderId="0" xfId="0" applyFont="1" applyFill="1"/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</cellXfs>
  <cellStyles count="4">
    <cellStyle name="Currency" xfId="1" builtinId="4"/>
    <cellStyle name="Normal" xfId="0" builtinId="0"/>
    <cellStyle name="Normal 18" xfId="3" xr:uid="{2A504B10-7F54-4E2D-B0E4-83871B6AC25A}"/>
    <cellStyle name="Percent" xfId="2" builtinId="5"/>
  </cellStyles>
  <dxfs count="116">
    <dxf>
      <alignment vertical="top"/>
    </dxf>
    <dxf>
      <alignment vertical="top"/>
    </dxf>
    <dxf>
      <alignment vertical="top"/>
    </dxf>
    <dxf>
      <alignment vertical="top"/>
    </dxf>
    <dxf>
      <font>
        <color theme="0"/>
      </font>
    </dxf>
    <dxf>
      <font>
        <color theme="0"/>
      </font>
    </dxf>
    <dxf>
      <font>
        <color theme="0"/>
      </font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30" formatCode="@"/>
    </dxf>
    <dxf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0" formatCode="General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alignment horizontal="center" vertical="center" wrapText="1"/>
    </dxf>
    <dxf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ont>
        <b/>
        <sz val="10"/>
        <color rgb="FF000066"/>
        <name val="Arial"/>
        <scheme val="none"/>
      </font>
      <alignment horizontal="center" wrapText="1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alignment horizontal="center" wrapText="1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color theme="0"/>
      </font>
    </dxf>
    <dxf>
      <numFmt numFmtId="0" formatCode="General"/>
      <alignment horizontal="center" vertical="center" wrapText="1"/>
    </dxf>
    <dxf>
      <numFmt numFmtId="14" formatCode="0.00%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30" formatCode="@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14" formatCode="0.00%"/>
    </dxf>
    <dxf>
      <numFmt numFmtId="166" formatCode="\$#,##0.00"/>
    </dxf>
    <dxf>
      <numFmt numFmtId="166" formatCode="\$#,##0.0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family val="2"/>
        <scheme val="none"/>
      </font>
    </dxf>
    <dxf>
      <numFmt numFmtId="166" formatCode="\$#,##0.00"/>
    </dxf>
    <dxf>
      <numFmt numFmtId="166" formatCode="\$#,##0.00"/>
    </dxf>
    <dxf>
      <numFmt numFmtId="167" formatCode="dd/mm/yyyy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7" formatCode="dd/mm/yyyy"/>
    </dxf>
    <dxf>
      <numFmt numFmtId="167" formatCode="dd/mm/yyyy"/>
    </dxf>
    <dxf>
      <numFmt numFmtId="30" formatCode="@"/>
    </dxf>
    <dxf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_-&quot;$&quot;* #,##0.00_-;\-&quot;$&quot;* #,##0.00_-;_-&quot;$&quot;* &quot;-&quot;??_-;_-@_-"/>
    </dxf>
    <dxf>
      <numFmt numFmtId="0" formatCode="General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alignment horizontal="general" vertical="bottom" textRotation="0" wrapText="0" indent="0" justifyLastLine="0" shrinkToFit="0" readingOrder="0"/>
    </dxf>
    <dxf>
      <numFmt numFmtId="30" formatCode="@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font>
        <color theme="0"/>
      </font>
    </dxf>
    <dxf>
      <font>
        <color theme="0"/>
      </font>
    </dxf>
    <dxf>
      <font>
        <color theme="0"/>
      </font>
    </dxf>
    <dxf>
      <alignment vertical="top"/>
    </dxf>
    <dxf>
      <alignment vertical="top"/>
    </dxf>
    <dxf>
      <alignment vertical="top"/>
    </dxf>
    <dxf>
      <alignment vertical="top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30" formatCode="@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4" formatCode="0.00%"/>
      <alignment horizontal="general" vertical="bottom" textRotation="0" wrapText="0" indent="0" justifyLastLine="0" shrinkToFit="0" readingOrder="0"/>
    </dxf>
    <dxf>
      <numFmt numFmtId="0" formatCode="General"/>
      <alignment horizontal="center" vertical="center" wrapText="1"/>
    </dxf>
    <dxf>
      <font>
        <color theme="0"/>
      </font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alignment horizontal="center" wrapText="1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alignment horizontal="center" wrapText="1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center" vertical="center" wrapText="1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76200</xdr:rowOff>
    </xdr:from>
    <xdr:to>
      <xdr:col>2</xdr:col>
      <xdr:colOff>435885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921B63-2D8C-41AC-B02E-49AEAA27B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5920" y="76200"/>
          <a:ext cx="2150385" cy="6001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83820</xdr:rowOff>
    </xdr:from>
    <xdr:to>
      <xdr:col>1</xdr:col>
      <xdr:colOff>359685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F7947D0-042C-4806-94C2-B294BA3E7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83820"/>
          <a:ext cx="2150385" cy="600198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OnLoad="1" refreshedBy="Uzziel Valdez Ordoñez" refreshedDate="46025.592206944442" createdVersion="8" refreshedVersion="8" minRefreshableVersion="3" recordCount="8" xr:uid="{F1CA2943-AE00-4596-B1C0-C8370C58F79E}">
  <cacheSource type="worksheet">
    <worksheetSource ref="A2:BQ1048576" sheet="R_Completo"/>
  </cacheSource>
  <cacheFields count="69">
    <cacheField name="Código acreditado" numFmtId="0">
      <sharedItems containsNonDate="0" containsString="0" containsBlank="1"/>
    </cacheField>
    <cacheField name="Nom. región" numFmtId="0">
      <sharedItems containsNonDate="0" containsString="0" containsBlank="1"/>
    </cacheField>
    <cacheField name="Coordinación" numFmtId="0">
      <sharedItems containsNonDate="0" containsBlank="1" count="6">
        <m/>
        <s v="Valle de bravo" u="1"/>
        <s v="Metepec" u="1"/>
        <s v="Maravatio" u="1"/>
        <s v="Tenancingo" u="1"/>
        <s v="Atlacomulco" u="1"/>
      </sharedItems>
    </cacheField>
    <cacheField name="Código promotor" numFmtId="0">
      <sharedItems containsNonDate="0" containsString="0" containsBlank="1"/>
    </cacheField>
    <cacheField name="Nombre promotor" numFmtId="0">
      <sharedItems containsNonDate="0" containsString="0" containsBlank="1"/>
    </cacheField>
    <cacheField name="Código recuperador" numFmtId="0">
      <sharedItems containsNonDate="0" containsBlank="1" count="9">
        <m/>
        <s v="000020" u="1"/>
        <s v="000080" u="1"/>
        <s v="000085" u="1"/>
        <s v="000078" u="1"/>
        <s v="000037" u="1"/>
        <s v="000039" u="1"/>
        <s v="000079" u="1"/>
        <s v="000082" u="1"/>
      </sharedItems>
    </cacheField>
    <cacheField name="Nombre recuperador" numFmtId="0">
      <sharedItems containsNonDate="0" containsBlank="1" count="9">
        <m/>
        <s v="Campos Sanchez Victor Humberto" u="1"/>
        <s v="Lopez Ramirez Irving Omar" u="1"/>
        <s v="Campuzano Sanchez Humbert" u="1"/>
        <s v="Atilano Saucedo Fortino" u="1"/>
        <s v="CREDIFLEXI CREDIFLEXI CREDIFLEXI" u="1"/>
        <s v="CALL CENTER" u="1"/>
        <s v="Gomez Campos Olga Janet" u="1"/>
        <s v="ENRIQUEZ VILCHIS MARIA ALEJANDRA" u="1"/>
      </sharedItems>
    </cacheField>
    <cacheField name="Ciclo" numFmtId="0">
      <sharedItems containsNonDate="0" containsString="0" containsBlank="1"/>
    </cacheField>
    <cacheField name="Nombre acreditado" numFmtId="0">
      <sharedItems containsNonDate="0" containsString="0" containsBlank="1"/>
    </cacheField>
    <cacheField name="Inicio ciclo" numFmtId="0">
      <sharedItems containsNonDate="0" containsString="0" containsBlank="1"/>
    </cacheField>
    <cacheField name="Fin ciclo" numFmtId="0">
      <sharedItems containsNonDate="0" containsString="0" containsBlank="1"/>
    </cacheField>
    <cacheField name="Cantidad entregada" numFmtId="0">
      <sharedItems containsNonDate="0" containsString="0" containsBlank="1"/>
    </cacheField>
    <cacheField name="Cantidad Prestada" numFmtId="0">
      <sharedItems containsNonDate="0" containsString="0" containsBlank="1"/>
    </cacheField>
    <cacheField name="Días de mora" numFmtId="0">
      <sharedItems containsNonDate="0" containsString="0" containsBlank="1"/>
    </cacheField>
    <cacheField name="PAR" numFmtId="0">
      <sharedItems containsNonDate="0" containsBlank="1" count="9">
        <m/>
        <s v="Mayor_90" u="1"/>
        <s v="90" u="1"/>
        <s v="60" u="1"/>
        <s v="30" u="1"/>
        <s v="15" u="1"/>
        <s v="7" u="1"/>
        <s v="0" u="1"/>
        <s v="&gt;90" u="1"/>
      </sharedItems>
    </cacheField>
    <cacheField name="Plazo del crédito" numFmtId="0">
      <sharedItems containsNonDate="0" containsString="0" containsBlank="1"/>
    </cacheField>
    <cacheField name="Periodicidad" numFmtId="0">
      <sharedItems containsNonDate="0" containsString="0" containsBlank="1"/>
    </cacheField>
    <cacheField name="Parcialidad + Parcialidad comisión" numFmtId="0">
      <sharedItems containsNonDate="0" containsString="0" containsBlank="1"/>
    </cacheField>
    <cacheField name="Comisión a pagar" numFmtId="0">
      <sharedItems containsNonDate="0" containsString="0" containsBlank="1"/>
    </cacheField>
    <cacheField name="Interés moratorio saldo vencido total" numFmtId="0">
      <sharedItems containsNonDate="0" containsString="0" containsBlank="1"/>
    </cacheField>
    <cacheField name="Pagos vencidos" numFmtId="0">
      <sharedItems containsNonDate="0" containsString="0" containsBlank="1"/>
    </cacheField>
    <cacheField name="Periodos vencidos" numFmtId="0">
      <sharedItems containsNonDate="0" containsString="0" containsBlank="1"/>
    </cacheField>
    <cacheField name="Saldo capital" numFmtId="0">
      <sharedItems containsNonDate="0" containsString="0" containsBlank="1"/>
    </cacheField>
    <cacheField name="Saldo vencido" numFmtId="0">
      <sharedItems containsNonDate="0" containsString="0" containsBlank="1"/>
    </cacheField>
    <cacheField name="Saldo capital vencido" numFmtId="0">
      <sharedItems containsNonDate="0" containsString="0" containsBlank="1"/>
    </cacheField>
    <cacheField name="Saldo interés vencido" numFmtId="0">
      <sharedItems containsNonDate="0" containsString="0" containsBlank="1"/>
    </cacheField>
    <cacheField name="Saldo comisión vencida" numFmtId="0">
      <sharedItems containsNonDate="0" containsString="0" containsBlank="1"/>
    </cacheField>
    <cacheField name="Saldo recargos" numFmtId="0">
      <sharedItems containsNonDate="0" containsString="0" containsBlank="1"/>
    </cacheField>
    <cacheField name="$ Último pago" numFmtId="0">
      <sharedItems containsNonDate="0" containsString="0" containsBlank="1"/>
    </cacheField>
    <cacheField name="Último pago" numFmtId="0">
      <sharedItems containsNonDate="0" containsString="0" containsBlank="1"/>
    </cacheField>
    <cacheField name="Situación crédito" numFmtId="0">
      <sharedItems containsNonDate="0" containsString="0" containsBlank="1"/>
    </cacheField>
    <cacheField name="Medio comunic. 1" numFmtId="0">
      <sharedItems containsNonDate="0" containsString="0" containsBlank="1"/>
    </cacheField>
    <cacheField name="Medio comunic. 2" numFmtId="0">
      <sharedItems containsNonDate="0" containsString="0" containsBlank="1"/>
    </cacheField>
    <cacheField name="Medio comunic. 3" numFmtId="0">
      <sharedItems containsNonDate="0" containsString="0" containsBlank="1"/>
    </cacheField>
    <cacheField name="Actividad económica PLD" numFmtId="0">
      <sharedItems containsNonDate="0" containsString="0" containsBlank="1"/>
    </cacheField>
    <cacheField name="Código actividad económica PLD" numFmtId="0">
      <sharedItems containsNonDate="0" containsString="0" containsBlank="1"/>
    </cacheField>
    <cacheField name="Nombre conyuge" numFmtId="0">
      <sharedItems containsNonDate="0" containsString="0" containsBlank="1"/>
    </cacheField>
    <cacheField name="Teléfono conyuge" numFmtId="0">
      <sharedItems containsNonDate="0" containsString="0" containsBlank="1"/>
    </cacheField>
    <cacheField name="Nombre Referencia1" numFmtId="0">
      <sharedItems containsNonDate="0" containsString="0" containsBlank="1"/>
    </cacheField>
    <cacheField name="Teléfono Referencia1" numFmtId="0">
      <sharedItems containsNonDate="0" containsString="0" containsBlank="1"/>
    </cacheField>
    <cacheField name="Nombre Referencia2" numFmtId="0">
      <sharedItems containsNonDate="0" containsString="0" containsBlank="1"/>
    </cacheField>
    <cacheField name="Teléfono Referencia2" numFmtId="0">
      <sharedItems containsNonDate="0" containsString="0" containsBlank="1"/>
    </cacheField>
    <cacheField name="Nombre Referencia3" numFmtId="0">
      <sharedItems containsNonDate="0" containsString="0" containsBlank="1"/>
    </cacheField>
    <cacheField name="Teléfono Referencia3" numFmtId="0">
      <sharedItems containsNonDate="0" containsString="0" containsBlank="1"/>
    </cacheField>
    <cacheField name="Tipo Garantía 1" numFmtId="0">
      <sharedItems containsNonDate="0" containsString="0" containsBlank="1"/>
    </cacheField>
    <cacheField name="Descripción garantía 1" numFmtId="0">
      <sharedItems containsNonDate="0" containsString="0" containsBlank="1"/>
    </cacheField>
    <cacheField name="Garantía 1" numFmtId="0">
      <sharedItems containsNonDate="0" containsString="0" containsBlank="1"/>
    </cacheField>
    <cacheField name="Tipo Garantía 2" numFmtId="0">
      <sharedItems containsNonDate="0" containsString="0" containsBlank="1"/>
    </cacheField>
    <cacheField name="Descripción garantía 2" numFmtId="0">
      <sharedItems containsNonDate="0" containsString="0" containsBlank="1"/>
    </cacheField>
    <cacheField name="Garantía 2" numFmtId="0">
      <sharedItems containsNonDate="0" containsString="0" containsBlank="1"/>
    </cacheField>
    <cacheField name="Saldo total" numFmtId="0">
      <sharedItems containsNonDate="0" containsString="0" containsBlank="1"/>
    </cacheField>
    <cacheField name="Saldo adelantado" numFmtId="0">
      <sharedItems containsNonDate="0" containsString="0" containsBlank="1"/>
    </cacheField>
    <cacheField name="Cód. producto crédito" numFmtId="0">
      <sharedItems containsNonDate="0" containsString="0" containsBlank="1"/>
    </cacheField>
    <cacheField name="Nom. producto crédito" numFmtId="0">
      <sharedItems containsNonDate="0" containsString="0" containsBlank="1"/>
    </cacheField>
    <cacheField name="Calle" numFmtId="0">
      <sharedItems containsNonDate="0" containsString="0" containsBlank="1"/>
    </cacheField>
    <cacheField name="Colonia" numFmtId="0">
      <sharedItems containsNonDate="0" containsString="0" containsBlank="1"/>
    </cacheField>
    <cacheField name="Entidad federativa" numFmtId="0">
      <sharedItems containsNonDate="0" containsString="0" containsBlank="1"/>
    </cacheField>
    <cacheField name="Municipio" numFmtId="0">
      <sharedItems containsNonDate="0" containsString="0" containsBlank="1"/>
    </cacheField>
    <cacheField name="Geolocalización domicilio" numFmtId="0">
      <sharedItems containsNonDate="0" containsString="0" containsBlank="1"/>
    </cacheField>
    <cacheField name="Link de Geolocalización" numFmtId="0">
      <sharedItems containsNonDate="0" containsString="0" containsBlank="1"/>
    </cacheField>
    <cacheField name="Castigado cartera" numFmtId="0">
      <sharedItems containsNonDate="0" containsString="0" containsBlank="1"/>
    </cacheField>
    <cacheField name="Nom. personal castiga cartera" numFmtId="0">
      <sharedItems containsNonDate="0" containsString="0" containsBlank="1"/>
    </cacheField>
    <cacheField name="Frecuencia" numFmtId="0">
      <sharedItems containsNonDate="0" containsString="0" containsBlank="1"/>
    </cacheField>
    <cacheField name="Criticidad" numFmtId="0">
      <sharedItems containsNonDate="0" containsString="0" containsBlank="1"/>
    </cacheField>
    <cacheField name="Forma de entrega" numFmtId="0">
      <sharedItems containsNonDate="0" containsString="0" containsBlank="1"/>
    </cacheField>
    <cacheField name="Concepto Depósito" numFmtId="0">
      <sharedItems containsNonDate="0" containsString="0" containsBlank="1"/>
    </cacheField>
    <cacheField name="Saldo riesgo capital" numFmtId="0">
      <sharedItems containsNonDate="0" containsString="0" containsBlank="1"/>
    </cacheField>
    <cacheField name="Saldo riesgo total" numFmtId="0">
      <sharedItems containsNonDate="0" containsString="0" containsBlank="1"/>
    </cacheField>
    <cacheField name="% MOR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40C8F6-1688-4BFB-94A1-D1EE0E8846FF}" name="TablaDinámica2" cacheId="8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oordinación">
  <location ref="A8:G10" firstHeaderRow="0" firstDataRow="1" firstDataCol="1"/>
  <pivotFields count="69">
    <pivotField showAll="0"/>
    <pivotField showAll="0"/>
    <pivotField axis="axisRow" showAll="0">
      <items count="7">
        <item m="1" x="5"/>
        <item m="1" x="3"/>
        <item m="1" x="2"/>
        <item m="1" x="4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dataField="1"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dataField="1"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dataField="1" numFmtId="165" showAll="0"/>
    <pivotField numFmtId="9" showAll="0"/>
  </pivotFields>
  <rowFields count="1">
    <field x="2"/>
  </rowFields>
  <rowItems count="2"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 numFmtId="166"/>
    <dataField name="Saldo_x000a_Vencido" fld="23" baseField="0" baseItem="0" numFmtId="166"/>
    <dataField name="Saldo_x000a_Total" fld="50" baseField="0" baseItem="0" numFmtId="166"/>
    <dataField name="Saldo_x000a_Riesgo Capital" fld="66" baseField="0" baseItem="0" numFmtId="165"/>
    <dataField name="Saldo_x000a_Riesgo Total" fld="67" baseField="0" baseItem="0" numFmtId="165"/>
  </dataFields>
  <formats count="20">
    <format dxfId="27">
      <pivotArea field="2" type="button" dataOnly="0" labelOnly="1" outline="0" axis="axisRow" fieldPosition="0"/>
    </format>
    <format dxfId="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">
      <pivotArea field="2" type="button" dataOnly="0" labelOnly="1" outline="0" axis="axisRow" fieldPosition="0"/>
    </format>
    <format dxfId="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">
      <pivotArea collapsedLevelsAreSubtotals="1" fieldPosition="0">
        <references count="1">
          <reference field="2" count="0"/>
        </references>
      </pivotArea>
    </format>
    <format dxfId="33">
      <pivotArea collapsedLevelsAreSubtotals="1" fieldPosition="0">
        <references count="2">
          <reference field="4294967294" count="1" selected="0">
            <x v="2"/>
          </reference>
          <reference field="2" count="1">
            <x v="0"/>
          </reference>
        </references>
      </pivotArea>
    </format>
    <format dxfId="34">
      <pivotArea field="2" type="button" dataOnly="0" labelOnly="1" outline="0" axis="axisRow" fieldPosition="0"/>
    </format>
    <format dxfId="35">
      <pivotArea grandRow="1" outline="0" collapsedLevelsAreSubtotals="1" fieldPosition="0"/>
    </format>
    <format dxfId="36">
      <pivotArea dataOnly="0" labelOnly="1" grandRow="1" outline="0" fieldPosition="0"/>
    </format>
    <format dxfId="37">
      <pivotArea dataOnly="0" labelOnly="1" fieldPosition="0">
        <references count="1">
          <reference field="2" count="1">
            <x v="5"/>
          </reference>
        </references>
      </pivotArea>
    </format>
    <format dxfId="38">
      <pivotArea grandRow="1" outline="0" collapsedLevelsAreSubtotals="1" fieldPosition="0"/>
    </format>
    <format dxfId="39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40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41">
      <pivotArea dataOnly="0" labelOnly="1" grandRow="1" outline="0" fieldPosition="0"/>
    </format>
    <format dxfId="42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43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44">
      <pivotArea dataOnly="0" grandRow="1" fieldPosition="0"/>
    </format>
    <format dxfId="45">
      <pivotArea grandRow="1" outline="0" collapsedLevelsAreSubtotals="1" fieldPosition="0"/>
    </format>
    <format dxfId="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165D9-9258-4F64-A124-98C3CCC8462F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PAR">
  <location ref="J7:L10" firstHeaderRow="1" firstDataRow="2" firstDataCol="1"/>
  <pivotFields count="69">
    <pivotField showAll="0"/>
    <pivotField showAll="0"/>
    <pivotField axis="axisRow" showAll="0">
      <items count="7">
        <item m="1" x="5"/>
        <item m="1" x="3"/>
        <item m="1" x="2"/>
        <item m="1" x="4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showAll="0"/>
    <pivotField showAll="0"/>
    <pivotField axis="axisCol" showAll="0">
      <items count="10">
        <item m="1" x="7"/>
        <item m="1" x="6"/>
        <item m="1" x="5"/>
        <item m="1" x="4"/>
        <item m="1" x="3"/>
        <item m="1" x="2"/>
        <item m="1" x="1"/>
        <item x="0"/>
        <item m="1" x="8"/>
        <item t="default"/>
      </items>
    </pivotField>
    <pivotField showAll="0"/>
    <pivotField showAll="0"/>
    <pivotField showAll="0"/>
    <pivotField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dataField="1" numFmtId="165" showAll="0"/>
    <pivotField numFmtId="9" showAll="0"/>
  </pivotFields>
  <rowFields count="1">
    <field x="2"/>
  </rowFields>
  <rowItems count="2">
    <i>
      <x v="5"/>
    </i>
    <i t="grand">
      <x/>
    </i>
  </rowItems>
  <colFields count="1">
    <field x="14"/>
  </colFields>
  <colItems count="2">
    <i>
      <x v="7"/>
    </i>
    <i t="grand">
      <x/>
    </i>
  </colItems>
  <dataFields count="1">
    <dataField name="Suma de Saldo riesgo total" fld="67" baseField="0" baseItem="0" numFmtId="165"/>
  </dataFields>
  <formats count="5">
    <format dxfId="22">
      <pivotArea dataOnly="0" labelOnly="1" fieldPosition="0">
        <references count="1">
          <reference field="14" count="0"/>
        </references>
      </pivotArea>
    </format>
    <format dxfId="23">
      <pivotArea field="14" grandRow="1" outline="0" collapsedLevelsAreSubtotals="1" axis="axisCol" fieldPosition="0">
        <references count="1">
          <reference field="14" count="0" selected="0"/>
        </references>
      </pivotArea>
    </format>
    <format dxfId="24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5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6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BEC0F2-77D2-45AE-B5CF-49FDC76AF7B5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7:P10" firstHeaderRow="1" firstDataRow="2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m="1" x="5"/>
        <item m="1" x="3"/>
        <item m="1" x="2"/>
        <item m="1" x="4"/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1"/>
        <item m="1" x="5"/>
        <item m="1" x="6"/>
        <item m="1" x="4"/>
        <item m="1" x="7"/>
        <item m="1" x="2"/>
        <item m="1" x="8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4"/>
        <item m="1" x="6"/>
        <item m="1" x="1"/>
        <item m="1" x="3"/>
        <item m="1" x="5"/>
        <item m="1" x="8"/>
        <item m="1" x="7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9">
        <item m="1" x="7"/>
        <item m="1" x="6"/>
        <item m="1" x="5"/>
        <item m="1" x="4"/>
        <item m="1" x="3"/>
        <item m="1" x="2"/>
        <item m="1" x="1"/>
        <item x="0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2">
    <i>
      <x v="5"/>
      <x v="8"/>
      <x v="8"/>
    </i>
    <i t="grand">
      <x/>
    </i>
  </rowItems>
  <colFields count="1">
    <field x="14"/>
  </colFields>
  <colItems count="2">
    <i>
      <x v="7"/>
    </i>
    <i t="grand">
      <x/>
    </i>
  </colItems>
  <dataFields count="1">
    <dataField name="Suma de Saldo riesgo total" fld="67" baseField="0" baseItem="0"/>
  </dataFields>
  <formats count="5">
    <format dxfId="17">
      <pivotArea grandRow="1" outline="0" collapsedLevelsAreSubtotals="1" fieldPosition="0"/>
    </format>
    <format dxfId="18">
      <pivotArea dataOnly="0" labelOnly="1" outline="0" fieldPosition="0">
        <references count="1">
          <reference field="14" count="7">
            <x v="0"/>
            <x v="1"/>
            <x v="2"/>
            <x v="3"/>
            <x v="4"/>
            <x v="5"/>
            <x v="6"/>
          </reference>
        </references>
      </pivotArea>
    </format>
    <format dxfId="19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0">
      <pivotArea outline="0" fieldPosition="0">
        <references count="4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21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99A7A3-4141-4DAD-9761-B8491DE1E75F}" name="TablaDinámica2" cacheId="8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>
  <location ref="A8:I10" firstHeaderRow="0" firstDataRow="1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m="1" x="5"/>
        <item m="1" x="3"/>
        <item m="1" x="2"/>
        <item m="1" x="4"/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1"/>
        <item m="1" x="5"/>
        <item m="1" x="6"/>
        <item m="1" x="4"/>
        <item m="1" x="7"/>
        <item m="1" x="2"/>
        <item m="1" x="8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m="1" x="4"/>
        <item m="1" x="3"/>
        <item m="1" x="5"/>
        <item m="1" x="7"/>
        <item m="1" x="2"/>
        <item x="0"/>
        <item m="1" x="8"/>
        <item m="1" x="1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2">
    <i>
      <x v="5"/>
      <x v="8"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/>
    <dataField name="Saldo_x000a_Vencido" fld="23" baseField="0" baseItem="0"/>
    <dataField name="Saldo_x000a_Total" fld="50" baseField="0" baseItem="0"/>
    <dataField name="Saldo_x000a_Riesgo Capital" fld="66" baseField="0" baseItem="0"/>
    <dataField name="Saldo_x000a_Riesgo Total" fld="67" baseField="0" baseItem="0"/>
  </dataFields>
  <formats count="17">
    <format dxfId="0">
      <pivotArea field="2" type="button" dataOnly="0" labelOnly="1" outline="0" axis="axisRow" fieldPosition="0"/>
    </format>
    <format dxfId="1">
      <pivotArea field="5" type="button" dataOnly="0" labelOnly="1" outline="0" axis="axisRow" fieldPosition="1"/>
    </format>
    <format dxfId="2">
      <pivotArea field="6" type="button" dataOnly="0" labelOnly="1" outline="0" axis="axisRow" fieldPosition="2"/>
    </format>
    <format dxfId="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">
      <pivotArea dataOnly="0" labelOnly="1" outline="0" fieldPosition="0">
        <references count="1">
          <reference field="2" count="1">
            <x v="5"/>
          </reference>
        </references>
      </pivotArea>
    </format>
    <format dxfId="5">
      <pivotArea dataOnly="0" labelOnly="1" outline="0" fieldPosition="0">
        <references count="2">
          <reference field="2" count="1" selected="0">
            <x v="5"/>
          </reference>
          <reference field="5" count="1">
            <x v="8"/>
          </reference>
        </references>
      </pivotArea>
    </format>
    <format dxfId="6">
      <pivotArea dataOnly="0" labelOnly="1" outline="0" fieldPosition="0">
        <references count="3">
          <reference field="2" count="1" selected="0">
            <x v="5"/>
          </reference>
          <reference field="5" count="1" selected="0">
            <x v="8"/>
          </reference>
          <reference field="6" count="1">
            <x v="5"/>
          </reference>
        </references>
      </pivotArea>
    </format>
    <format dxfId="7">
      <pivotArea outline="0" fieldPosition="0">
        <references count="3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6"/>
            <x v="7"/>
            <x v="8"/>
          </reference>
        </references>
      </pivotArea>
    </format>
    <format dxfId="8">
      <pivotArea grandRow="1" outline="0" collapsedLevelsAreSubtotals="1" fieldPosition="0"/>
    </format>
    <format dxfId="9">
      <pivotArea dataOnly="0" labelOnly="1" grandRow="1" outline="0" fieldPosition="0"/>
    </format>
    <format dxfId="10">
      <pivotArea grandRow="1" outline="0" collapsedLevelsAreSubtotals="1" fieldPosition="0"/>
    </format>
    <format dxfId="11">
      <pivotArea dataOnly="0" labelOnly="1" grandRow="1" outline="0" fieldPosition="0"/>
    </format>
    <format dxfId="12">
      <pivotArea dataOnly="0" labelOnly="1" grandRow="1" outline="0" fieldPosition="0"/>
    </format>
    <format dxfId="13">
      <pivotArea dataOnly="0" labelOnly="1" grandRow="1" outline="0" fieldPosition="0"/>
    </format>
    <format dxfId="14">
      <pivotArea field="2" grandRow="1" outline="0" axis="axisRow" fieldPosition="0">
        <references count="1">
          <reference field="4294967294" count="1" selected="0">
            <x v="5"/>
          </reference>
        </references>
      </pivotArea>
    </format>
    <format dxfId="15">
      <pivotArea field="2" grandRow="1" outline="0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0D46106-5C47-441D-8121-C3F027B37D77}" name="T_18112025" displayName="T_18112025" ref="A2:BQ3" insertRow="1">
  <autoFilter ref="A2:BQ3" xr:uid="{10D46106-5C47-441D-8121-C3F027B37D77}"/>
  <tableColumns count="69">
    <tableColumn id="1" xr3:uid="{45AB632D-1122-4B80-B84C-B27DAB2FC8B5}" name="Código acreditado" dataDxfId="68"/>
    <tableColumn id="2" xr3:uid="{56A60274-305A-4AC1-8E51-953967DA1E68}" name="Nom. región"/>
    <tableColumn id="3" xr3:uid="{BD97A124-225D-40D5-B3E6-985115D7D666}" name="Coordinación"/>
    <tableColumn id="4" xr3:uid="{18C8E859-BA54-491C-B0C9-A8C3932FBDE1}" name="Código promotor"/>
    <tableColumn id="5" xr3:uid="{E2E5D7CB-2B4E-41EA-9DEF-05FAB812B2EB}" name="Nombre promotor"/>
    <tableColumn id="6" xr3:uid="{F09793CB-8A25-4838-B64B-EC581BB9972E}" name="Código recuperador"/>
    <tableColumn id="7" xr3:uid="{8E589B69-B8A7-4E98-A83A-6E00296230DD}" name="Nombre recuperador"/>
    <tableColumn id="8" xr3:uid="{B4F1CF15-FD07-4E79-AFFC-CDAA81FE2738}" name="Ciclo"/>
    <tableColumn id="9" xr3:uid="{082FAA69-DBFF-46FC-A7D2-B5E4DDC7E8B7}" name="Nombre acreditado"/>
    <tableColumn id="10" xr3:uid="{F131CC65-61B3-4ED5-95A6-95F505E9E842}" name="Inicio ciclo" dataDxfId="67"/>
    <tableColumn id="11" xr3:uid="{34F112EA-0BC7-4EEF-8E28-C0732D18D81A}" name="Fin ciclo" dataDxfId="66"/>
    <tableColumn id="12" xr3:uid="{4B3AD626-CA83-45D8-83C4-5D7AD6ACA557}" name="Cantidad entregada" dataDxfId="65"/>
    <tableColumn id="13" xr3:uid="{3883B301-4ED6-4929-86A9-661C41FC3B32}" name="Cantidad Prestada" dataDxfId="64"/>
    <tableColumn id="14" xr3:uid="{AA93B381-3BDA-427B-8EDF-E6354650575C}" name="Días de mora"/>
    <tableColumn id="15" xr3:uid="{800B2624-AB8E-4909-9EE2-4DA7BF5A0A37}" name="PAR"/>
    <tableColumn id="16" xr3:uid="{7A254042-BB5B-4F41-A9D3-DAFAD1D133A2}" name="Plazo del crédito"/>
    <tableColumn id="17" xr3:uid="{9A83C30A-F209-4F6F-B948-5F5AFCC18810}" name="Periodicidad"/>
    <tableColumn id="18" xr3:uid="{083F4FCF-0EDE-4262-AA37-98740F581D76}" name="Parcialidad + Parcialidad comisión"/>
    <tableColumn id="19" xr3:uid="{895E2C82-81B3-4949-AC9D-ACD09DF1FDF6}" name="Comisión a pagar"/>
    <tableColumn id="20" xr3:uid="{AABC9F03-56A9-40DA-94EC-3F3B267566CC}" name="Interés moratorio saldo vencido total" dataDxfId="63"/>
    <tableColumn id="21" xr3:uid="{328236F2-7148-4CB9-8512-0D2EDF1BD035}" name="Pagos vencidos" dataDxfId="62"/>
    <tableColumn id="22" xr3:uid="{801E3434-C094-4269-9345-72A8C0AE5F55}" name="Periodos vencidos"/>
    <tableColumn id="23" xr3:uid="{84A22AA9-9BC6-4A39-8EE3-F1400FE2BCA7}" name="Saldo capital" dataDxfId="61"/>
    <tableColumn id="24" xr3:uid="{2D23D163-4883-4DBD-9994-16C25DAC69B3}" name="Saldo vencido" dataDxfId="60"/>
    <tableColumn id="25" xr3:uid="{79B1C402-CE9E-487F-9A8E-81311838658B}" name="Saldo capital vencido" dataDxfId="59"/>
    <tableColumn id="26" xr3:uid="{87F24D6D-B8DC-407A-A2BD-601DB3D425FA}" name="Saldo interés vencido" dataDxfId="58"/>
    <tableColumn id="27" xr3:uid="{F87BD36D-98E5-4F0E-AEC5-EB267105899F}" name="Saldo comisión vencida" dataDxfId="57"/>
    <tableColumn id="28" xr3:uid="{93249545-B07B-4A09-808F-9ED828048AC8}" name="Saldo recargos" dataDxfId="56"/>
    <tableColumn id="29" xr3:uid="{2832DD59-AF7A-4147-A7DC-F3CC07589229}" name="$ Último pago" dataDxfId="55"/>
    <tableColumn id="30" xr3:uid="{12F63B83-B909-4491-B9C1-2CEA2480DE1A}" name="Último pago" dataDxfId="54"/>
    <tableColumn id="31" xr3:uid="{36DC10E2-231A-4BFC-8AB7-ED12061E3D69}" name="Situación crédito"/>
    <tableColumn id="32" xr3:uid="{B89C2B40-4052-49F0-96FB-84B40E829ED8}" name="Medio comunic. 1"/>
    <tableColumn id="33" xr3:uid="{DD12DD5D-3C97-44E0-86DB-8C20C7CFDD1E}" name="Medio comunic. 2"/>
    <tableColumn id="34" xr3:uid="{8F5976FC-1C11-4F21-A788-B5964E54B4D9}" name="Medio comunic. 3"/>
    <tableColumn id="35" xr3:uid="{85A62C4C-842E-4915-A6CB-7C5C60A7EB86}" name="Actividad económica PLD"/>
    <tableColumn id="36" xr3:uid="{FD9B3E1F-A73C-451D-8273-DE17F0F82187}" name="Código actividad económica PLD"/>
    <tableColumn id="37" xr3:uid="{CAD8EEFF-D93A-458C-B0C8-3749DB9E59C1}" name="Nombre conyuge"/>
    <tableColumn id="38" xr3:uid="{4C739AD4-3083-47D9-B26D-E8EF8F5835D1}" name="Teléfono conyuge"/>
    <tableColumn id="39" xr3:uid="{AB1DF676-C709-4C52-8C1A-1A5E16DA58FB}" name="Nombre Referencia1"/>
    <tableColumn id="40" xr3:uid="{E771F7D0-53F8-42FF-B1FB-9E7C88DA4697}" name="Teléfono Referencia1"/>
    <tableColumn id="41" xr3:uid="{1A4B1524-B076-4C77-A8CB-E7088E4FE862}" name="Nombre Referencia2"/>
    <tableColumn id="42" xr3:uid="{1A8E6D0A-645D-4E4F-B4CF-39DABC3DB62B}" name="Teléfono Referencia2"/>
    <tableColumn id="43" xr3:uid="{10C74279-CD33-489F-B1F1-004BDE198225}" name="Nombre Referencia3"/>
    <tableColumn id="44" xr3:uid="{A936190A-20A0-4A06-AD7E-A2CACC349D71}" name="Teléfono Referencia3"/>
    <tableColumn id="45" xr3:uid="{785BE78C-DB95-49FF-BA3E-36332FD4D0DA}" name="Tipo Garantía 1"/>
    <tableColumn id="46" xr3:uid="{B0AAABB2-319D-4932-A7F2-F7679FE94C2C}" name="Descripción garantía 1"/>
    <tableColumn id="47" xr3:uid="{77E19DDA-7E31-430D-9F4E-2F64B8AA711F}" name="Garantía 1"/>
    <tableColumn id="48" xr3:uid="{3DFD0FA7-753D-47E2-9C9F-1B9F89D6A76B}" name="Tipo Garantía 2"/>
    <tableColumn id="49" xr3:uid="{BDEB7300-71A5-4C60-9F66-49D144BECE18}" name="Descripción garantía 2"/>
    <tableColumn id="50" xr3:uid="{5F4A9E4E-9219-4942-9BA8-B91326BB2814}" name="Garantía 2"/>
    <tableColumn id="51" xr3:uid="{F644ED04-B57A-4F37-B2AB-0732D59FA4A1}" name="Saldo total" dataDxfId="53"/>
    <tableColumn id="52" xr3:uid="{C8299F8C-588E-47E1-8238-6D88C20505E7}" name="Saldo adelantado" dataDxfId="52"/>
    <tableColumn id="53" xr3:uid="{C0B0BA4E-44B2-4020-AE8B-9D18EC27A2E0}" name="Cód. producto crédito"/>
    <tableColumn id="54" xr3:uid="{EB888286-D588-4D37-AE08-EC6A1DA12B16}" name="Nom. producto crédito"/>
    <tableColumn id="55" xr3:uid="{D8E9758C-EFD4-4C30-B8D4-28BA0FAFF4D9}" name="Calle"/>
    <tableColumn id="56" xr3:uid="{BDFDA04A-965B-4A6C-8DBA-68298BD5EE02}" name="Colonia"/>
    <tableColumn id="57" xr3:uid="{913A1172-AA94-4182-89D0-0926C1F936C2}" name="Entidad federativa"/>
    <tableColumn id="58" xr3:uid="{5168D7AF-9E44-4709-AF32-9236572B7471}" name="Municipio"/>
    <tableColumn id="59" xr3:uid="{A38D81F5-CDFB-41B3-B85F-1C19D335B9C4}" name="Geolocalización domicilio"/>
    <tableColumn id="60" xr3:uid="{A6BDD858-5EA5-4F8C-BA19-7E141A37BA7B}" name="Link de Geolocalización" dataDxfId="51"/>
    <tableColumn id="61" xr3:uid="{D92129B5-11F2-4C49-8B99-DC60C4E5C841}" name="Castigado cartera"/>
    <tableColumn id="62" xr3:uid="{47F56B99-6911-4E25-A7B4-7E801630D507}" name="Nom. personal castiga cartera"/>
    <tableColumn id="63" xr3:uid="{865F0885-1DC4-43D3-B04E-9F786EFFF365}" name="Frecuencia"/>
    <tableColumn id="64" xr3:uid="{B4520D4E-F6F0-4B56-876C-350E31D27492}" name="Criticidad"/>
    <tableColumn id="65" xr3:uid="{8C28B571-2D1E-4EC5-820E-6EE2E1C02066}" name="Forma de entrega"/>
    <tableColumn id="66" xr3:uid="{3E65D14E-0B52-4DA4-86AE-A37DA8EB0E3F}" name="Concepto Depósito" dataDxfId="50"/>
    <tableColumn id="67" xr3:uid="{18AA5489-C623-4E4B-AC5B-2E9C4890EAE1}" name="Saldo riesgo capital" dataDxfId="49"/>
    <tableColumn id="68" xr3:uid="{A2186643-E023-4F4C-A8B6-1CDFA6DB3D43}" name="Saldo riesgo total" dataDxfId="48"/>
    <tableColumn id="69" xr3:uid="{E9C1DDC1-9481-41A0-B2F4-C572741C2188}" name="% MORA" dataDxfId="47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1771-6608-4E75-8963-5E06FF38DCE5}">
  <dimension ref="A4:S15"/>
  <sheetViews>
    <sheetView showGridLines="0" tabSelected="1" zoomScaleNormal="100" workbookViewId="0">
      <pane xSplit="1" ySplit="8" topLeftCell="B9" activePane="bottomRight" state="frozen"/>
      <selection pane="topRight" activeCell="B1" sqref="B1"/>
      <selection pane="bottomLeft" activeCell="A8" sqref="A8"/>
      <selection pane="bottomRight" activeCell="H23" sqref="H23"/>
    </sheetView>
  </sheetViews>
  <sheetFormatPr defaultColWidth="11.5546875" defaultRowHeight="14.4" x14ac:dyDescent="0.3"/>
  <cols>
    <col min="1" max="1" width="17.109375" bestFit="1" customWidth="1"/>
    <col min="2" max="2" width="8.77734375" bestFit="1" customWidth="1"/>
    <col min="3" max="3" width="7" bestFit="1" customWidth="1"/>
    <col min="4" max="4" width="8" bestFit="1" customWidth="1"/>
    <col min="5" max="5" width="5.88671875" bestFit="1" customWidth="1"/>
    <col min="6" max="6" width="13.6640625" bestFit="1" customWidth="1"/>
    <col min="7" max="7" width="11.88671875" bestFit="1" customWidth="1"/>
    <col min="8" max="8" width="27.44140625" customWidth="1"/>
    <col min="9" max="9" width="0.44140625" customWidth="1"/>
    <col min="10" max="10" width="24.44140625" hidden="1" customWidth="1"/>
    <col min="11" max="11" width="27.44140625" hidden="1" customWidth="1"/>
    <col min="12" max="12" width="10.77734375" bestFit="1" customWidth="1"/>
    <col min="13" max="15" width="27.44140625" customWidth="1"/>
    <col min="16" max="16" width="21.21875" customWidth="1"/>
    <col min="17" max="17" width="23.21875" customWidth="1"/>
    <col min="18" max="18" width="10.77734375" hidden="1" customWidth="1"/>
    <col min="19" max="19" width="15" hidden="1" customWidth="1"/>
  </cols>
  <sheetData>
    <row r="4" spans="1:19" ht="15" thickBot="1" x14ac:dyDescent="0.35"/>
    <row r="5" spans="1:19" ht="15" thickBot="1" x14ac:dyDescent="0.35">
      <c r="K5" s="28" t="s">
        <v>14</v>
      </c>
      <c r="L5" s="29"/>
      <c r="M5" s="29"/>
      <c r="N5" s="29"/>
      <c r="O5" s="29"/>
      <c r="P5" s="29"/>
      <c r="Q5" s="29"/>
    </row>
    <row r="6" spans="1:19" ht="34.950000000000003" customHeight="1" thickBot="1" x14ac:dyDescent="0.35">
      <c r="A6" s="10" t="s">
        <v>2</v>
      </c>
      <c r="B6" s="10" t="s">
        <v>69</v>
      </c>
      <c r="C6" s="10" t="s">
        <v>70</v>
      </c>
      <c r="D6" s="10" t="s">
        <v>71</v>
      </c>
      <c r="E6" s="10" t="s">
        <v>72</v>
      </c>
      <c r="F6" s="10" t="s">
        <v>79</v>
      </c>
      <c r="G6" s="10" t="s">
        <v>80</v>
      </c>
      <c r="H6" s="11" t="s">
        <v>73</v>
      </c>
      <c r="I6" s="16"/>
      <c r="J6" t="s">
        <v>77</v>
      </c>
      <c r="K6" s="17" t="s">
        <v>66</v>
      </c>
      <c r="L6" s="17" t="s">
        <v>82</v>
      </c>
      <c r="M6" s="17" t="s">
        <v>83</v>
      </c>
      <c r="N6" s="17" t="s">
        <v>84</v>
      </c>
      <c r="O6" s="17" t="s">
        <v>85</v>
      </c>
      <c r="P6" s="17" t="s">
        <v>86</v>
      </c>
      <c r="Q6" s="17" t="s">
        <v>74</v>
      </c>
      <c r="R6" s="17" t="s">
        <v>67</v>
      </c>
      <c r="S6" t="s">
        <v>68</v>
      </c>
    </row>
    <row r="7" spans="1:19" hidden="1" x14ac:dyDescent="0.3">
      <c r="J7" s="7" t="s">
        <v>78</v>
      </c>
      <c r="K7" s="7" t="s">
        <v>14</v>
      </c>
    </row>
    <row r="8" spans="1:19" ht="27" hidden="1" thickBot="1" x14ac:dyDescent="0.35">
      <c r="A8" s="25" t="s">
        <v>2</v>
      </c>
      <c r="B8" s="25" t="s">
        <v>69</v>
      </c>
      <c r="C8" s="25" t="s">
        <v>70</v>
      </c>
      <c r="D8" s="25" t="s">
        <v>71</v>
      </c>
      <c r="E8" s="25" t="s">
        <v>72</v>
      </c>
      <c r="F8" s="25" t="s">
        <v>79</v>
      </c>
      <c r="G8" s="25" t="s">
        <v>80</v>
      </c>
      <c r="H8" s="11" t="s">
        <v>73</v>
      </c>
      <c r="I8" s="16"/>
      <c r="J8" s="7" t="s">
        <v>88</v>
      </c>
      <c r="K8" s="25" t="s">
        <v>87</v>
      </c>
      <c r="L8" t="s">
        <v>89</v>
      </c>
    </row>
    <row r="9" spans="1:19" x14ac:dyDescent="0.3">
      <c r="A9" s="18" t="s">
        <v>87</v>
      </c>
      <c r="B9" s="8"/>
      <c r="C9" s="8"/>
      <c r="D9" s="8"/>
      <c r="E9" s="8"/>
      <c r="F9" s="8"/>
      <c r="G9" s="8"/>
      <c r="H9" s="14">
        <f>IFERROR(D9/E9,0)</f>
        <v>0</v>
      </c>
      <c r="I9" s="16"/>
      <c r="J9" s="13" t="s">
        <v>87</v>
      </c>
      <c r="K9" s="8"/>
      <c r="L9" s="8"/>
    </row>
    <row r="10" spans="1:19" x14ac:dyDescent="0.3">
      <c r="A10" s="26" t="s">
        <v>81</v>
      </c>
      <c r="B10" s="26"/>
      <c r="C10" s="26"/>
      <c r="D10" s="26"/>
      <c r="E10" s="26"/>
      <c r="F10" s="26"/>
      <c r="G10" s="26"/>
      <c r="H10" s="14">
        <f>IFERROR(D10/E10,0)</f>
        <v>0</v>
      </c>
      <c r="I10" s="16"/>
      <c r="J10" s="13" t="s">
        <v>89</v>
      </c>
      <c r="K10" s="26"/>
      <c r="L10" s="8"/>
    </row>
    <row r="11" spans="1:19" x14ac:dyDescent="0.3">
      <c r="H11" s="14">
        <f t="shared" ref="H11:H13" si="0">IFERROR(D11/E11,0)</f>
        <v>0</v>
      </c>
      <c r="I11" s="16"/>
    </row>
    <row r="12" spans="1:19" x14ac:dyDescent="0.3">
      <c r="H12" s="14">
        <f t="shared" si="0"/>
        <v>0</v>
      </c>
      <c r="I12" s="16"/>
    </row>
    <row r="13" spans="1:19" x14ac:dyDescent="0.3">
      <c r="H13" s="14">
        <f t="shared" si="0"/>
        <v>0</v>
      </c>
      <c r="I13" s="16"/>
    </row>
    <row r="14" spans="1:19" ht="15" thickBot="1" x14ac:dyDescent="0.35">
      <c r="I14" s="16"/>
    </row>
    <row r="15" spans="1:19" ht="15" customHeight="1" thickBot="1" x14ac:dyDescent="0.35">
      <c r="H15" s="22" t="e">
        <f>D15/E15</f>
        <v>#DIV/0!</v>
      </c>
      <c r="I15" s="19"/>
    </row>
  </sheetData>
  <mergeCells count="1">
    <mergeCell ref="K5:Q5"/>
  </mergeCell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0926C-8E00-41A7-B8A5-46ECE3BDB2AD}">
  <dimension ref="A3:W26"/>
  <sheetViews>
    <sheetView showGridLines="0" workbookViewId="0">
      <pane xSplit="3" ySplit="8" topLeftCell="D9" activePane="bottomRight" state="frozen"/>
      <selection pane="topRight" activeCell="D1" sqref="D1"/>
      <selection pane="bottomLeft" activeCell="A8" sqref="A8"/>
      <selection pane="bottomRight" activeCell="P19" sqref="P19"/>
    </sheetView>
  </sheetViews>
  <sheetFormatPr defaultColWidth="11.5546875" defaultRowHeight="14.4" x14ac:dyDescent="0.3"/>
  <cols>
    <col min="1" max="2" width="27.44140625" customWidth="1"/>
    <col min="3" max="3" width="21.109375" bestFit="1" customWidth="1"/>
    <col min="4" max="4" width="17" bestFit="1" customWidth="1"/>
    <col min="5" max="5" width="12.44140625" bestFit="1" customWidth="1"/>
    <col min="6" max="6" width="13.6640625" bestFit="1" customWidth="1"/>
    <col min="7" max="7" width="10.88671875" bestFit="1" customWidth="1"/>
    <col min="8" max="8" width="18.5546875" bestFit="1" customWidth="1"/>
    <col min="9" max="9" width="16.88671875" bestFit="1" customWidth="1"/>
    <col min="10" max="10" width="27.44140625" customWidth="1"/>
    <col min="11" max="11" width="0.44140625" customWidth="1"/>
    <col min="12" max="12" width="16.5546875" hidden="1" customWidth="1"/>
    <col min="13" max="13" width="11.5546875" hidden="1" customWidth="1"/>
    <col min="14" max="14" width="32.77734375" hidden="1" customWidth="1"/>
    <col min="15" max="15" width="27.44140625" hidden="1" customWidth="1"/>
    <col min="16" max="16" width="10.77734375" bestFit="1" customWidth="1"/>
    <col min="17" max="21" width="27.44140625" customWidth="1"/>
    <col min="22" max="22" width="13.77734375" hidden="1" customWidth="1"/>
    <col min="23" max="23" width="14" hidden="1" customWidth="1"/>
  </cols>
  <sheetData>
    <row r="3" spans="1:23" ht="15" thickBot="1" x14ac:dyDescent="0.35"/>
    <row r="4" spans="1:23" ht="15" thickBot="1" x14ac:dyDescent="0.35">
      <c r="O4" s="28" t="s">
        <v>14</v>
      </c>
      <c r="P4" s="29"/>
      <c r="Q4" s="29"/>
      <c r="R4" s="29"/>
      <c r="S4" s="29"/>
      <c r="T4" s="29"/>
      <c r="U4" s="29"/>
    </row>
    <row r="5" spans="1:23" ht="34.950000000000003" customHeight="1" thickBot="1" x14ac:dyDescent="0.35">
      <c r="A5" s="10" t="s">
        <v>2</v>
      </c>
      <c r="B5" s="10" t="s">
        <v>5</v>
      </c>
      <c r="C5" s="10" t="s">
        <v>6</v>
      </c>
      <c r="D5" s="10" t="s">
        <v>69</v>
      </c>
      <c r="E5" s="10" t="s">
        <v>70</v>
      </c>
      <c r="F5" s="10" t="s">
        <v>71</v>
      </c>
      <c r="G5" s="10" t="s">
        <v>72</v>
      </c>
      <c r="H5" s="10" t="s">
        <v>79</v>
      </c>
      <c r="I5" s="10" t="s">
        <v>80</v>
      </c>
      <c r="J5" s="20" t="s">
        <v>73</v>
      </c>
      <c r="K5" s="19"/>
      <c r="L5" t="s">
        <v>2</v>
      </c>
      <c r="M5" t="s">
        <v>5</v>
      </c>
      <c r="N5" t="s">
        <v>6</v>
      </c>
      <c r="O5" s="17" t="s">
        <v>66</v>
      </c>
      <c r="P5" s="17" t="s">
        <v>82</v>
      </c>
      <c r="Q5" s="17" t="s">
        <v>83</v>
      </c>
      <c r="R5" s="17" t="s">
        <v>84</v>
      </c>
      <c r="S5" s="17" t="s">
        <v>85</v>
      </c>
      <c r="T5" s="17" t="s">
        <v>86</v>
      </c>
      <c r="U5" s="17" t="s">
        <v>74</v>
      </c>
      <c r="V5" t="s">
        <v>67</v>
      </c>
      <c r="W5" t="s">
        <v>68</v>
      </c>
    </row>
    <row r="6" spans="1:23" hidden="1" x14ac:dyDescent="0.3"/>
    <row r="7" spans="1:23" hidden="1" x14ac:dyDescent="0.3">
      <c r="K7" s="19"/>
      <c r="L7" s="7" t="s">
        <v>78</v>
      </c>
      <c r="O7" s="7" t="s">
        <v>14</v>
      </c>
    </row>
    <row r="8" spans="1:23" ht="15" hidden="1" thickBot="1" x14ac:dyDescent="0.35">
      <c r="A8" s="23" t="s">
        <v>2</v>
      </c>
      <c r="B8" s="23" t="s">
        <v>5</v>
      </c>
      <c r="C8" s="23" t="s">
        <v>6</v>
      </c>
      <c r="D8" s="12" t="s">
        <v>69</v>
      </c>
      <c r="E8" s="12" t="s">
        <v>70</v>
      </c>
      <c r="F8" s="12" t="s">
        <v>71</v>
      </c>
      <c r="G8" s="12" t="s">
        <v>72</v>
      </c>
      <c r="H8" s="12" t="s">
        <v>79</v>
      </c>
      <c r="I8" s="12" t="s">
        <v>80</v>
      </c>
      <c r="J8" s="20" t="s">
        <v>73</v>
      </c>
      <c r="K8" s="19"/>
      <c r="L8" s="7" t="s">
        <v>2</v>
      </c>
      <c r="M8" s="7" t="s">
        <v>5</v>
      </c>
      <c r="N8" s="7" t="s">
        <v>6</v>
      </c>
      <c r="O8" t="s">
        <v>87</v>
      </c>
      <c r="P8" t="s">
        <v>89</v>
      </c>
    </row>
    <row r="9" spans="1:23" x14ac:dyDescent="0.3">
      <c r="A9" s="21" t="s">
        <v>87</v>
      </c>
      <c r="B9" s="21" t="s">
        <v>87</v>
      </c>
      <c r="C9" s="21" t="s">
        <v>87</v>
      </c>
      <c r="J9" s="14">
        <f>IFERROR(F9/G9,0)</f>
        <v>0</v>
      </c>
      <c r="K9" s="19"/>
      <c r="L9" t="s">
        <v>87</v>
      </c>
      <c r="M9" t="s">
        <v>87</v>
      </c>
      <c r="N9" t="s">
        <v>87</v>
      </c>
    </row>
    <row r="10" spans="1:23" x14ac:dyDescent="0.3">
      <c r="A10" s="27" t="s">
        <v>81</v>
      </c>
      <c r="B10" s="27"/>
      <c r="C10" s="27"/>
      <c r="D10" s="26"/>
      <c r="E10" s="26"/>
      <c r="F10" s="26"/>
      <c r="G10" s="26"/>
      <c r="H10" s="26"/>
      <c r="I10" s="26"/>
      <c r="J10" s="14">
        <f t="shared" ref="J10:J23" si="0">IFERROR(F10/G10,0)</f>
        <v>0</v>
      </c>
      <c r="K10" s="19"/>
      <c r="L10" t="s">
        <v>89</v>
      </c>
      <c r="O10" s="8"/>
      <c r="P10" s="8"/>
    </row>
    <row r="11" spans="1:23" x14ac:dyDescent="0.3">
      <c r="J11" s="14">
        <f t="shared" si="0"/>
        <v>0</v>
      </c>
      <c r="K11" s="19"/>
    </row>
    <row r="12" spans="1:23" x14ac:dyDescent="0.3">
      <c r="J12" s="14">
        <f t="shared" si="0"/>
        <v>0</v>
      </c>
      <c r="K12" s="19"/>
    </row>
    <row r="13" spans="1:23" x14ac:dyDescent="0.3">
      <c r="J13" s="14">
        <f t="shared" si="0"/>
        <v>0</v>
      </c>
      <c r="K13" s="19"/>
    </row>
    <row r="14" spans="1:23" x14ac:dyDescent="0.3">
      <c r="J14" s="14">
        <f t="shared" si="0"/>
        <v>0</v>
      </c>
      <c r="K14" s="19"/>
    </row>
    <row r="15" spans="1:23" x14ac:dyDescent="0.3">
      <c r="J15" s="14">
        <f t="shared" si="0"/>
        <v>0</v>
      </c>
      <c r="K15" s="19"/>
    </row>
    <row r="16" spans="1:23" x14ac:dyDescent="0.3">
      <c r="J16" s="14">
        <f t="shared" si="0"/>
        <v>0</v>
      </c>
      <c r="K16" s="19"/>
    </row>
    <row r="17" spans="10:11" x14ac:dyDescent="0.3">
      <c r="J17" s="14">
        <f t="shared" si="0"/>
        <v>0</v>
      </c>
      <c r="K17" s="19"/>
    </row>
    <row r="18" spans="10:11" x14ac:dyDescent="0.3">
      <c r="J18" s="14">
        <f t="shared" si="0"/>
        <v>0</v>
      </c>
      <c r="K18" s="19"/>
    </row>
    <row r="19" spans="10:11" x14ac:dyDescent="0.3">
      <c r="J19" s="14">
        <f t="shared" si="0"/>
        <v>0</v>
      </c>
      <c r="K19" s="19"/>
    </row>
    <row r="20" spans="10:11" x14ac:dyDescent="0.3">
      <c r="J20" s="14">
        <f t="shared" si="0"/>
        <v>0</v>
      </c>
      <c r="K20" s="19"/>
    </row>
    <row r="21" spans="10:11" x14ac:dyDescent="0.3">
      <c r="J21" s="14">
        <f t="shared" si="0"/>
        <v>0</v>
      </c>
      <c r="K21" s="19"/>
    </row>
    <row r="22" spans="10:11" x14ac:dyDescent="0.3">
      <c r="J22" s="14">
        <f t="shared" si="0"/>
        <v>0</v>
      </c>
      <c r="K22" s="19"/>
    </row>
    <row r="23" spans="10:11" x14ac:dyDescent="0.3">
      <c r="J23" s="14">
        <f t="shared" si="0"/>
        <v>0</v>
      </c>
      <c r="K23" s="19"/>
    </row>
    <row r="24" spans="10:11" x14ac:dyDescent="0.3">
      <c r="J24" s="14">
        <f>IFERROR(F24/G24,0)</f>
        <v>0</v>
      </c>
      <c r="K24" s="19"/>
    </row>
    <row r="25" spans="10:11" ht="15" customHeight="1" thickBot="1" x14ac:dyDescent="0.35">
      <c r="K25" s="19"/>
    </row>
    <row r="26" spans="10:11" ht="15" thickBot="1" x14ac:dyDescent="0.35">
      <c r="J26" s="22">
        <f>I31</f>
        <v>0</v>
      </c>
      <c r="K26" s="19"/>
    </row>
  </sheetData>
  <mergeCells count="1">
    <mergeCell ref="O4:U4"/>
  </mergeCell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Q9"/>
  <sheetViews>
    <sheetView workbookViewId="0">
      <pane ySplit="2" topLeftCell="A3" activePane="bottomLeft" state="frozen"/>
      <selection pane="bottomLeft" activeCell="C14" sqref="C14"/>
    </sheetView>
  </sheetViews>
  <sheetFormatPr defaultColWidth="8.88671875" defaultRowHeight="14.4" x14ac:dyDescent="0.3"/>
  <cols>
    <col min="1" max="1" width="19" customWidth="1"/>
    <col min="2" max="2" width="22" customWidth="1"/>
    <col min="3" max="3" width="16" customWidth="1"/>
    <col min="4" max="4" width="17" customWidth="1"/>
    <col min="5" max="5" width="34" customWidth="1"/>
    <col min="6" max="6" width="20" customWidth="1"/>
    <col min="7" max="7" width="34" customWidth="1"/>
    <col min="8" max="8" width="7" customWidth="1"/>
    <col min="9" max="9" width="41" customWidth="1"/>
    <col min="10" max="11" width="21" customWidth="1"/>
    <col min="12" max="13" width="20" customWidth="1"/>
    <col min="14" max="14" width="14" customWidth="1"/>
    <col min="15" max="15" width="9.33203125" bestFit="1" customWidth="1"/>
    <col min="16" max="16" width="19" customWidth="1"/>
    <col min="17" max="17" width="14" customWidth="1"/>
    <col min="18" max="18" width="36" customWidth="1"/>
    <col min="19" max="19" width="18" customWidth="1"/>
    <col min="20" max="20" width="39" customWidth="1"/>
    <col min="21" max="21" width="16" customWidth="1"/>
    <col min="22" max="22" width="19" customWidth="1"/>
    <col min="23" max="24" width="20" customWidth="1"/>
    <col min="25" max="26" width="23" customWidth="1"/>
    <col min="27" max="27" width="24" customWidth="1"/>
    <col min="28" max="29" width="20" customWidth="1"/>
    <col min="30" max="30" width="21" customWidth="1"/>
    <col min="31" max="31" width="24" customWidth="1"/>
    <col min="32" max="32" width="18" customWidth="1"/>
    <col min="33" max="33" width="44" customWidth="1"/>
    <col min="34" max="34" width="20" customWidth="1"/>
    <col min="35" max="35" width="50" customWidth="1"/>
    <col min="36" max="36" width="32" customWidth="1"/>
    <col min="37" max="37" width="36" customWidth="1"/>
    <col min="38" max="38" width="18" customWidth="1"/>
    <col min="39" max="39" width="35" customWidth="1"/>
    <col min="40" max="40" width="22" customWidth="1"/>
    <col min="41" max="41" width="37" customWidth="1"/>
    <col min="42" max="42" width="22" customWidth="1"/>
    <col min="43" max="43" width="37" customWidth="1"/>
    <col min="44" max="44" width="27" customWidth="1"/>
    <col min="45" max="45" width="20" customWidth="1"/>
    <col min="46" max="47" width="50" customWidth="1"/>
    <col min="48" max="48" width="20" customWidth="1"/>
    <col min="49" max="49" width="50" customWidth="1"/>
    <col min="50" max="50" width="37" customWidth="1"/>
    <col min="51" max="52" width="20" customWidth="1"/>
    <col min="53" max="53" width="23" customWidth="1"/>
    <col min="54" max="54" width="48" customWidth="1"/>
    <col min="55" max="55" width="40" customWidth="1"/>
    <col min="56" max="56" width="39" customWidth="1"/>
    <col min="57" max="57" width="20" customWidth="1"/>
    <col min="58" max="58" width="25" customWidth="1"/>
    <col min="59" max="59" width="32" customWidth="1"/>
    <col min="60" max="60" width="25" customWidth="1"/>
    <col min="61" max="61" width="19" customWidth="1"/>
    <col min="62" max="62" width="31" customWidth="1"/>
    <col min="63" max="64" width="12" customWidth="1"/>
    <col min="65" max="65" width="27" customWidth="1"/>
    <col min="66" max="66" width="19" customWidth="1"/>
    <col min="67" max="67" width="19.44140625" bestFit="1" customWidth="1"/>
    <col min="68" max="68" width="17.6640625" bestFit="1" customWidth="1"/>
    <col min="69" max="69" width="10.5546875" bestFit="1" customWidth="1"/>
  </cols>
  <sheetData>
    <row r="2" spans="1:69" ht="34.950000000000003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2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12" t="s">
        <v>76</v>
      </c>
      <c r="BP2" s="12" t="s">
        <v>75</v>
      </c>
      <c r="BQ2" s="12" t="s">
        <v>73</v>
      </c>
    </row>
    <row r="3" spans="1:69" x14ac:dyDescent="0.3">
      <c r="A3" s="3"/>
      <c r="J3" s="4"/>
      <c r="K3" s="4"/>
      <c r="L3" s="5"/>
      <c r="M3" s="5"/>
      <c r="T3" s="5"/>
      <c r="U3" s="5"/>
      <c r="W3" s="5"/>
      <c r="X3" s="5"/>
      <c r="Y3" s="5"/>
      <c r="Z3" s="5"/>
      <c r="AA3" s="5"/>
      <c r="AB3" s="5"/>
      <c r="AC3" s="5"/>
      <c r="AD3" s="4"/>
      <c r="AY3" s="5"/>
      <c r="AZ3" s="5"/>
      <c r="BH3" s="6"/>
      <c r="BN3" s="3"/>
      <c r="BO3" s="5"/>
      <c r="BP3" s="5"/>
      <c r="BQ3" s="24"/>
    </row>
    <row r="8" spans="1:69" x14ac:dyDescent="0.3">
      <c r="AY8" s="15"/>
      <c r="AZ8" s="9"/>
    </row>
    <row r="9" spans="1:69" x14ac:dyDescent="0.3">
      <c r="AY9" s="15"/>
    </row>
  </sheetData>
  <conditionalFormatting sqref="N3">
    <cfRule type="colorScale" priority="2">
      <colorScale>
        <cfvo type="min"/>
        <cfvo type="percentile" val="50"/>
        <cfvo type="max"/>
        <color rgb="FF7AB800"/>
        <color rgb="FFFFEB84"/>
        <color rgb="FFFF6464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X_Coordinación</vt:lpstr>
      <vt:lpstr>X_Recuperador</vt:lpstr>
      <vt:lpstr>R_Completo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Uzziel Valdez Ordoñez</cp:lastModifiedBy>
  <dcterms:created xsi:type="dcterms:W3CDTF">2025-11-12T17:01:44Z</dcterms:created>
  <dcterms:modified xsi:type="dcterms:W3CDTF">2026-01-06T00:11:46Z</dcterms:modified>
</cp:coreProperties>
</file>