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51c4d2bbdfe4539/Desktop/Reportes/Reporte de Antigüedad/Reportes de Antigüedad 2025/Octubre/"/>
    </mc:Choice>
  </mc:AlternateContent>
  <xr:revisionPtr revIDLastSave="11144" documentId="8_{CACBEC73-278F-4F49-8D29-A5796D46D13D}" xr6:coauthVersionLast="47" xr6:coauthVersionMax="47" xr10:uidLastSave="{AB664393-1FAD-4B0D-A7BC-D19D91C6F5B0}"/>
  <bookViews>
    <workbookView xWindow="11424" yWindow="0" windowWidth="11712" windowHeight="13776" firstSheet="7" activeTab="9" xr2:uid="{BC462422-FDE3-4AAD-9311-27AC4883BBD2}"/>
  </bookViews>
  <sheets>
    <sheet name="Rep_completo" sheetId="8" state="hidden" r:id="rId1"/>
    <sheet name="13102025" sheetId="1" r:id="rId2"/>
    <sheet name="Valle" sheetId="2" r:id="rId3"/>
    <sheet name="Tenancingo" sheetId="4" r:id="rId4"/>
    <sheet name="Metepec" sheetId="3" r:id="rId5"/>
    <sheet name="Maravatio" sheetId="5" r:id="rId6"/>
    <sheet name="Atlacomulco" sheetId="9" r:id="rId7"/>
    <sheet name="Mora" sheetId="6" r:id="rId8"/>
    <sheet name="Cuentas_con_saldo_vencido" sheetId="10" state="hidden" r:id="rId9"/>
    <sheet name="Liquidación Anticipada" sheetId="11" r:id="rId10"/>
  </sheets>
  <definedNames>
    <definedName name="_xlnm._FilterDatabase" localSheetId="1" hidden="1">'13102025'!$A$4:$BN$240</definedName>
    <definedName name="_xlnm._FilterDatabase" localSheetId="6" hidden="1">Atlacomulco!$B$6:$BV$6</definedName>
    <definedName name="_xlnm._FilterDatabase" localSheetId="8" hidden="1">Cuentas_con_saldo_vencido!$A$6:$BL$6</definedName>
    <definedName name="_xlnm._FilterDatabase" localSheetId="5" hidden="1">Maravatio!$B$6:$BV$32</definedName>
    <definedName name="_xlnm._FilterDatabase" localSheetId="4" hidden="1">Metepec!$B$6:$BV$52</definedName>
    <definedName name="_xlnm._FilterDatabase" localSheetId="7" hidden="1">Mora!$B$6:$BL$6</definedName>
    <definedName name="_xlnm._FilterDatabase" localSheetId="0" hidden="1">Rep_completo!$B$4:$K$220</definedName>
    <definedName name="_xlnm._FilterDatabase" localSheetId="3" hidden="1">Tenancingo!$B$6:$BV$6</definedName>
    <definedName name="_xlnm._FilterDatabase" localSheetId="2" hidden="1">Valle!$B$6:$BV$6</definedName>
    <definedName name="_xleta.VLOOKUP" hidden="1" xlm="1">#NAME?</definedName>
    <definedName name="BI">Rep_completo!$L:$M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" i="11" l="1"/>
  <c r="H8" i="11"/>
  <c r="G8" i="11"/>
  <c r="F8" i="11"/>
  <c r="E8" i="11"/>
  <c r="L8" i="11" s="1"/>
  <c r="D8" i="11"/>
  <c r="C8" i="11"/>
  <c r="P8" i="6" l="1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7" i="6"/>
  <c r="BI121" i="6"/>
  <c r="A121" i="6"/>
  <c r="BI120" i="6"/>
  <c r="A120" i="6"/>
  <c r="BI119" i="6"/>
  <c r="A119" i="6"/>
  <c r="BI118" i="6"/>
  <c r="A118" i="6"/>
  <c r="BI117" i="6"/>
  <c r="A117" i="6"/>
  <c r="BI116" i="6"/>
  <c r="A116" i="6"/>
  <c r="BI115" i="6"/>
  <c r="A115" i="6"/>
  <c r="BI114" i="6"/>
  <c r="A114" i="6"/>
  <c r="BI113" i="6"/>
  <c r="A113" i="6"/>
  <c r="BI112" i="6"/>
  <c r="A112" i="6"/>
  <c r="BI111" i="6"/>
  <c r="A111" i="6"/>
  <c r="BI110" i="6"/>
  <c r="A110" i="6"/>
  <c r="BI109" i="6"/>
  <c r="A109" i="6"/>
  <c r="BI108" i="6"/>
  <c r="A108" i="6"/>
  <c r="BI107" i="6"/>
  <c r="A107" i="6"/>
  <c r="BI106" i="6"/>
  <c r="A106" i="6"/>
  <c r="BI105" i="6"/>
  <c r="A105" i="6"/>
  <c r="BI104" i="6"/>
  <c r="A104" i="6"/>
  <c r="BI103" i="6"/>
  <c r="A103" i="6"/>
  <c r="BI102" i="6"/>
  <c r="A102" i="6"/>
  <c r="BI101" i="6"/>
  <c r="A101" i="6"/>
  <c r="BI100" i="6"/>
  <c r="A100" i="6"/>
  <c r="BI99" i="6"/>
  <c r="A99" i="6"/>
  <c r="BI98" i="6"/>
  <c r="A98" i="6"/>
  <c r="BI97" i="6"/>
  <c r="A97" i="6"/>
  <c r="BI96" i="6"/>
  <c r="A96" i="6"/>
  <c r="BI95" i="6"/>
  <c r="A95" i="6"/>
  <c r="BI94" i="6"/>
  <c r="A94" i="6"/>
  <c r="BI93" i="6"/>
  <c r="A93" i="6"/>
  <c r="BI92" i="6"/>
  <c r="A92" i="6"/>
  <c r="BI91" i="6"/>
  <c r="A91" i="6"/>
  <c r="BI90" i="6"/>
  <c r="A90" i="6"/>
  <c r="BI89" i="6"/>
  <c r="A89" i="6"/>
  <c r="BI88" i="6"/>
  <c r="A88" i="6"/>
  <c r="BI87" i="6"/>
  <c r="A87" i="6"/>
  <c r="BI86" i="6"/>
  <c r="A86" i="6"/>
  <c r="BI85" i="6"/>
  <c r="A85" i="6"/>
  <c r="BI84" i="6"/>
  <c r="A84" i="6"/>
  <c r="BI83" i="6"/>
  <c r="A83" i="6"/>
  <c r="BI82" i="6"/>
  <c r="A82" i="6"/>
  <c r="BI81" i="6"/>
  <c r="A81" i="6"/>
  <c r="BI80" i="6"/>
  <c r="A80" i="6"/>
  <c r="BI79" i="6"/>
  <c r="A79" i="6"/>
  <c r="BI78" i="6"/>
  <c r="A78" i="6"/>
  <c r="BI77" i="6"/>
  <c r="A77" i="6"/>
  <c r="BI76" i="6"/>
  <c r="A76" i="6"/>
  <c r="BI75" i="6"/>
  <c r="A75" i="6"/>
  <c r="BI74" i="6"/>
  <c r="A74" i="6"/>
  <c r="BI73" i="6"/>
  <c r="A73" i="6"/>
  <c r="BI72" i="6"/>
  <c r="A72" i="6"/>
  <c r="BI71" i="6"/>
  <c r="A71" i="6"/>
  <c r="BI70" i="6"/>
  <c r="A70" i="6"/>
  <c r="BI69" i="6"/>
  <c r="A69" i="6"/>
  <c r="BI68" i="6"/>
  <c r="A68" i="6"/>
  <c r="BI67" i="6"/>
  <c r="A67" i="6"/>
  <c r="BI66" i="6"/>
  <c r="A66" i="6"/>
  <c r="BI65" i="6"/>
  <c r="A65" i="6"/>
  <c r="BI64" i="6"/>
  <c r="A64" i="6"/>
  <c r="BI63" i="6"/>
  <c r="A63" i="6"/>
  <c r="BI62" i="6"/>
  <c r="A62" i="6"/>
  <c r="BI61" i="6"/>
  <c r="A61" i="6"/>
  <c r="BI60" i="6"/>
  <c r="A60" i="6"/>
  <c r="BI59" i="6"/>
  <c r="A59" i="6"/>
  <c r="BI58" i="6"/>
  <c r="A58" i="6"/>
  <c r="BI57" i="6"/>
  <c r="A57" i="6"/>
  <c r="BI56" i="6"/>
  <c r="A56" i="6"/>
  <c r="BI55" i="6"/>
  <c r="A55" i="6"/>
  <c r="BI54" i="6"/>
  <c r="A54" i="6"/>
  <c r="BI53" i="6"/>
  <c r="A53" i="6"/>
  <c r="BI52" i="6"/>
  <c r="A52" i="6"/>
  <c r="BI51" i="6"/>
  <c r="A51" i="6"/>
  <c r="BI50" i="6"/>
  <c r="A50" i="6"/>
  <c r="BI49" i="6"/>
  <c r="A49" i="6"/>
  <c r="BI48" i="6"/>
  <c r="A48" i="6"/>
  <c r="BI47" i="6"/>
  <c r="A47" i="6"/>
  <c r="BI46" i="6"/>
  <c r="A46" i="6"/>
  <c r="BI45" i="6"/>
  <c r="A45" i="6"/>
  <c r="BI44" i="6"/>
  <c r="A44" i="6"/>
  <c r="BI43" i="6"/>
  <c r="A43" i="6"/>
  <c r="BI42" i="6"/>
  <c r="A42" i="6"/>
  <c r="BI41" i="6"/>
  <c r="A41" i="6"/>
  <c r="BI40" i="6"/>
  <c r="A40" i="6"/>
  <c r="BI39" i="6"/>
  <c r="A39" i="6"/>
  <c r="BI38" i="6"/>
  <c r="A38" i="6"/>
  <c r="BI37" i="6"/>
  <c r="A37" i="6"/>
  <c r="BI36" i="6"/>
  <c r="A36" i="6"/>
  <c r="BI35" i="6"/>
  <c r="A35" i="6"/>
  <c r="BI34" i="6"/>
  <c r="A34" i="6"/>
  <c r="BI33" i="6"/>
  <c r="A33" i="6"/>
  <c r="BI32" i="6"/>
  <c r="A32" i="6"/>
  <c r="BI31" i="6"/>
  <c r="A31" i="6"/>
  <c r="BI30" i="6"/>
  <c r="A30" i="6"/>
  <c r="BI29" i="6"/>
  <c r="A29" i="6"/>
  <c r="BI28" i="6"/>
  <c r="A28" i="6"/>
  <c r="BI27" i="6"/>
  <c r="A27" i="6"/>
  <c r="BI26" i="6"/>
  <c r="A26" i="6"/>
  <c r="BI25" i="6"/>
  <c r="A25" i="6"/>
  <c r="BI24" i="6"/>
  <c r="A24" i="6"/>
  <c r="BI23" i="6"/>
  <c r="A23" i="6"/>
  <c r="BI22" i="6"/>
  <c r="A22" i="6"/>
  <c r="BI21" i="6"/>
  <c r="A21" i="6"/>
  <c r="BI20" i="6"/>
  <c r="A20" i="6"/>
  <c r="BI19" i="6"/>
  <c r="A19" i="6"/>
  <c r="BI18" i="6"/>
  <c r="A18" i="6"/>
  <c r="BI17" i="6"/>
  <c r="A17" i="6"/>
  <c r="BI16" i="6"/>
  <c r="A16" i="6"/>
  <c r="BI15" i="6"/>
  <c r="A15" i="6"/>
  <c r="BI14" i="6"/>
  <c r="A14" i="6"/>
  <c r="BI13" i="6"/>
  <c r="A13" i="6"/>
  <c r="BI12" i="6"/>
  <c r="A12" i="6"/>
  <c r="BI11" i="6"/>
  <c r="A11" i="6"/>
  <c r="BI10" i="6"/>
  <c r="A10" i="6"/>
  <c r="BI9" i="6"/>
  <c r="A9" i="6"/>
  <c r="BI8" i="6"/>
  <c r="A8" i="6"/>
  <c r="BI7" i="6"/>
  <c r="A7" i="6"/>
  <c r="BH6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5" i="1"/>
  <c r="A46" i="1"/>
  <c r="A220" i="1"/>
  <c r="A219" i="1"/>
  <c r="A32" i="1"/>
  <c r="A95" i="1"/>
  <c r="A218" i="1"/>
  <c r="A217" i="1"/>
  <c r="A216" i="1"/>
  <c r="A55" i="1"/>
  <c r="A215" i="1"/>
  <c r="A54" i="1"/>
  <c r="A214" i="1"/>
  <c r="A213" i="1"/>
  <c r="A107" i="1"/>
  <c r="A70" i="1"/>
  <c r="A45" i="1"/>
  <c r="A42" i="1"/>
  <c r="A25" i="1"/>
  <c r="A51" i="1"/>
  <c r="A50" i="1"/>
  <c r="A212" i="1"/>
  <c r="A86" i="1"/>
  <c r="A74" i="1"/>
  <c r="A93" i="1"/>
  <c r="A76" i="1"/>
  <c r="A85" i="1"/>
  <c r="A79" i="1"/>
  <c r="A61" i="1"/>
  <c r="A34" i="1"/>
  <c r="A211" i="1"/>
  <c r="A119" i="1"/>
  <c r="A210" i="1"/>
  <c r="A209" i="1"/>
  <c r="A106" i="1"/>
  <c r="A208" i="1"/>
  <c r="A207" i="1"/>
  <c r="A206" i="1"/>
  <c r="A205" i="1"/>
  <c r="A204" i="1"/>
  <c r="A203" i="1"/>
  <c r="A202" i="1"/>
  <c r="A110" i="1"/>
  <c r="A201" i="1"/>
  <c r="A84" i="1"/>
  <c r="A58" i="1"/>
  <c r="A200" i="1"/>
  <c r="A199" i="1"/>
  <c r="A10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0" i="1"/>
  <c r="A8" i="1"/>
  <c r="A31" i="1"/>
  <c r="A17" i="1"/>
  <c r="A92" i="1"/>
  <c r="A16" i="1"/>
  <c r="A73" i="1"/>
  <c r="A41" i="1"/>
  <c r="A14" i="1"/>
  <c r="A49" i="1"/>
  <c r="A26" i="1"/>
  <c r="A22" i="1"/>
  <c r="A183" i="1"/>
  <c r="A182" i="1"/>
  <c r="A181" i="1"/>
  <c r="A180" i="1"/>
  <c r="A72" i="1"/>
  <c r="A179" i="1"/>
  <c r="A178" i="1"/>
  <c r="A177" i="1"/>
  <c r="A83" i="1"/>
  <c r="A176" i="1"/>
  <c r="A175" i="1"/>
  <c r="A174" i="1"/>
  <c r="A57" i="1"/>
  <c r="A12" i="1"/>
  <c r="A69" i="1"/>
  <c r="A91" i="1"/>
  <c r="A15" i="1"/>
  <c r="A60" i="1"/>
  <c r="A78" i="1"/>
  <c r="A40" i="1"/>
  <c r="A19" i="1"/>
  <c r="A18" i="1"/>
  <c r="A65" i="1"/>
  <c r="A56" i="1"/>
  <c r="A36" i="1"/>
  <c r="A35" i="1"/>
  <c r="A30" i="1"/>
  <c r="A90" i="1"/>
  <c r="A98" i="1"/>
  <c r="A71" i="1"/>
  <c r="A68" i="1"/>
  <c r="A38" i="1"/>
  <c r="A23" i="1"/>
  <c r="A24" i="1"/>
  <c r="A43" i="1"/>
  <c r="A28" i="1"/>
  <c r="A59" i="1"/>
  <c r="A21" i="1"/>
  <c r="A89" i="1"/>
  <c r="A103" i="1"/>
  <c r="A102" i="1"/>
  <c r="A82" i="1"/>
  <c r="A173" i="1"/>
  <c r="A172" i="1"/>
  <c r="A171" i="1"/>
  <c r="A170" i="1"/>
  <c r="A118" i="1"/>
  <c r="A67" i="1"/>
  <c r="A169" i="1"/>
  <c r="A168" i="1"/>
  <c r="A167" i="1"/>
  <c r="A166" i="1"/>
  <c r="A165" i="1"/>
  <c r="A164" i="1"/>
  <c r="A163" i="1"/>
  <c r="A88" i="1"/>
  <c r="A162" i="1"/>
  <c r="A161" i="1"/>
  <c r="A94" i="1"/>
  <c r="A117" i="1"/>
  <c r="A116" i="1"/>
  <c r="A160" i="1"/>
  <c r="A101" i="1"/>
  <c r="A115" i="1"/>
  <c r="A159" i="1"/>
  <c r="A158" i="1"/>
  <c r="A100" i="1"/>
  <c r="A157" i="1"/>
  <c r="A156" i="1"/>
  <c r="A114" i="1"/>
  <c r="A155" i="1"/>
  <c r="A154" i="1"/>
  <c r="A153" i="1"/>
  <c r="A152" i="1"/>
  <c r="A151" i="1"/>
  <c r="A64" i="1"/>
  <c r="A150" i="1"/>
  <c r="A149" i="1"/>
  <c r="A148" i="1"/>
  <c r="A147" i="1"/>
  <c r="A53" i="1"/>
  <c r="A146" i="1"/>
  <c r="A77" i="1"/>
  <c r="A11" i="1"/>
  <c r="A87" i="1"/>
  <c r="A29" i="1"/>
  <c r="A81" i="1"/>
  <c r="A145" i="1"/>
  <c r="A105" i="1"/>
  <c r="A62" i="1"/>
  <c r="A48" i="1"/>
  <c r="A37" i="1"/>
  <c r="A44" i="1"/>
  <c r="A75" i="1"/>
  <c r="A33" i="1"/>
  <c r="A39" i="1"/>
  <c r="A144" i="1"/>
  <c r="A80" i="1"/>
  <c r="A104" i="1"/>
  <c r="A20" i="1"/>
  <c r="A47" i="1"/>
  <c r="A13" i="1"/>
  <c r="A112" i="1"/>
  <c r="A143" i="1"/>
  <c r="A142" i="1"/>
  <c r="A63" i="1"/>
  <c r="A141" i="1"/>
  <c r="A140" i="1"/>
  <c r="A66" i="1"/>
  <c r="A139" i="1"/>
  <c r="A52" i="1"/>
  <c r="A138" i="1"/>
  <c r="A137" i="1"/>
  <c r="A136" i="1"/>
  <c r="A135" i="1"/>
  <c r="A134" i="1"/>
  <c r="A133" i="1"/>
  <c r="A108" i="1"/>
  <c r="A132" i="1"/>
  <c r="A99" i="1"/>
  <c r="A113" i="1"/>
  <c r="A96" i="1"/>
  <c r="A131" i="1"/>
  <c r="A130" i="1"/>
  <c r="A97" i="1"/>
  <c r="A129" i="1"/>
  <c r="A128" i="1"/>
  <c r="A27" i="1"/>
  <c r="A127" i="1"/>
  <c r="A111" i="1"/>
  <c r="A126" i="1"/>
  <c r="A125" i="1"/>
  <c r="A124" i="1"/>
  <c r="A123" i="1"/>
  <c r="A122" i="1"/>
  <c r="A121" i="1"/>
  <c r="A120" i="1"/>
  <c r="A9" i="1"/>
  <c r="A5" i="1"/>
  <c r="A7" i="1"/>
  <c r="A6" i="1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BH11" i="10"/>
  <c r="A11" i="10"/>
  <c r="BH10" i="10"/>
  <c r="A10" i="10"/>
  <c r="BH9" i="10"/>
  <c r="A9" i="10"/>
  <c r="BH8" i="10"/>
  <c r="A8" i="10"/>
  <c r="BH7" i="10"/>
  <c r="A7" i="10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5" i="8"/>
  <c r="A6" i="8"/>
  <c r="A7" i="8"/>
  <c r="A8" i="8"/>
  <c r="A9" i="8"/>
  <c r="A10" i="8"/>
  <c r="A11" i="8"/>
  <c r="A12" i="8"/>
  <c r="A13" i="8"/>
  <c r="A14" i="8"/>
  <c r="A15" i="8"/>
  <c r="A16" i="8"/>
  <c r="BH221" i="1" l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</calcChain>
</file>

<file path=xl/sharedStrings.xml><?xml version="1.0" encoding="utf-8"?>
<sst xmlns="http://schemas.openxmlformats.org/spreadsheetml/2006/main" count="21471" uniqueCount="3062">
  <si>
    <t>Nom. región</t>
  </si>
  <si>
    <t>Coordinación</t>
  </si>
  <si>
    <t>Código
promotor</t>
  </si>
  <si>
    <t>Nombre
promotor</t>
  </si>
  <si>
    <t>Código
recuperador</t>
  </si>
  <si>
    <t>Nombre
recuperador</t>
  </si>
  <si>
    <t>Código
acreditado</t>
  </si>
  <si>
    <t>Ciclo</t>
  </si>
  <si>
    <t>Nombre acreditado</t>
  </si>
  <si>
    <t>Inicio
ciclo</t>
  </si>
  <si>
    <t>Fin
ciclo</t>
  </si>
  <si>
    <t>Cantidad
entregada</t>
  </si>
  <si>
    <t>Cantidad
Prestada</t>
  </si>
  <si>
    <t>Días de mora</t>
  </si>
  <si>
    <t>Plazo del
crédito</t>
  </si>
  <si>
    <t>Periodicidad</t>
  </si>
  <si>
    <t>Parcialidad +
Parcialidad comisión</t>
  </si>
  <si>
    <t>Comisión
a pagar</t>
  </si>
  <si>
    <t>Interés moratorio saldo
vencido total</t>
  </si>
  <si>
    <t>Pagos vencidos</t>
  </si>
  <si>
    <t>Periodos
vencidos</t>
  </si>
  <si>
    <t>Saldo
capital</t>
  </si>
  <si>
    <t>Saldo
vencido</t>
  </si>
  <si>
    <t>Saldo capital vencido</t>
  </si>
  <si>
    <t>Saldo interés vencido</t>
  </si>
  <si>
    <t>Saldo comisión vencida</t>
  </si>
  <si>
    <t>Saldo recargos</t>
  </si>
  <si>
    <t>$ Último
pago</t>
  </si>
  <si>
    <t>Último
pago</t>
  </si>
  <si>
    <t>Situación
crédito</t>
  </si>
  <si>
    <t>Medio
comunic. 1</t>
  </si>
  <si>
    <t>Medio
comunic. 2</t>
  </si>
  <si>
    <t>Medio
comunic. 3</t>
  </si>
  <si>
    <t>Actividad económica
PLD</t>
  </si>
  <si>
    <t>Código actividad
económica PLD</t>
  </si>
  <si>
    <t>Nombre
conyuge</t>
  </si>
  <si>
    <t>Teléfono
conyuge</t>
  </si>
  <si>
    <t>Nombre
referencia 1</t>
  </si>
  <si>
    <t>Teléfono
referencia 1</t>
  </si>
  <si>
    <t>Nombre
referencia 2</t>
  </si>
  <si>
    <t>Teléfono
referencia 2</t>
  </si>
  <si>
    <t>Nombre
referencia 3</t>
  </si>
  <si>
    <t>Teléfono
referencia 3</t>
  </si>
  <si>
    <t>Tipo Garantía 1</t>
  </si>
  <si>
    <t>Descripción
garantía 1</t>
  </si>
  <si>
    <t>Garantía 1</t>
  </si>
  <si>
    <t>Tipo Garantía 2</t>
  </si>
  <si>
    <t>Descripción
garantía 2</t>
  </si>
  <si>
    <t>Garantía 2</t>
  </si>
  <si>
    <t>Saldo
total</t>
  </si>
  <si>
    <t>Saldo
adelantado</t>
  </si>
  <si>
    <t>Cód. producto
crédito</t>
  </si>
  <si>
    <t>Nom. producto
crédito</t>
  </si>
  <si>
    <t>Calle</t>
  </si>
  <si>
    <t>Colonia</t>
  </si>
  <si>
    <t>Entidad
federativa</t>
  </si>
  <si>
    <t>Municipio</t>
  </si>
  <si>
    <t>Castigado
cartera</t>
  </si>
  <si>
    <t>Nom. personal
castiga cartera</t>
  </si>
  <si>
    <t>Frecuencia</t>
  </si>
  <si>
    <t>Criticidad</t>
  </si>
  <si>
    <t>Región Estado México</t>
  </si>
  <si>
    <t>Valle de bravo</t>
  </si>
  <si>
    <t>000008</t>
  </si>
  <si>
    <t>Lopez Vargas Betsabe Yesenia</t>
  </si>
  <si>
    <t>000005</t>
  </si>
  <si>
    <t>Garduño Hernandez Miguel Angel</t>
  </si>
  <si>
    <t>01</t>
  </si>
  <si>
    <t>Mensual</t>
  </si>
  <si>
    <t>Entregado</t>
  </si>
  <si>
    <t>COMPRAVENTA DE ARTICULOS DE MERCERIA Y CEDERIA</t>
  </si>
  <si>
    <t>6215017</t>
  </si>
  <si>
    <t>Individual mensual garantia liquida nivel I TI</t>
  </si>
  <si>
    <t>Loma Bonita</t>
  </si>
  <si>
    <t>México</t>
  </si>
  <si>
    <t>Valle De Bravo</t>
  </si>
  <si>
    <t>02</t>
  </si>
  <si>
    <t>Individual mensual con garantia nivel I TI</t>
  </si>
  <si>
    <t>001004</t>
  </si>
  <si>
    <t>DE NOVA GABINO ROSA MARTHA</t>
  </si>
  <si>
    <t>7443086818</t>
  </si>
  <si>
    <t>reyesjosejuan738@gmail.com</t>
  </si>
  <si>
    <t>COMPRAVENTA DE CARNE DE RES Y OTRAS ESPECIES DE GANADO</t>
  </si>
  <si>
    <t>6122014</t>
  </si>
  <si>
    <t>FLOR DE MARIA  #SN</t>
  </si>
  <si>
    <t>San Antonio</t>
  </si>
  <si>
    <t>RESTAURANTE</t>
  </si>
  <si>
    <t>8711021</t>
  </si>
  <si>
    <t>Valle de Bravo</t>
  </si>
  <si>
    <t>COMPRAVENTA DE ROPA</t>
  </si>
  <si>
    <t>6211023</t>
  </si>
  <si>
    <t>001027</t>
  </si>
  <si>
    <t>DE PAZ ESTRADA DIANA</t>
  </si>
  <si>
    <t>7227163914</t>
  </si>
  <si>
    <t>FABRICACION DE ALGODON ABSORBENTE VENDAS TELA ADHESIVA Y PRODUCTOS SIMILARES</t>
  </si>
  <si>
    <t>2433019</t>
  </si>
  <si>
    <t>SANTA MARIA PIPIOLTEPEC #SN-SN</t>
  </si>
  <si>
    <t>Santa María Pipioltepec (Pipioltepec)</t>
  </si>
  <si>
    <t>CRIA Y EXPLOTACION DE GANADO OVINO</t>
  </si>
  <si>
    <t>0222018</t>
  </si>
  <si>
    <t>FABRICACION DE MUEBLES DE MADERA</t>
  </si>
  <si>
    <t>2711019</t>
  </si>
  <si>
    <t>TALLER MECANICO DE FABRICACION Y REPARACION DE PARTES INDUSTRIALES</t>
  </si>
  <si>
    <t>001037</t>
  </si>
  <si>
    <t>SEBASTIAN FLORES MARGARITA</t>
  </si>
  <si>
    <t>7224419211</t>
  </si>
  <si>
    <t>CASTILLO MIGUEL FELIPE</t>
  </si>
  <si>
    <t>7224419212</t>
  </si>
  <si>
    <t>LOS MISPEROS #SN-SN</t>
  </si>
  <si>
    <t>001039</t>
  </si>
  <si>
    <t>GARCIA REYES GUADALUPE</t>
  </si>
  <si>
    <t>5551538204</t>
  </si>
  <si>
    <t>ANDADOR SAUCE SN  #SN-SN</t>
  </si>
  <si>
    <t>000014</t>
  </si>
  <si>
    <t>Rios Osorio Maritere</t>
  </si>
  <si>
    <t>001035</t>
  </si>
  <si>
    <t>RAMIREZ DIAZ REBECA</t>
  </si>
  <si>
    <t>7222671821</t>
  </si>
  <si>
    <t>rebelu_2704@hotmail.com</t>
  </si>
  <si>
    <t>FAITAN GUERRA DANTE</t>
  </si>
  <si>
    <t>5529416705</t>
  </si>
  <si>
    <t>EMPLEADO DEL SECTOR PUBLICO</t>
  </si>
  <si>
    <t>Garantía Prendaria</t>
  </si>
  <si>
    <t>03</t>
  </si>
  <si>
    <t>Individual mensual con garantia nivel I TPref</t>
  </si>
  <si>
    <t>Barranca Seca</t>
  </si>
  <si>
    <t>001092</t>
  </si>
  <si>
    <t>BERNAL HERNANDEZ ADAN</t>
  </si>
  <si>
    <t>7223738393</t>
  </si>
  <si>
    <t>hernandez251105@yahoo.com.mx</t>
  </si>
  <si>
    <t>COMPRAVENTA DE ARTICULOS DE FERRETERIA</t>
  </si>
  <si>
    <t>6622022</t>
  </si>
  <si>
    <t>PEÑA MACIAS LUZ AIDA</t>
  </si>
  <si>
    <t>TITULO EXPEDIDO POR STATE OF CALIFORNIA, Valor 64,651.00, Nombre VEHICULO PICK UP F150, Folio Factura CA84251075, Fecha Factura 14/01/2005, Número de serie 1FTPX17LXYKA20935, Número de motor SIN NUMERO, Modelo 2000, Marca FORD, Propietario BERNAL HERNANDEZ ADAN</t>
  </si>
  <si>
    <t>VEHICULO PICK UP F150</t>
  </si>
  <si>
    <t>04</t>
  </si>
  <si>
    <t>Individual mensual con garantia nivel I Tprem</t>
  </si>
  <si>
    <t>Pedraza Ponce Julio Enrique</t>
  </si>
  <si>
    <t>001194</t>
  </si>
  <si>
    <t>GOMEZ TAGLE HUERTA FRANCISCO ABDIEL</t>
  </si>
  <si>
    <t>7225031264</t>
  </si>
  <si>
    <t>franciscoagth@hotmail.com</t>
  </si>
  <si>
    <t>COMPRAVENTA DE MEDICINAS</t>
  </si>
  <si>
    <t>6231013</t>
  </si>
  <si>
    <t>CASTRO CAMPOS BEATRIZ</t>
  </si>
  <si>
    <t>TITULO EXPEDIDO  POR COMMONWEALTH OF PENNSYLVANIA, , , , Valor 26,251.00, Nombre VEHICULO SW, Folio Factura 50829795103 TI, Fecha Factura 30/03/2007, Número de serie 1C4GP54R9VB331168, Número de motor SN, Modelo 1997, Marca CHRYSLER, Propietario GOMEZ TAGLE HUERTA FRANCISCO ABDIEL</t>
  </si>
  <si>
    <t>VEHICULO SW</t>
  </si>
  <si>
    <t>TITULO EXPEDIDO POR TEXAS CERTIFICATE OF TITLE, Valor 25,000.00, Nombre VEHICULO SABLE, Folio Factura 01525736137152854, Fecha Factura 23/12/1998, Número de serie 1MELM50U5TA643085, Número de motor SN, Modelo 1996, Marca MERCURY, Propietario GOMEZ TAGLE HUERTA FRANCISCO ABDIEL</t>
  </si>
  <si>
    <t>VEHICULO SABLE</t>
  </si>
  <si>
    <t>CABALLERO CHAMORRO JUAN PATRICIO</t>
  </si>
  <si>
    <t>caballerochamorrojuanpatricio@gmail.com</t>
  </si>
  <si>
    <t>HOTEL</t>
  </si>
  <si>
    <t>AGUILAR BARCENAS ANTONIO</t>
  </si>
  <si>
    <t>antonioaguilar4064@gmail.com</t>
  </si>
  <si>
    <t>TALLER DE REPARACION GENERAL DE AUTOMOVILES Y CAMIONES</t>
  </si>
  <si>
    <t>FACTURA EXPEDIDA POR AUTOMOTRIZ CUERNAVACA NORTE S.A DE C.V, , Valor 17,359.00, Nombre VEHICULO JETTA GL, Folio Factura 7381, Fecha Factura 11/07/1992, Número de serie 3VWRA21G6NM054108, Número de motor RV116090, Modelo 1992, Marca VOLKSWAGEN, Propietario AGUILAR BARCENAS ANTONIO</t>
  </si>
  <si>
    <t>VEHICULO JETTA GL</t>
  </si>
  <si>
    <t>Quirografaria</t>
  </si>
  <si>
    <t>CONTRATO DE COMPRAVENTA DE UNA FRACCION DEL INMUEBLE CON UNA SUPERFICIE DE 190.40 M2_x000D_
_x000D_
MEDIDAS Y COLINDANCIAS_x000D_
NORTE 21.80 M CON JUAN VARGAS_x000D_
SUR 20.40 M CON ARNULFO TAPIA_x000D_
ORIENTE 8.40 M CON JUAN VARGAS_x000D_
PONIENTE 10.00 M CON CAMINO A RINCON DE ESTRADAS</t>
  </si>
  <si>
    <t>CONTRATO DE COMPRAVENTA</t>
  </si>
  <si>
    <t>PONCE JARAMILLO ERNESTO</t>
  </si>
  <si>
    <t>hernesto01@gmail.com</t>
  </si>
  <si>
    <t>FABRICACION DE PIEZAS METALICAS POR FUNDICION Y MOLDEO EXCEPTO PARA MAQUINARIA EQUIPO Y MATERIAL DE TRANSPORTE</t>
  </si>
  <si>
    <t>MARTINEZ AGUILAR MARINA</t>
  </si>
  <si>
    <t>TITULO EXPEDIDO POR STATE OF IOWA, Valor 80,000.00, Nombre CAMIONETA PICK UP RANGER, Folio Factura 30W098509, Fecha Factura 28/06/2000, Número de serie 1FTCR15T3KPB22390, Número de motor SIN NUMERO, Modelo 1989, Marca FORD, Propietario PONCE JARAMILLO ERNESTO</t>
  </si>
  <si>
    <t>CAMIONETA PICK UP RANGER</t>
  </si>
  <si>
    <t>CAYETANO CIPRIANO MARIA DEL CONSUELO</t>
  </si>
  <si>
    <t>consuelocayetano79@gmail.com</t>
  </si>
  <si>
    <t>COMPRAVENTA DE VIDRIOS CRISTALES Y EMPLOMADOS</t>
  </si>
  <si>
    <t>VAZQUEZ CLIMACO LUIS ALFONSO</t>
  </si>
  <si>
    <t>TITULO EXPEDIDO POR STATE OF INDIANA, Valor 70,000.00, Nombre VEHICULO SONOMA PICK UP CAB 1/2, Folio Factura 06195226009, Fecha Factura 18/12/2006, Número de serie 1GTCS1945V8501588, Número de motor SIN NUMERO, Modelo 1997, Marca GMC, Propietario CAYETANO CIPRIANO MARIA DEL CONSUELO</t>
  </si>
  <si>
    <t>VEHICULO SONOMA PICK UP CAB 1/2</t>
  </si>
  <si>
    <t>El Arco</t>
  </si>
  <si>
    <t>001164</t>
  </si>
  <si>
    <t>LOZA FLORES VICTORIANO</t>
  </si>
  <si>
    <t>7228517224</t>
  </si>
  <si>
    <t>construcioneljao06@gmail.com</t>
  </si>
  <si>
    <t>FABRICACION DE MARCOS Y MOLDURAS DE MADERA</t>
  </si>
  <si>
    <t>2719013</t>
  </si>
  <si>
    <t>MARIN VAZQUEZ MARIA GUADALUPE</t>
  </si>
  <si>
    <t>TITULO EXPEDIDO POR STATE OF NORTH CAROLINA, Valor 25,586.00, Nombre JEEP SW, Folio Factura 779711040890053, Fecha Factura 07/04/2004, Número de serie 1J4FT68S4PL613798, Número de motor SIN NUMERO, Modelo 1993, Marca JEEP, Propietario LOZA FLORES VICTORIANO</t>
  </si>
  <si>
    <t>JEEP SW</t>
  </si>
  <si>
    <t>CDA PRIMAVERA #SN-SN</t>
  </si>
  <si>
    <t>000029</t>
  </si>
  <si>
    <t>Colin Garduño Estefani</t>
  </si>
  <si>
    <t>ORTEGA HERNANDEZ LUCIA</t>
  </si>
  <si>
    <t>creaciones_lucy@outlook.es</t>
  </si>
  <si>
    <t>TALLER DE CONFECCION DE VESTIDOS</t>
  </si>
  <si>
    <t>MEDINA GARCIA ALFREDO</t>
  </si>
  <si>
    <t>FACTURA EXPEDIDA  MONARQUIA AUTOMOTRIZ, S.A. DE C.V., Valor 88,213.00, Nombre AUTOMOVIL BORA SPORT TIPTRONIC., Folio Factura A13919, Fecha Factura 22/07/2009, Número de serie 3VWRG11K49M151813, Número de motor CCC055621, Modelo 2009, Marca VOLKSWAGEN, Propietario ORTEGA HERNANDEZ ERIKA GABRIELA</t>
  </si>
  <si>
    <t>AUTOMOVIL BORA SPORT TIPTRONIC.</t>
  </si>
  <si>
    <t>Pueblo San Mateo Acatitlán</t>
  </si>
  <si>
    <t>EMPLEADO DEL SECTOR PRIVADO</t>
  </si>
  <si>
    <t>9501009</t>
  </si>
  <si>
    <t>Tenancingo</t>
  </si>
  <si>
    <t>000010</t>
  </si>
  <si>
    <t>Estrada Ayala Hector Esdras</t>
  </si>
  <si>
    <t>001059</t>
  </si>
  <si>
    <t>GOMEZ ESTRADA MAURICIO</t>
  </si>
  <si>
    <t>7225468842</t>
  </si>
  <si>
    <t>mauriciocarg@gmail.com</t>
  </si>
  <si>
    <t>Valor 220,000.00, Nombre CAMIONETA PARTNER MAXI PACK, Folio Factura TU790, Fecha Factura 29/06/2019, Número de serie VR3EF9HPXLJ509553, Número de motor 10JBFB0013545, Modelo 2020, Marca PEUGEOT, Propietario GOMEZ ESTRADA MAURICIO</t>
  </si>
  <si>
    <t>CAMIONETA PARTNER MAXI PACK</t>
  </si>
  <si>
    <t>Tenango de Arista</t>
  </si>
  <si>
    <t>Tenango Del Valle</t>
  </si>
  <si>
    <t>Maravatio</t>
  </si>
  <si>
    <t>Ruiz Sanchez Arturo Emmanuel</t>
  </si>
  <si>
    <t>GUZMAN VANEGAS MARIA DEL CARMEN</t>
  </si>
  <si>
    <t>carmenguzman2601@gmail.com</t>
  </si>
  <si>
    <t>FACTURA EXPEDIDA POR FARALLON AUTOMOTRIZ, S.A. DE C.V., Valor 79,224.00, Nombre VEHICULO BORA STYLE 2.5 MANUAL EDICION ESPECIAL, Folio Factura CC1215, Fecha Factura 02/09/2010, Número de serie 3VWJW11K4AM152691, Número de motor CCC089270, Modelo 2010, Marca VOLKSWAGEN, Propietario GUZMAN VANEGAS MARIA DEL CARMEN</t>
  </si>
  <si>
    <t>VEHICULO BORA STYLE 2.5 MANUAL EDICION ESPECIAL</t>
  </si>
  <si>
    <t>PRIV LINARES #14-C</t>
  </si>
  <si>
    <t>Lindavista</t>
  </si>
  <si>
    <t>Michoacán</t>
  </si>
  <si>
    <t>Hidalgo</t>
  </si>
  <si>
    <t>000016</t>
  </si>
  <si>
    <t>Basurto Lara Carmen Evelia</t>
  </si>
  <si>
    <t>AGUILAR ALCANTAR JOSE ADAN</t>
  </si>
  <si>
    <t>adanaguilar24@gmail.com</t>
  </si>
  <si>
    <t>VAZQUEZ GARCIA CAROLINA</t>
  </si>
  <si>
    <t>FACTURA EXPEDIDA POR AUTOS SUZUKA, S.A. DE C.V., Valor 46,056.00, Nombre VEHICULO CIVIC EX 4 PTAS, Folio Factura A5465, Fecha Factura 31/07/2002, Número de serie 1HGES15742L908269, Número de motor D17A22525503, Modelo 2002, Marca HONDA, Propietario AGUILAR ALCANTAR JOSE ADAN</t>
  </si>
  <si>
    <t>VEHICULO CIVIC EX 4 PTAS</t>
  </si>
  <si>
    <t>NIÑOS HEROES #45 -A</t>
  </si>
  <si>
    <t>El Carrizal</t>
  </si>
  <si>
    <t>001056</t>
  </si>
  <si>
    <t>CELESTINO SEGUNDO MARIA DEL CARMEN</t>
  </si>
  <si>
    <t>4471660443</t>
  </si>
  <si>
    <t>carmencelestino@gmail.com</t>
  </si>
  <si>
    <t>COMPRAVENTA DE ARTICULOS PARA DECORACION</t>
  </si>
  <si>
    <t>6322010</t>
  </si>
  <si>
    <t>Valor 65,000.00, Nombre CAMIONETA EXPLORER XLT, Folio Factura 4663, Fecha Factura 05/02/2008, Número de serie 1FMDU32X7TZB66870, Número de motor SN, Modelo 1996, Marca FORD, Propietario CELESTINO SEGUNDO MARIA DEL CARMEN</t>
  </si>
  <si>
    <t>CAMIONETA EXPLORER XLT</t>
  </si>
  <si>
    <t>Guadalupe</t>
  </si>
  <si>
    <t>001076</t>
  </si>
  <si>
    <t>GONZALEZ BELTRAN JOSE EMANUEL</t>
  </si>
  <si>
    <t>4171576513</t>
  </si>
  <si>
    <t>josebeltran18@gmail.com</t>
  </si>
  <si>
    <t>BAUTISTA GARCIA MARIA DEL ROSARIO</t>
  </si>
  <si>
    <t>TITILO EXPEDIDO POR STATE OF IOWA, Valor 59,650.00, Nombre VEHICULO GRAND CARAVAN SPORT SV, Folio Factura 77AL67194, Fecha Factura 20/03/2013, Número de serie 1D4GP44R43B300517, Número de motor SIN NUMERO, Modelo 2003, Marca DODGE, Propietario GONZALEZ BELTRAN JOSE EMANUEL</t>
  </si>
  <si>
    <t>VEHICULO GRAND CARAVAN SPORT SV</t>
  </si>
  <si>
    <t>San Miguel Curinhuato</t>
  </si>
  <si>
    <t>RAMIREZ ALVARADO EDUARDO FELIPE</t>
  </si>
  <si>
    <t>arcangellamaravilla248@gmail.com</t>
  </si>
  <si>
    <t>CULTIVO DE FRESA</t>
  </si>
  <si>
    <t>TITULO DE STATE OF OKLAHOMA, Valor 166,666.00, Nombre VEHICULO AC F15 , Folio Factura 810010811822, Fecha Factura 08/11/2020, Número de serie 1FTRX12W24NC25538, Número de motor SIN NUMERO, Modelo 2004, Marca FORD, Propietario RAMIREZ ALVARADO EDUARDO FELIPE</t>
  </si>
  <si>
    <t>VEHICULO AC F15</t>
  </si>
  <si>
    <t>San Pedro Tungareo</t>
  </si>
  <si>
    <t>ZEPEDA SANABRIA CECILIA</t>
  </si>
  <si>
    <t>ceciliazepeda121@hotmail.com</t>
  </si>
  <si>
    <t>ESPINOZA LOPEZ JAIME</t>
  </si>
  <si>
    <t>VEHICULO DAKOTA</t>
  </si>
  <si>
    <t>San Nicolás</t>
  </si>
  <si>
    <t>001071</t>
  </si>
  <si>
    <t>MARTINEZ BAUTISTA ANA CECILIA</t>
  </si>
  <si>
    <t>4471537025</t>
  </si>
  <si>
    <t>anaceciliamartinezbautista@gmail.com</t>
  </si>
  <si>
    <t>SERVICIOS DE CONSULTORIOS Y CLINICAS DENTALES</t>
  </si>
  <si>
    <t>9213018</t>
  </si>
  <si>
    <t>ZARATE ESPINAL EDER</t>
  </si>
  <si>
    <t>000017</t>
  </si>
  <si>
    <t>Maya Luna Norma</t>
  </si>
  <si>
    <t>001062</t>
  </si>
  <si>
    <t>LOPEZ ESPINOZA JESUS ARMANDO</t>
  </si>
  <si>
    <t>4476902875</t>
  </si>
  <si>
    <t>armando.zurimi@gmail.com</t>
  </si>
  <si>
    <t>FACTURA DE OPERADORA DE AUTOS MAYA, S.A. DE C.V., , Valor 95,000.00, Nombre AUTOMOVIL BORA STYLE, Folio Factura 0538A, Fecha Factura 22/08/2005, Número de serie 3VWPF11KX6M608338, Número de motor BGP025303, Modelo 2006, Marca VOLKSWAGEN, Propietario LOPEZ ESPINOZA JESUS ARMANDO</t>
  </si>
  <si>
    <t>AUTOMOVIL BORA STYLE</t>
  </si>
  <si>
    <t>INFONAVIT</t>
  </si>
  <si>
    <t>PEREZ FRANCO JORGE DAVID</t>
  </si>
  <si>
    <t>Cachorrin-jd@hotmailcom</t>
  </si>
  <si>
    <t>FABRICACION DE BOLSAS Y CARTERAS DE CUERO</t>
  </si>
  <si>
    <t>FACTURA EXPEDIDA POR RAVISA MOTORS, S.A. DE C.V., Valor 205,036.00, Nombre PICK UP LOBO LTR 4X2, Folio Factura A25249, Fecha Factura 29/08/2010, Número de serie 1FTFW1CV3AKB13968, Número de motor SIN NUMERO, Modelo 2010, Marca FORD, Propietario PEREZ FRANCO JORGE DAVID</t>
  </si>
  <si>
    <t>PICK UP LOBO LTR 4X2</t>
  </si>
  <si>
    <t>Metepec</t>
  </si>
  <si>
    <t>000002</t>
  </si>
  <si>
    <t>Vargas Castañeda Javier Jesus</t>
  </si>
  <si>
    <t>001069</t>
  </si>
  <si>
    <t>GARCIA VACA MARTHA</t>
  </si>
  <si>
    <t>7226072677</t>
  </si>
  <si>
    <t>lau.garciavaca1981@gmail.com</t>
  </si>
  <si>
    <t>0001</t>
  </si>
  <si>
    <t>Individual Especial Semanal</t>
  </si>
  <si>
    <t>San Bartolomé Atlatlahuca</t>
  </si>
  <si>
    <t>EMPLEADO PRIVADO</t>
  </si>
  <si>
    <t>8944098</t>
  </si>
  <si>
    <t>Ocoyoacac</t>
  </si>
  <si>
    <t>000024</t>
  </si>
  <si>
    <t>Navor Segura Cesar</t>
  </si>
  <si>
    <t>001016</t>
  </si>
  <si>
    <t>GUADARRAMA CONDE ISAIAS</t>
  </si>
  <si>
    <t>7226478184</t>
  </si>
  <si>
    <t>COMPRAVENTA DE MATERIALES PARA CONSTRUCCION</t>
  </si>
  <si>
    <t>6629010</t>
  </si>
  <si>
    <t>MIGUEL HIDALGO #104</t>
  </si>
  <si>
    <t>San Francisco Putla</t>
  </si>
  <si>
    <t>San Blas Totoltepec</t>
  </si>
  <si>
    <t>Toluca</t>
  </si>
  <si>
    <t>SUAREZ GONZALEZ MIRIAM MARCELA</t>
  </si>
  <si>
    <t>miriammarcelasuarez@gmail.com</t>
  </si>
  <si>
    <t>COMPRAVENTA DE OTROS PRODUCTOS ALIMENTICIOS AGRICOLAS EN ESTADO NATURAL</t>
  </si>
  <si>
    <t>MONROY NOLASCO HECTOR HUGO</t>
  </si>
  <si>
    <t>FACTURA EXPEDIDA POR CRESTA TACUBA S.A. DE C.V., Valor 34,009.00, Nombre VEHICULO POINTER ST WAGON, Folio Factura 15489, Fecha Factura 27/05/2000, Número de serie 9BWA37425YT173996, Número de motor UDH071797, Modelo 2000, Marca VOLKSWAGEN, Propietario SUAREZ GONZALEZ MIRIAM MARCELA</t>
  </si>
  <si>
    <t>VEHICULO POINTER ST WAGON</t>
  </si>
  <si>
    <t>HIPOLITO ORTIZ #158</t>
  </si>
  <si>
    <t>La Teresona</t>
  </si>
  <si>
    <t>JUAREZ LOPEZ FRANCISCO</t>
  </si>
  <si>
    <t>macordmx@gmail.com</t>
  </si>
  <si>
    <t>IMPRENTA ( TIPOGRAFIA)</t>
  </si>
  <si>
    <t>RODRIGUEZ ALVAREZ ALMA YADIRA</t>
  </si>
  <si>
    <t>FACTURA EXPEDIDA POR CEVER ECHEGARAY, S.A. DE C.V., Valor 187,725.00, Nombre VEHICULO NEW RIO 1.6L LX T/M-HB, Folio Factura AM10748, Fecha Factura 03/02/2021, Número de serie 3KPA35AC7ME368741, Número de motor G4FGLE039581, Modelo 2021, Marca KIA, Propietario GARCIA CIENFUEGOS BRANDON EBEL</t>
  </si>
  <si>
    <t>VEHICULO NEW RIO 1.6L LX T/M-HB</t>
  </si>
  <si>
    <t>FUENTE DE NEPTURNO #235-A</t>
  </si>
  <si>
    <t>San Gabriel</t>
  </si>
  <si>
    <t>001060</t>
  </si>
  <si>
    <t>BASTIDA SANCHEZ BERNARDO</t>
  </si>
  <si>
    <t>7225133761</t>
  </si>
  <si>
    <t>bernardobartis@gmail.com</t>
  </si>
  <si>
    <t>FACTURA DE SANCHEZ AUTOMOTRIZ, S.A. DE C.V., Valor 150,000.00, Nombre CAMIONETA PICK UP F-250 117", Folio Factura 4609, Fecha Factura 18/08/1995, Número de serie 3FTEF25N9SMA15777, Número de motor M18450, Modelo 1995, Marca FORD, Propietario BASTIDA SANCHEZ BERNARDO</t>
  </si>
  <si>
    <t>CAMIONETA PICK UP F-250 117"</t>
  </si>
  <si>
    <t>FACTURA DE CRESTA CUERNAVACA, S.A. DE C.V., Valor 95,500.00, Nombre AUTOMOVIL JETTA SPORTLINE TIPTRONIC, Folio Factura 10295, Fecha Factura 28/07/2003, Número de serie 3VWSE29M34M003843, Número de motor AWP799580, Modelo 2004, Marca VOLKSWAGEN, Propietario BASTIDA SANCHEZ BERNARDO</t>
  </si>
  <si>
    <t>AUTOMOVIL JETTA SPORTLINE TIPTRONIC</t>
  </si>
  <si>
    <t>SAN NICOLAS AMEALCO #SN</t>
  </si>
  <si>
    <t>San Nicolás Amealco</t>
  </si>
  <si>
    <t>Almoloya De Juarez</t>
  </si>
  <si>
    <t>TORTILLERIA</t>
  </si>
  <si>
    <t>2093011</t>
  </si>
  <si>
    <t>SANCHEZ RAMIREZ ALBERTO</t>
  </si>
  <si>
    <t>aalbrtosanchez@gmail.com</t>
  </si>
  <si>
    <t>PENSIONADO</t>
  </si>
  <si>
    <t>9900907</t>
  </si>
  <si>
    <t>REFACTURA EXPEDIDA POR CARMEN BEATRIZ BRITO PADILLA, Valor 120,717.00, Nombre VEHICULO ATTITUDE SEDAN, Folio Factura A9256, Fecha Factura 08/07/2022, Número de serie ML3AB26J6JH015926, Número de motor HECHO EN TAILANDIA, Modelo 2018, Marca DODGE, Propietario SANCHEZ RAMIREZ ALBERTO</t>
  </si>
  <si>
    <t>VEHICULO ATTITUDE SEDAN</t>
  </si>
  <si>
    <t>DEL FICUS MZA36 #LT49-A</t>
  </si>
  <si>
    <t>Los Cedros 400</t>
  </si>
  <si>
    <t>Lerma</t>
  </si>
  <si>
    <t>San Juan</t>
  </si>
  <si>
    <t>COMPRAVENTA DE FLORES Y ADORNOS FLORALES NATURALES</t>
  </si>
  <si>
    <t>San Bartolo</t>
  </si>
  <si>
    <t>Amanalco</t>
  </si>
  <si>
    <t>Avándaro</t>
  </si>
  <si>
    <t>Otumba</t>
  </si>
  <si>
    <t>La Peña</t>
  </si>
  <si>
    <t>VERONICO POMPA BLANCA YESENIA</t>
  </si>
  <si>
    <t>DOMICILIO CONOCIDO #SN</t>
  </si>
  <si>
    <t>Información proporcionada por el Gerente de sucursal</t>
  </si>
  <si>
    <t>Gestión del Auxiliar de operaciones</t>
  </si>
  <si>
    <t>Estatus de llamada (pago del día ó mora)</t>
  </si>
  <si>
    <t>Fecha del acuerdo de pago</t>
  </si>
  <si>
    <t>Horario del acuerdo de pago</t>
  </si>
  <si>
    <t>Monto del acuerdo</t>
  </si>
  <si>
    <t>Observaciones</t>
  </si>
  <si>
    <t>001224</t>
  </si>
  <si>
    <t>LOPEZ CABALLERO BERENICE MARIBEL</t>
  </si>
  <si>
    <t>5522737345</t>
  </si>
  <si>
    <t>berelc09@gmail.com</t>
  </si>
  <si>
    <t>CRUZ LIMAS RAFAEL XIUHNEL</t>
  </si>
  <si>
    <t>FACTURA EXPEDIDA POR AUTOMOTRIZ CUERNAVACA NORTE, S.A de C.V. , , Valor 41,666.00, Nombre  AUTOMOVIL  GOLF GLS STD, Folio Factura 2517, Fecha Factura 31/01/1994, Número de serie 3VWFL21H6PM017472, Número de motor ABA017844, Modelo 1993, Marca VOLKSWAGEN, Propietario LOPEZ CABALLERO MIGUEL ANGEL</t>
  </si>
  <si>
    <t xml:space="preserve"> AUTOMOVIL  GOLF GLS STD</t>
  </si>
  <si>
    <t>CAMBRON MEJIA ROCIO</t>
  </si>
  <si>
    <t>FACTURA EXPEDIDA POR COMPACTOS ORIENTALES, S.A DE C.V._x000D_
UNIDAD USADA MARCA NISSAN SENTRA 4 PTAS. GST TIPICO STD: Color ext ROJO/PERLADO.. inr. GRIS /: Modelo 1996, , Valor 12,980.00, Nombre SENTRA 4 PTAS GST TIPICO STD: Color ext. ROJO/ PERLADO int. GRIS , Folio Factura 19565, Fecha Factura 31/10/2001, Número de serie 006797, Número de motor GA16712689S, Modelo 1996, Marca NISSAN, Propietario CAMBRON MEJIA ROCIO</t>
  </si>
  <si>
    <t>SENTRA 4 PTAS GST TIPICO STD: Color ext. ROJO/ PERLADO int. GRIS</t>
  </si>
  <si>
    <t>VERA GARCIA ALBERTO DE JESUS</t>
  </si>
  <si>
    <t>veragarcia@gmail.com</t>
  </si>
  <si>
    <t>GALICIA PONCE NATHALIE</t>
  </si>
  <si>
    <t>FACTURA EXPEDIDA POR  AUTOCOM ALFA S A P I DE CV , , , Valor 106,319.00, Nombre AUTOMOVIL TIIDA SEDAN SENSE T/M A/A, Folio Factura 98ED4609_1B75_45B6_8, Fecha Factura 12/12/2016, Número de serie 3N1BC1ADXHK193448, Número de motor MR18075995J, Modelo 2017, Marca NISSAN, Propietario VERA GARCIA ALBERTO DE JESUS</t>
  </si>
  <si>
    <t>AUTOMOVIL TIIDA SEDAN SENSE T/M A/A</t>
  </si>
  <si>
    <t>BERAUD PEDRAZA LUIS ENRIQUE</t>
  </si>
  <si>
    <t>ROMERO QUEVEDO MARIA DE LOURDES</t>
  </si>
  <si>
    <t>FACTURA EXPEDIDA POR AUTOS DE ZITACUARO, SA DE CV., Valor 148,373.00, Nombre VEHICULO JETTA MK VI TRENDLINE P/COMFORTLINE B/AA STD , Folio Factura 868/ZVN, Fecha Factura 13/11/2015, Número de serie 3VW1W2AJ4GM247841, Número de motor CCC275350, Modelo 2016, Marca VOLKSWAGEN, Propietario BERAUD PEDRAZA LUIS ENRIQUE</t>
  </si>
  <si>
    <t>VEHICULO JETTA MK VI TRENDLINE P/COMFORTLINE B/AA STD</t>
  </si>
  <si>
    <t>LINO VIDAL ONOFRE</t>
  </si>
  <si>
    <t>linoonofre1030@gmail.com</t>
  </si>
  <si>
    <t>ALEJANDRO MARTINEZ ESTELA</t>
  </si>
  <si>
    <t>FACTURA EXPEDIDA POR AUTOS COMPACTOS DE ZITACUARO, S.A. DE C.V., Valor 32,217.00, Nombre TSURU GSI STD, Folio Factura 02671, Fecha Factura 10/03/2000, Número de serie 3N1EB31S0YK227035, Número de motor GA16797559R, Modelo 2000, Marca NISSAN , Propietario LINO VIDAL ONOFRE</t>
  </si>
  <si>
    <t>TSURU GSI STD</t>
  </si>
  <si>
    <t>001245</t>
  </si>
  <si>
    <t>ACOSTA ACOSTA ELENA</t>
  </si>
  <si>
    <t>7203071835</t>
  </si>
  <si>
    <t>elacosta@gmail.com</t>
  </si>
  <si>
    <t>COMPRAVENTA DE LEGUMBRES Y HORTALIZAS</t>
  </si>
  <si>
    <t>6112023</t>
  </si>
  <si>
    <t>San José el Cuartel</t>
  </si>
  <si>
    <t>000033</t>
  </si>
  <si>
    <t>Garcia Ezquivel Jordi Nazaret</t>
  </si>
  <si>
    <t>REFACTURA EXPEDIDA POR CORPORACION METROPOLITANA DE ARRENDAMIENTOS, S.A. DE C.V., , Valor 97,096.00, Nombre AUTOMOVIL JETTA CLASICO CL AA, Folio Factura FAI2074, Fecha Factura 11/04/2014, Número de serie 3VW1V09M4BM051719, Número de motor CBP232182, Modelo 2011, Marca VOLKSWAGEN, Propietario MARTINEZ BAUTISTA ANA CECILIA</t>
  </si>
  <si>
    <t>AUTOMOVIL JETTA CLASICO CL AA</t>
  </si>
  <si>
    <t>GARCIA FLORES SEBASTIAN ADOLFO</t>
  </si>
  <si>
    <t>ASESORES FISCALES Y FINANCIEROS</t>
  </si>
  <si>
    <t>FLORES YAÑEZ ROSA MARIA</t>
  </si>
  <si>
    <t>VIA VILLA FLORENCE  #10-DEP 501 PISO 5</t>
  </si>
  <si>
    <t>Hacienda de las Palmas</t>
  </si>
  <si>
    <t>Huixquilucan</t>
  </si>
  <si>
    <t>Atlacomulco</t>
  </si>
  <si>
    <t>CULTIVO DE FLORES Y PLANTAS DE ORNATO</t>
  </si>
  <si>
    <t>0131011</t>
  </si>
  <si>
    <t>ROCHA MERCADO MARIA TERESA</t>
  </si>
  <si>
    <t>tereroch619@gmail.com</t>
  </si>
  <si>
    <t>LAVANDERIA</t>
  </si>
  <si>
    <t>GONZALEZ SANCHEZ LORENZO</t>
  </si>
  <si>
    <t>lorenzo59gh@gmail.com</t>
  </si>
  <si>
    <t>TRANSPORTE EN AUTOMOVILES DE SITIO Y TURISMO</t>
  </si>
  <si>
    <t>HERNANDEZ ROSA MARIA</t>
  </si>
  <si>
    <t>REFORMA #620-1</t>
  </si>
  <si>
    <t>San José</t>
  </si>
  <si>
    <t>BENITEZ AGUILAR PAULA</t>
  </si>
  <si>
    <t>pbo21388@gmail.com</t>
  </si>
  <si>
    <t>SERVICIOS MEDICO GENERAL Y ESPECIALIZADO EN CONSULTORIOS</t>
  </si>
  <si>
    <t>San Sebastian Chico</t>
  </si>
  <si>
    <t>000037</t>
  </si>
  <si>
    <t>CREDIFLEXI CREDIFLEXI CREDIFLEXI</t>
  </si>
  <si>
    <t>GARFIAS MARTINEZ MARIA ADRIANA</t>
  </si>
  <si>
    <t>Melchor Ocampo</t>
  </si>
  <si>
    <t>sebassagf@gmail.com</t>
  </si>
  <si>
    <t>DOTOR SOTO ERIKA ALEJANDRA</t>
  </si>
  <si>
    <t>Chalma</t>
  </si>
  <si>
    <t>Malinalco</t>
  </si>
  <si>
    <t>SEGOVIO VICTOR MANUEL</t>
  </si>
  <si>
    <t>001257</t>
  </si>
  <si>
    <t>ARMENTA GARCIA AZUCENA</t>
  </si>
  <si>
    <t>4471516545</t>
  </si>
  <si>
    <t>Uripitio</t>
  </si>
  <si>
    <t>JIMENEZ BLANCO JULIANA</t>
  </si>
  <si>
    <t>soterojim12@gmail.com</t>
  </si>
  <si>
    <t>SOTERO LUIS MACARIO</t>
  </si>
  <si>
    <t>San Mateo</t>
  </si>
  <si>
    <t>COMPRAVENTA DE ARTICULOS REGIONALES CURIOSIDADES Y ARTESANIAS</t>
  </si>
  <si>
    <t>RIVAS SERRANO NOEMI ANDREA</t>
  </si>
  <si>
    <t>mimialelis40@gmail.com</t>
  </si>
  <si>
    <t>COMPRAVENTA DE FLORES Y ADORNOS FLORALES ARTIFICIALES</t>
  </si>
  <si>
    <t>MIGUEL HIDALGO #607-B</t>
  </si>
  <si>
    <t>Tenancingo de Degollado</t>
  </si>
  <si>
    <t>garfiasmartinezmariaadriana@gmail.com</t>
  </si>
  <si>
    <t>erikadotoro@gmail.com</t>
  </si>
  <si>
    <t>CORONA ROBLES GABRIEL</t>
  </si>
  <si>
    <t>mayamary05@icloud.com</t>
  </si>
  <si>
    <t>VALDEZ ESTEVEZ MARIA EUGENIA</t>
  </si>
  <si>
    <t>TITULO EXPEDIDO POR STATE FLORIDA , Valor 20,361.00, Nombre VEHICULO PICK UP F150, Folio Factura 97908021, Fecha Factura 04/04/2008, Número de serie 2FTZX0727WCA00444, Número de motor SN, Modelo 1998, Marca FORD, Propietario CORONA ROBLES GABRIEL</t>
  </si>
  <si>
    <t>HIDALGO #48-1</t>
  </si>
  <si>
    <t>Calimaya</t>
  </si>
  <si>
    <t>001263</t>
  </si>
  <si>
    <t>SOTO HERNANDEZ MARIA ELENA</t>
  </si>
  <si>
    <t>7224852577</t>
  </si>
  <si>
    <t>maria.elenahsoto@gmailcom</t>
  </si>
  <si>
    <t>RIO TULA #141</t>
  </si>
  <si>
    <t>San Lucas Tepemajalco</t>
  </si>
  <si>
    <t>San Antonio La Isla</t>
  </si>
  <si>
    <t>ALANIS GARCIA PAULO CESAR</t>
  </si>
  <si>
    <t>cesarp88@gmail.com</t>
  </si>
  <si>
    <t>VULCANIZACION DE LLANTAS Y CAMARAS</t>
  </si>
  <si>
    <t>ZARAGOZA MANJARREZ ADRINAN</t>
  </si>
  <si>
    <t>San Antonio el Llanito</t>
  </si>
  <si>
    <t>MORA BARRERA JESUS</t>
  </si>
  <si>
    <t>Colorines</t>
  </si>
  <si>
    <t>Quincenal</t>
  </si>
  <si>
    <t>COMPRAVENTA DE FRUTAS</t>
  </si>
  <si>
    <t>001270</t>
  </si>
  <si>
    <t>MORENO AGUILLON GEOVANNI MARTYN</t>
  </si>
  <si>
    <t>3349586209</t>
  </si>
  <si>
    <t>COMPRAVENTA DE MUEBLES</t>
  </si>
  <si>
    <t>6312011</t>
  </si>
  <si>
    <t>HERNANDEZ GONZALEZ EVA</t>
  </si>
  <si>
    <t>001272</t>
  </si>
  <si>
    <t>GONZALEZ AGUIRRE JOSE</t>
  </si>
  <si>
    <t>4472170440</t>
  </si>
  <si>
    <t>EMPLEADO PUBLICO</t>
  </si>
  <si>
    <t>9411998</t>
  </si>
  <si>
    <t>RAMOS GUERRERO ARACELI</t>
  </si>
  <si>
    <t>Lázaro Cárdenas (El Llano)</t>
  </si>
  <si>
    <t>ROMERO CASTRO VERONICA</t>
  </si>
  <si>
    <t>Semanal</t>
  </si>
  <si>
    <t>San José Tenería</t>
  </si>
  <si>
    <t>FLORES CUANOS ALEJANDRO</t>
  </si>
  <si>
    <t>4431747146</t>
  </si>
  <si>
    <t>LOPEZ GARCIA CONCEPCION</t>
  </si>
  <si>
    <t>Vista Hermosa</t>
  </si>
  <si>
    <t>FRAGA LUGO ALEJANDRA</t>
  </si>
  <si>
    <t>RUIZ AGUILAR ISRAEL</t>
  </si>
  <si>
    <t>SORIA ARGUETA HORTENSIA</t>
  </si>
  <si>
    <t>Cuartel V</t>
  </si>
  <si>
    <t>ALVAREZ CARMONA MARIA GUADALUPE</t>
  </si>
  <si>
    <t>ma.guadalupe68@gmail.com</t>
  </si>
  <si>
    <t>SERVICIOS DE ALIMENTOS EN LENCERIAS TAQUERIAS Y TORTERIAS</t>
  </si>
  <si>
    <t>8712011</t>
  </si>
  <si>
    <t>JUAN ESCUTIA #103</t>
  </si>
  <si>
    <t>San Marcos Yachihuacaltepec</t>
  </si>
  <si>
    <t>LOPEZ JAVIER EDITH</t>
  </si>
  <si>
    <t>edithmelanie23@gmail.com</t>
  </si>
  <si>
    <t>COMPRAVENTA DE ARTICULOS PARA REGALO</t>
  </si>
  <si>
    <t>CENTENARIO #120</t>
  </si>
  <si>
    <t>001285</t>
  </si>
  <si>
    <t>GONZALEZ GUADARRAMA EDUARDO</t>
  </si>
  <si>
    <t>7222031200</t>
  </si>
  <si>
    <t>pgg250789@gmail.com</t>
  </si>
  <si>
    <t>GARCIA GALLEGOS PATRICIA</t>
  </si>
  <si>
    <t>Shiperes</t>
  </si>
  <si>
    <t>AGUILAR CHAVEZ MA ANGELINA</t>
  </si>
  <si>
    <t>Catorcenal</t>
  </si>
  <si>
    <t>COMPRAVENTA DE PERFUMES</t>
  </si>
  <si>
    <t>001274</t>
  </si>
  <si>
    <t>BERNAL BERNAL MARIA YESSENIA</t>
  </si>
  <si>
    <t>7224191963</t>
  </si>
  <si>
    <t>maryessbb@gmail.com</t>
  </si>
  <si>
    <t>MORALES VAZQUEZ JESUS ARMANDO</t>
  </si>
  <si>
    <t>Villa Guerrero</t>
  </si>
  <si>
    <t>mhernandez18@gmail.com</t>
  </si>
  <si>
    <t>HERMENEGILDO FLORES JUAN</t>
  </si>
  <si>
    <t>Coaxustenco</t>
  </si>
  <si>
    <t>xpicoo@hotmail.com</t>
  </si>
  <si>
    <t>ARRENDAMIENTO DE INMUEBLES RESIDENCIALES</t>
  </si>
  <si>
    <t>SANCHEZ LOPEZ MARIA ASENCION</t>
  </si>
  <si>
    <t>chelsysamchez@gmail.com</t>
  </si>
  <si>
    <t>hortensiasoria132@gmail.com</t>
  </si>
  <si>
    <t>azucenaarmenta65@gmail.com</t>
  </si>
  <si>
    <t>morenogeovanni633@gmail.com</t>
  </si>
  <si>
    <t>tecladosiamo512@gmail.com</t>
  </si>
  <si>
    <t>HERNANDEZ GARDUÑO MARIBEL</t>
  </si>
  <si>
    <t>001295</t>
  </si>
  <si>
    <t>TRINIDAD ORTEGA MARIBEL</t>
  </si>
  <si>
    <t>7205451836</t>
  </si>
  <si>
    <t>maribeltrinidad78@gmail.com</t>
  </si>
  <si>
    <t>DOM CON #SN-SN</t>
  </si>
  <si>
    <t>ARRIAGA ALBARRAN KARINA</t>
  </si>
  <si>
    <t>albarranarriaga.1989@gmail.com</t>
  </si>
  <si>
    <t>COMPRAVENTA DE PAPELERIA Y ARTICULOS DE ESCRITORIO</t>
  </si>
  <si>
    <t>EL ARCO #SN-SN</t>
  </si>
  <si>
    <t>ALBERTO DIONISIO JOSE MARGARITO</t>
  </si>
  <si>
    <t>TIENDA DE ABARROTES Y MISCELANEA</t>
  </si>
  <si>
    <t>6131023</t>
  </si>
  <si>
    <t>SAN JERONIMO AMANALCO #SN-SN</t>
  </si>
  <si>
    <t>San Jerónimo</t>
  </si>
  <si>
    <t>CAMACHO MERCADO MARCO ANTONIO</t>
  </si>
  <si>
    <t>001298</t>
  </si>
  <si>
    <t>MORENO ALVARO MIRNO</t>
  </si>
  <si>
    <t>7296400518</t>
  </si>
  <si>
    <t>mirnomorenoalvaro8@gmail.com</t>
  </si>
  <si>
    <t>San Martín Coapaxtongo</t>
  </si>
  <si>
    <t>FLORES SALDIVAR CLEMENTINA</t>
  </si>
  <si>
    <t>COMPRAVENTA DE OTRAS JOYAS</t>
  </si>
  <si>
    <t>PIÑA GONZALEZ LUZ MARIA</t>
  </si>
  <si>
    <t>luzdemaria416@gmail.com</t>
  </si>
  <si>
    <t>LAGO APAM #313</t>
  </si>
  <si>
    <t>El Seminario 1a Sección</t>
  </si>
  <si>
    <t>SERRANO ALVAREZ BUENAVENTURA</t>
  </si>
  <si>
    <t>litzyjeanycerinocolin@gmai.com</t>
  </si>
  <si>
    <t>CUAUHTEMOC #125-1</t>
  </si>
  <si>
    <t>Rayon</t>
  </si>
  <si>
    <t>ALVAREZ ESQUIVEL MA DE LOURDES</t>
  </si>
  <si>
    <t>lulualvarezctll@gmail.com</t>
  </si>
  <si>
    <t>Emiliano Zapata</t>
  </si>
  <si>
    <t>FUENTES ESPINOZA MARISOL</t>
  </si>
  <si>
    <t>Buenavista</t>
  </si>
  <si>
    <t>BLANCO FLORES MIRELLA</t>
  </si>
  <si>
    <t>m2152334@gmail.com</t>
  </si>
  <si>
    <t>SANCHEZ JIMENEZ SANTOS</t>
  </si>
  <si>
    <t>ssanchez8819@gmail.com</t>
  </si>
  <si>
    <t>ESTABLECIMIENTOS PRIVADOS DE INSTRUCCION EDUCACION CULTURA E INVESTIGACION</t>
  </si>
  <si>
    <t>MILLAN MILLAN GIOVANNI</t>
  </si>
  <si>
    <t>citlallimillan23@gmail.com</t>
  </si>
  <si>
    <t>EMETERIO LUVIANOS PATRICIA</t>
  </si>
  <si>
    <t>patyemeterio13@gmail.com</t>
  </si>
  <si>
    <t>GARCIA GARCIA ROSALBA ERICA</t>
  </si>
  <si>
    <t>garcia83erika@gmail.com</t>
  </si>
  <si>
    <t>clementinasaldivar@gmail.com</t>
  </si>
  <si>
    <t>COMPRAVENTA DE DULCES</t>
  </si>
  <si>
    <t>Plan de San Martín</t>
  </si>
  <si>
    <t>COMPRAVENTA DE PAN Y PASTELES</t>
  </si>
  <si>
    <t>001315</t>
  </si>
  <si>
    <t>BRAVO GARCIA DULA</t>
  </si>
  <si>
    <t>7228386232</t>
  </si>
  <si>
    <t>garcialolis28@yahoo.com</t>
  </si>
  <si>
    <t>La Finca</t>
  </si>
  <si>
    <t>MACHADO GONZALEZ ALEJANDRO</t>
  </si>
  <si>
    <t>alexmlzm@gmail.com</t>
  </si>
  <si>
    <t>bkuanw04@hotmail.com</t>
  </si>
  <si>
    <t>fraga1601@gmail.com</t>
  </si>
  <si>
    <t>FLORES LEYVA JOSE ALEXIS</t>
  </si>
  <si>
    <t>alexleyva998@gmail.com</t>
  </si>
  <si>
    <t>TALLER DE REPARACION DE CALZADO</t>
  </si>
  <si>
    <t>CRUZ DURAN LORENA</t>
  </si>
  <si>
    <t>cruzduranlorena1@gmail.com</t>
  </si>
  <si>
    <t>COMPRAVENTA DE DESPERDICIOS DE PAPEL</t>
  </si>
  <si>
    <t>Valle de Juárez (Jeráhuaro)</t>
  </si>
  <si>
    <t>Zinapecuaro</t>
  </si>
  <si>
    <t>ALMEIDA ROJAS JUAN ANTONIO</t>
  </si>
  <si>
    <t>anttonyjuan9097@gmail.com</t>
  </si>
  <si>
    <t>PEREZ RODRIGUEZ BELLA NEY</t>
  </si>
  <si>
    <t>bp8404794@gmail.com</t>
  </si>
  <si>
    <t>Santa María</t>
  </si>
  <si>
    <t>000042</t>
  </si>
  <si>
    <t>Avila Nieto Luis Alfredo</t>
  </si>
  <si>
    <t>000039</t>
  </si>
  <si>
    <t>FERNANDEZ GUADARRAMA YOSELIN ANDREA</t>
  </si>
  <si>
    <t>yoshandi1219@gmail.com</t>
  </si>
  <si>
    <t>El Salitre</t>
  </si>
  <si>
    <t>000041</t>
  </si>
  <si>
    <t>Martinez Perez Juan Daniel</t>
  </si>
  <si>
    <t>MONROY NEGRETE SANDRA</t>
  </si>
  <si>
    <t>rolandodavila@hotmail.com</t>
  </si>
  <si>
    <t>AMA DE CASA</t>
  </si>
  <si>
    <t>Cedillo Gonzalez Hugo</t>
  </si>
  <si>
    <t>Santa María Rayón Centro</t>
  </si>
  <si>
    <t>DELGADO SANCHEZ DAVID</t>
  </si>
  <si>
    <t>abejasdelgado@gmail.com</t>
  </si>
  <si>
    <t>TRATAMIENTO Y ENVASE DE MIEL DE ABEJA</t>
  </si>
  <si>
    <t>GARCIA ROMERO MARIA ELENA</t>
  </si>
  <si>
    <t>FACTURA EXPEDIDA POR EXCELENCIA AUTOMOTRIZS.ADE C.V, Valor 63,500.00, Nombre VEHICULO CHEVY STATION WAGON, Folio Factura 33843, Fecha Factura 06/12/2000, Número de serie 8AGSM35N71R112539, Número de motor 1R112539, Modelo 2001, Marca CHEVROLET, Propietario DELGADO SANCHEZ DAVID</t>
  </si>
  <si>
    <t>VEHICULO CHEVY STATION WAGON</t>
  </si>
  <si>
    <t>Rancho Buenavista</t>
  </si>
  <si>
    <t>ESPINAL DELGADO MARIA ISABEL</t>
  </si>
  <si>
    <t>espinaldelgadomaisabel@gmail.com</t>
  </si>
  <si>
    <t>001324</t>
  </si>
  <si>
    <t>AGUILAR ORTIZ DIANA KAREN</t>
  </si>
  <si>
    <t>5615319505</t>
  </si>
  <si>
    <t>da2789515@gmail.com</t>
  </si>
  <si>
    <t>Gonzalez Irala Jesus</t>
  </si>
  <si>
    <t>JARDON SERRANO RAFAEL</t>
  </si>
  <si>
    <t>tita@gmail.com</t>
  </si>
  <si>
    <t>Olayo Gaytan Luis Enrique</t>
  </si>
  <si>
    <t>REYES VIDAL LIDIA</t>
  </si>
  <si>
    <t>lidiareyesvidal.10@gmail.com</t>
  </si>
  <si>
    <t>LOPEZ RODRIGUEZ ERNESTO ANGEL</t>
  </si>
  <si>
    <t>ernestolopezrodriguez@gmail.com</t>
  </si>
  <si>
    <t>TALLER DE PLOMERIA</t>
  </si>
  <si>
    <t>001332</t>
  </si>
  <si>
    <t>NUÑEZ VALLEJO ADRIANA DANIELA</t>
  </si>
  <si>
    <t>7222506939</t>
  </si>
  <si>
    <t>danielavallejo18@icloud.com</t>
  </si>
  <si>
    <t>CASTAÑEDA PADILLA IVETTE</t>
  </si>
  <si>
    <t>ivettecastaneda@gmail.com</t>
  </si>
  <si>
    <t>CARBAJAL AGUILAR MARLEN</t>
  </si>
  <si>
    <t>marlenhdsn@gmail.com</t>
  </si>
  <si>
    <t>MOLINA CRUZ ANAI VERONICA</t>
  </si>
  <si>
    <t>ana072327@gmail.com</t>
  </si>
  <si>
    <t>000047</t>
  </si>
  <si>
    <t>Juarez Matias Alejandro</t>
  </si>
  <si>
    <t>001336</t>
  </si>
  <si>
    <t>SANCHEZ LINARES OSCAR</t>
  </si>
  <si>
    <t>7122175275</t>
  </si>
  <si>
    <t>COMPRAVENTA DE REFACCIONES Y ACCESORIOS NUEVOS PARA AUTOS Y CAMIONES</t>
  </si>
  <si>
    <t>6815015</t>
  </si>
  <si>
    <t>LAGUNA SUPERIOR #MZA 4-6D</t>
  </si>
  <si>
    <t>Río Lerma (Tic Ti)</t>
  </si>
  <si>
    <t>FIGUEROA VARA MARIA EUGENIA</t>
  </si>
  <si>
    <t>mariafigueroa151168@gmail.com</t>
  </si>
  <si>
    <t>COMPRAVENTA DE CALZADO</t>
  </si>
  <si>
    <t>El Progreso</t>
  </si>
  <si>
    <t>Ixtapan De La Sal</t>
  </si>
  <si>
    <t>001342</t>
  </si>
  <si>
    <t>GAMA GONZALEZ PEDRO</t>
  </si>
  <si>
    <t>7228065155</t>
  </si>
  <si>
    <t>espinoza222318@gmail.com</t>
  </si>
  <si>
    <t>Ixtapan de la Sal</t>
  </si>
  <si>
    <t>001341</t>
  </si>
  <si>
    <t>DOMINGUEZ VELAZQUEZ GABRIELA</t>
  </si>
  <si>
    <t>7228634600</t>
  </si>
  <si>
    <t>gabita24.a2@gmail.com</t>
  </si>
  <si>
    <t>Portezuelos Uno (San Andrés)</t>
  </si>
  <si>
    <t>000049</t>
  </si>
  <si>
    <t>Morales Desiderio Patricia</t>
  </si>
  <si>
    <t>001338</t>
  </si>
  <si>
    <t>PLATA RAMIREZ MA ELIZABETH</t>
  </si>
  <si>
    <t>7121830408</t>
  </si>
  <si>
    <t>elimexicanita@hotmail.com</t>
  </si>
  <si>
    <t>AV ATA #21</t>
  </si>
  <si>
    <t>Atlacomulco de Fabela Centro</t>
  </si>
  <si>
    <t>Galindo Reyes Leticia</t>
  </si>
  <si>
    <t>TORRES CRUZ MARTHA</t>
  </si>
  <si>
    <t>marthacruz83@gmail.com</t>
  </si>
  <si>
    <t>MARIPOSA MONARCA #SN</t>
  </si>
  <si>
    <t>Calvario Buenavista</t>
  </si>
  <si>
    <t>San Felipe Del Progreso</t>
  </si>
  <si>
    <t>refaccionariadelpunto@gmail.com</t>
  </si>
  <si>
    <t>VENANCIO SANCHEZ JUAN ALBERTO</t>
  </si>
  <si>
    <t>benjaminvenancio45@gmail.com</t>
  </si>
  <si>
    <t>CONSTRUCCION DE INMUEBLES</t>
  </si>
  <si>
    <t>Zacango</t>
  </si>
  <si>
    <t>CRUZ GARCIA DIEGO AMANDO</t>
  </si>
  <si>
    <t>cruzdiego8090@gmail.com</t>
  </si>
  <si>
    <t>CAMINO A LAS MONJAS #SN</t>
  </si>
  <si>
    <t>CRUZ GONZALEZ ROSA ISELA</t>
  </si>
  <si>
    <t>rosaiselacruzgonzalez5@gmail.com</t>
  </si>
  <si>
    <t>San Pedro Ejido Tecomatlán</t>
  </si>
  <si>
    <t>ESCOBAR AGUILAR OSCAR</t>
  </si>
  <si>
    <t>oscarescobaraguilar@gmail.com</t>
  </si>
  <si>
    <t>FABRICACION DE PAN Y PASTELES</t>
  </si>
  <si>
    <t>SANCHEZ SALGADO FANNY</t>
  </si>
  <si>
    <t>fannyyareli77@gmail.com</t>
  </si>
  <si>
    <t>San Francisco</t>
  </si>
  <si>
    <t>GARDUÑO PULIDO ANGELICA</t>
  </si>
  <si>
    <t>angelicagardunopulido@gmail.com</t>
  </si>
  <si>
    <t>San Miguel de Ocampo</t>
  </si>
  <si>
    <t>Joquicingo</t>
  </si>
  <si>
    <t>LUIS ANTONIO MERCED CRUZ</t>
  </si>
  <si>
    <t>5553343631</t>
  </si>
  <si>
    <t>MAURICIO MERCADO ALVAREZ</t>
  </si>
  <si>
    <t>MIGUEL ANGEL PAGAZO PAGAZO</t>
  </si>
  <si>
    <t>MARIA DEL CONSUELO ALVAREZ REY</t>
  </si>
  <si>
    <t>7296204394</t>
  </si>
  <si>
    <t>CESAR ESCOBAR ZARZA</t>
  </si>
  <si>
    <t>MONSERRAT DIAZ LOPEZ</t>
  </si>
  <si>
    <t>GUILLERMO GARCIA VASQUEZ</t>
  </si>
  <si>
    <t>BEATRIZ OVIEDO REYES</t>
  </si>
  <si>
    <t>MARCELO VASQUEZ VASQUEZ</t>
  </si>
  <si>
    <t>OLGA MARIA SANTILLAN FLORES</t>
  </si>
  <si>
    <t>7228507375</t>
  </si>
  <si>
    <t>DAMARIS JANET LEMUS ORTIZ</t>
  </si>
  <si>
    <t>CELIA BARCENAS VILCHIS</t>
  </si>
  <si>
    <t>LIZBETH ESQUIVEL SANCHEZ</t>
  </si>
  <si>
    <t>7226752208</t>
  </si>
  <si>
    <t>RAQUEL TORRES MERCADO</t>
  </si>
  <si>
    <t>DANIELA CRUZ MARIN</t>
  </si>
  <si>
    <t>ANTONIA PONCIANO ARIAS</t>
  </si>
  <si>
    <t>FERNANDO CABALLERO LEON</t>
  </si>
  <si>
    <t>PAULINA CABALLERO MERCADO</t>
  </si>
  <si>
    <t>ROGELIO VELAZQUEZ ANDRES</t>
  </si>
  <si>
    <t>JAIRO RODRIGO GUADARRAMAMERCAD</t>
  </si>
  <si>
    <t>JONATHAN GARDUNO ROJAS</t>
  </si>
  <si>
    <t>CONCEPCION GONZALEZ GARCIA</t>
  </si>
  <si>
    <t>RAFAEL GUTIERREZ GARCIA</t>
  </si>
  <si>
    <t>FAVIOLA MEDINA GARCIA</t>
  </si>
  <si>
    <t>ALONSO BARCENAS OLVERA</t>
  </si>
  <si>
    <t>RAMON HERNANDEZ ESTRADA</t>
  </si>
  <si>
    <t>LEONARDO GARCIA VALDEZ</t>
  </si>
  <si>
    <t>JOSE LUIS VALENZUELA</t>
  </si>
  <si>
    <t>NATALIA ALBARRAN  VERA</t>
  </si>
  <si>
    <t>PAOLA GALICIA GONZALEZ</t>
  </si>
  <si>
    <t>VICTOR ESQUIVEL CASIANO</t>
  </si>
  <si>
    <t>7226876652</t>
  </si>
  <si>
    <t>RICHARD ESTRADA</t>
  </si>
  <si>
    <t>ERIKA FABIOLA LOPEZ ESTRADA</t>
  </si>
  <si>
    <t>JERONIMO RAMIREZ DE LA CRUZ</t>
  </si>
  <si>
    <t>7471491786</t>
  </si>
  <si>
    <t>JOSEFINA EMETERIO GARCIA</t>
  </si>
  <si>
    <t>MARIA GUADALUPE EMETERIO</t>
  </si>
  <si>
    <t>ERIKA MACARIO ESTRADA</t>
  </si>
  <si>
    <t>ESMERALDA VALENTINA GALLEGOS</t>
  </si>
  <si>
    <t>ANDREA NOHEMI ALANIS REYES</t>
  </si>
  <si>
    <t>PETRA TUBURCIO SANTIAGO</t>
  </si>
  <si>
    <t>JUANA COLIN PEREZ</t>
  </si>
  <si>
    <t>RITA ZARZA REYES</t>
  </si>
  <si>
    <t>MARINA MACIEL SANCHEZ MORALES</t>
  </si>
  <si>
    <t>MARIA DE JESUS GONZALEZ REYES</t>
  </si>
  <si>
    <t>MARI CRUZ GARCIA BENITEZ</t>
  </si>
  <si>
    <t>LAURA LETICIA TRUJILLO SERVIN</t>
  </si>
  <si>
    <t>VICTOR RODRIGUEZ ARZATE</t>
  </si>
  <si>
    <t>LAURA IVETH MENDOZA</t>
  </si>
  <si>
    <t>ALEJANDRA ESQUIVEL</t>
  </si>
  <si>
    <t>SANDY ARELLANO</t>
  </si>
  <si>
    <t>FRANCISCO JAVIER OLIVARES OSOR</t>
  </si>
  <si>
    <t>NANCI CASTILLO VYVA</t>
  </si>
  <si>
    <t>JOSEFINA MARIN CRUZ</t>
  </si>
  <si>
    <t>KARINA REYES URBINA</t>
  </si>
  <si>
    <t>ELVIRA AGUILAR CASTILLO</t>
  </si>
  <si>
    <t>PAULINA LOPEZ ROQUE</t>
  </si>
  <si>
    <t>LORENA JAZMIN DIAZ</t>
  </si>
  <si>
    <t>CASILDA GARCIA GARCIA</t>
  </si>
  <si>
    <t>MAURA DE LA CRUZ GARDUÑO</t>
  </si>
  <si>
    <t>PATRICIA DOLORES DE LA CRUZ</t>
  </si>
  <si>
    <t>JOSEFINA MARTINEZ GARCIA</t>
  </si>
  <si>
    <t>PALOMA GARCIA AGUILAR</t>
  </si>
  <si>
    <t>AMARESH VALDEZ NAVARRO</t>
  </si>
  <si>
    <t>FEDERICO CRUZ</t>
  </si>
  <si>
    <t>PEPE LOYOLA</t>
  </si>
  <si>
    <t>OSCAR OCHOA RODRIGUEZ</t>
  </si>
  <si>
    <t>ROSA MARIA MILLAN LEGORRETA</t>
  </si>
  <si>
    <t>FRANCISCO LISEA ORTEGA</t>
  </si>
  <si>
    <t>DOLORES RIVERA CRISANTOS</t>
  </si>
  <si>
    <t>CLARA JIMENEZ ORTEGA</t>
  </si>
  <si>
    <t>FLOR HERNANDEZ MARTINEZ</t>
  </si>
  <si>
    <t>FABIOLA MENDOZA</t>
  </si>
  <si>
    <t>CORNELIO LOPEZ CONTRERAS</t>
  </si>
  <si>
    <t>ARMANDO CARDOSO ZANCHEZ</t>
  </si>
  <si>
    <t>RAFAEL DE PAZ REYES</t>
  </si>
  <si>
    <t>MIRIAM SILVERIO CORTES</t>
  </si>
  <si>
    <t>BERENICE ANTONIO LOPEZ</t>
  </si>
  <si>
    <t>HUGO  LUIS PEREZ NEPAMUCENO</t>
  </si>
  <si>
    <t>TERESA HERNANDEZ DE FREMAN</t>
  </si>
  <si>
    <t>GLORIA ALVAREZ</t>
  </si>
  <si>
    <t>ALVARO CHIMAL CANO</t>
  </si>
  <si>
    <t>ROBERTO LOPEZ GOMEZ</t>
  </si>
  <si>
    <t>ESTEBAN REYES GONZALEZ</t>
  </si>
  <si>
    <t>ISMAEL PEÑALOZA GARDUÑO</t>
  </si>
  <si>
    <t>BRANDON FRANCISCO VELAZQUEZ ME</t>
  </si>
  <si>
    <t>MARIA DEL CARMEN BARCENAS RODR</t>
  </si>
  <si>
    <t>CARNICOS SUSY GABRIEL TORRE</t>
  </si>
  <si>
    <t>MARITZA CASTRO ESCOBAR</t>
  </si>
  <si>
    <t>7218890995</t>
  </si>
  <si>
    <t>SOFIA SAAVEDRA</t>
  </si>
  <si>
    <t>ELIZABETH ESCOBAR MILLAN</t>
  </si>
  <si>
    <t>VIRIDANA GUADARAMA</t>
  </si>
  <si>
    <t>MARIA GUADARRAMA BLANCAS</t>
  </si>
  <si>
    <t>CLARA PIÑA PEREA</t>
  </si>
  <si>
    <t>DIEGO CAMACHO</t>
  </si>
  <si>
    <t>MARIA DE LOS ANGELEZ MILLAN</t>
  </si>
  <si>
    <t>SALVADOR PONCE PEREZ</t>
  </si>
  <si>
    <t>ANA MILLAN MILLAN</t>
  </si>
  <si>
    <t>LIZBETH ORTEGA</t>
  </si>
  <si>
    <t>DAVID FUENTES</t>
  </si>
  <si>
    <t>ISMAEL SANCHEZ VAZQUEZ</t>
  </si>
  <si>
    <t>NATALY LOPEZ ORTIZ</t>
  </si>
  <si>
    <t>BERTA CORTES  GARCIA</t>
  </si>
  <si>
    <t>JORGE DANIEL FRANCO CASTRO</t>
  </si>
  <si>
    <t>ROSALVA REYES BECERRIL</t>
  </si>
  <si>
    <t>LIZBETH DAVILA ESQUIVEL</t>
  </si>
  <si>
    <t>MARIA GABRIELA BAUTISTA GARCIA</t>
  </si>
  <si>
    <t>7224940976</t>
  </si>
  <si>
    <t>VICTOR BALCAZAR</t>
  </si>
  <si>
    <t>LETICIA GARCIA GALLEGOS</t>
  </si>
  <si>
    <t>TERESA DE JESUS GONZALEZ PILIA</t>
  </si>
  <si>
    <t>BEATRIZ GONZALEZ MORALES</t>
  </si>
  <si>
    <t>DIANA MITZI DIAZ JARDON</t>
  </si>
  <si>
    <t>ROSA ELENA BERNAL BERNAL</t>
  </si>
  <si>
    <t>7221065423</t>
  </si>
  <si>
    <t>ARNULFO BERNAL TRUJILLO</t>
  </si>
  <si>
    <t>MARI CARMEN MORALES VAZQUEZ</t>
  </si>
  <si>
    <t>VERONICA ESCOBEDO LOPEZ</t>
  </si>
  <si>
    <t>MONSERRAT GONZALEZ NAVA</t>
  </si>
  <si>
    <t>SOCORRO ROJAS ARELLANO</t>
  </si>
  <si>
    <t>CIRILO JIMENEZ MILLAN</t>
  </si>
  <si>
    <t>JANETH VASQUEZ FLORES</t>
  </si>
  <si>
    <t>ANASTACIO MILLAN</t>
  </si>
  <si>
    <t>MA DEL SOCORRO DOMINGUEZ</t>
  </si>
  <si>
    <t>7296081362</t>
  </si>
  <si>
    <t>GABRIEL JUANA PEREZ DOMINGUEZ</t>
  </si>
  <si>
    <t>ROBERTO PALMA URBANO</t>
  </si>
  <si>
    <t>RIGOBERTO VAZQUEZ FUENTES</t>
  </si>
  <si>
    <t>DANIEL MILLAN GARCIA</t>
  </si>
  <si>
    <t>MARIANO VARGAS GONZALEZ</t>
  </si>
  <si>
    <t>BERENICE RUBI ESTRADA TETATZIN</t>
  </si>
  <si>
    <t>ANAHI RAMIREZ ZAMORA</t>
  </si>
  <si>
    <t>ADRIANA BLANCAS RAMIREZ</t>
  </si>
  <si>
    <t>GABRIELA DOMINGUEZ VELAZQUEZ</t>
  </si>
  <si>
    <t>JORGE AYALA VILLA</t>
  </si>
  <si>
    <t>CARMEN GUARDA VAZQUEZ</t>
  </si>
  <si>
    <t>MONICA GARCIA NUÑEZ</t>
  </si>
  <si>
    <t>7295030367</t>
  </si>
  <si>
    <t>MIRIAM QUIROZ RAMIREZ</t>
  </si>
  <si>
    <t>VICTOR VILLA VILLEGAS</t>
  </si>
  <si>
    <t>MAYRA CORTES</t>
  </si>
  <si>
    <t>JAZMIN PEREZ</t>
  </si>
  <si>
    <t>CLEMENTE GALINDO</t>
  </si>
  <si>
    <t>VICTOR CORNELIO GARCIA SOTELO</t>
  </si>
  <si>
    <t>7223554519</t>
  </si>
  <si>
    <t>MARIA TERESA ROGEL GARCIA</t>
  </si>
  <si>
    <t>REYNA GARCIA GONZALEZ</t>
  </si>
  <si>
    <t>LETICIA MEDINA PAREDES</t>
  </si>
  <si>
    <t>7223018763</t>
  </si>
  <si>
    <t>DIANA GRANADOS REZA</t>
  </si>
  <si>
    <t>LUCIA EUSEVIA SANDOVAL</t>
  </si>
  <si>
    <t>MARICARMEN HIDALGO</t>
  </si>
  <si>
    <t>OSVALDO CAMPOS MONDRAGON</t>
  </si>
  <si>
    <t>MAYTE OSMIN HIDALGO CABRERA</t>
  </si>
  <si>
    <t>CRISOFORO CORTEZ FRANCO</t>
  </si>
  <si>
    <t>MANUEL VEGA</t>
  </si>
  <si>
    <t>YOVANI ZAMORA</t>
  </si>
  <si>
    <t>ROMERO ROSALIO MARIA DEL CARMEN</t>
  </si>
  <si>
    <t>rosaliomariadelcarmen378@gmail.com</t>
  </si>
  <si>
    <t>ARIANA GOMEZ SOTELO</t>
  </si>
  <si>
    <t>MARIA ISABEL GARCIA PEREZ</t>
  </si>
  <si>
    <t>MARICRUZ GARCIA ESCOBAR</t>
  </si>
  <si>
    <t>BARBARA EDITH GONZALEZ FLORES</t>
  </si>
  <si>
    <t>7225111421</t>
  </si>
  <si>
    <t>MARTHA MARIA LOPEZ CORNEJO</t>
  </si>
  <si>
    <t>MARTA JULIA MARTINEZ GARCIA</t>
  </si>
  <si>
    <t>SABINA GUARDA RAMIREZ</t>
  </si>
  <si>
    <t>ROSI ITZEL ESCOBAR GUARDA</t>
  </si>
  <si>
    <t>LUIS JAVIER SOTELO VELA</t>
  </si>
  <si>
    <t>MARIA GUADALUPE REYES VASQUEZ</t>
  </si>
  <si>
    <t>MAYRA JOSSELY SANTIAGO GARCIA</t>
  </si>
  <si>
    <t>AMA KAREN CRUZ HERNANDEZ</t>
  </si>
  <si>
    <t>PATIRICA ORIHUELA JURADO</t>
  </si>
  <si>
    <t>CENOBIA GUADALUPE MEXICANO</t>
  </si>
  <si>
    <t>MINERVA GONZALEZ ORIHUELA</t>
  </si>
  <si>
    <t>MARISOL AYALA CRUZ</t>
  </si>
  <si>
    <t>TEODORA TAPIA SANCHEZ</t>
  </si>
  <si>
    <t>VANESA AYALA CRUZ</t>
  </si>
  <si>
    <t>LILIANA PADILLA PIÑA</t>
  </si>
  <si>
    <t>RAYMUNDO MEJIA PEREZ</t>
  </si>
  <si>
    <t>MARIA GUADALUPE RODRIGUEZ</t>
  </si>
  <si>
    <t>MAURO MORQUECHO</t>
  </si>
  <si>
    <t>PABLO ANGUIANO</t>
  </si>
  <si>
    <t>SINOE HERNANDEZ</t>
  </si>
  <si>
    <t>4471044505</t>
  </si>
  <si>
    <t>ADRIANA TAPIA BRAVO</t>
  </si>
  <si>
    <t>SANDRA MARIELA GARCIA MEJIA</t>
  </si>
  <si>
    <t>4471260680</t>
  </si>
  <si>
    <t>FELIPE MUÑOZ</t>
  </si>
  <si>
    <t>MIGUEL GONZALEZ BAUTISTA</t>
  </si>
  <si>
    <t>JOSE ALFREDO VILLANUEVA</t>
  </si>
  <si>
    <t>4471032764</t>
  </si>
  <si>
    <t>ESTEPHANI LOPEZ JIMENEZ</t>
  </si>
  <si>
    <t>CARLOS REYES</t>
  </si>
  <si>
    <t>CAROLINA VARGAS RIOS</t>
  </si>
  <si>
    <t>BERTIN LOPEZ CRUZ</t>
  </si>
  <si>
    <t>ANARIKA LEON</t>
  </si>
  <si>
    <t>4471124249</t>
  </si>
  <si>
    <t>ARACELI ALVARADO</t>
  </si>
  <si>
    <t>GUADALUPE GALAN SANCHEZ</t>
  </si>
  <si>
    <t>ROSARIO SOTO</t>
  </si>
  <si>
    <t>ANA BERTHA LOPEZ</t>
  </si>
  <si>
    <t>JUANA LIRA</t>
  </si>
  <si>
    <t>JUAN HERNANDEZ ASENCION</t>
  </si>
  <si>
    <t>GUSTAVO REYES RAMIREZ</t>
  </si>
  <si>
    <t>JOSE GONZALEZ</t>
  </si>
  <si>
    <t>LUZ MARIA REYES</t>
  </si>
  <si>
    <t>JUAN CARLOS GARCIA</t>
  </si>
  <si>
    <t>DIANA REYES</t>
  </si>
  <si>
    <t>MARICELA HERNANDEZ</t>
  </si>
  <si>
    <t>ANAI VERONICA MOLINA</t>
  </si>
  <si>
    <t>LORENA MAYA CRUZ</t>
  </si>
  <si>
    <t>LUZ MARIA MARTINEZ CORDOBA</t>
  </si>
  <si>
    <t>ALICIA YASMIN GONZALEZ</t>
  </si>
  <si>
    <t>ROSARIO GUERRA SOTO</t>
  </si>
  <si>
    <t>ADELAIDA GARCIA</t>
  </si>
  <si>
    <t>ANA KAREN MUÑOZ</t>
  </si>
  <si>
    <t>CRISTIAN JIMENEZ</t>
  </si>
  <si>
    <t>VERONICA HEREDIA RAMIREZ</t>
  </si>
  <si>
    <t>ALEJANDRO GARCIA GONZALEZ</t>
  </si>
  <si>
    <t>JOSE MAURICIO BASILIO</t>
  </si>
  <si>
    <t>MICHEL ESTEFANI LIRA MIRRANDA</t>
  </si>
  <si>
    <t>4471060791</t>
  </si>
  <si>
    <t>ILIANA ABIGAIL MANRIQUEZ</t>
  </si>
  <si>
    <t>MARIA JOSEFINA ALONZO</t>
  </si>
  <si>
    <t>BENJAMIN ACOSTA GARCIA</t>
  </si>
  <si>
    <t>3311713150</t>
  </si>
  <si>
    <t>EDGARDO MORENO BAUUTISTA</t>
  </si>
  <si>
    <t>MARTIN AGUILAR HERNANDEZ</t>
  </si>
  <si>
    <t>ALEJANDRO FLORES</t>
  </si>
  <si>
    <t>JUAN REFUGIO MORALES</t>
  </si>
  <si>
    <t>J ISABEL ESQUIVEL</t>
  </si>
  <si>
    <t>SERGIO MARTINEZ</t>
  </si>
  <si>
    <t>DANA ESPINOZA</t>
  </si>
  <si>
    <t>LORENA MAYA</t>
  </si>
  <si>
    <t>RITA MENDOZA ROMERO</t>
  </si>
  <si>
    <t>MARLEN ALEJANDRA VELAZQUEZ</t>
  </si>
  <si>
    <t>MARI CARMEN PEREZ</t>
  </si>
  <si>
    <t>JOQUEBED PIÑA SANTANA</t>
  </si>
  <si>
    <t>ANGEL PAREDES ARRIAGA</t>
  </si>
  <si>
    <t>VERONICA BERENICE MENESES</t>
  </si>
  <si>
    <t>CLAUDIA ANGUIANO</t>
  </si>
  <si>
    <t>LUIS EMILIO GARCIA ORTIZ</t>
  </si>
  <si>
    <t>7221605882</t>
  </si>
  <si>
    <t>CECILIA CARBAJAL MAYA</t>
  </si>
  <si>
    <t>JOSEFINA SANCHEZ</t>
  </si>
  <si>
    <t>OLIMPIA CRUZ OCAMPO</t>
  </si>
  <si>
    <t>SERGIO HERNANDEZ GOMEZ</t>
  </si>
  <si>
    <t>JAQUELIN AGUSTIN AMBRIS</t>
  </si>
  <si>
    <t>JESUS JAVIER VARGAS CASTAÑEDA</t>
  </si>
  <si>
    <t>MARU CASTILLO VARGAS</t>
  </si>
  <si>
    <t>ALEXANDRA ESTEFANIA LOPEZ</t>
  </si>
  <si>
    <t>MA EVER ESPINOZA CARRANZA</t>
  </si>
  <si>
    <t>LETICIA ALVAREZ ENRIQUEZ</t>
  </si>
  <si>
    <t>URIEL ALAVAREZ</t>
  </si>
  <si>
    <t>RICARDO COLIN</t>
  </si>
  <si>
    <t>KAREN VERA</t>
  </si>
  <si>
    <t>LILIANA DIAZ</t>
  </si>
  <si>
    <t>MICHELL RIOS</t>
  </si>
  <si>
    <t>EDITH LOPEZ</t>
  </si>
  <si>
    <t>ANGELES MIRANDA</t>
  </si>
  <si>
    <t>MARIA GUADALUPE ALVAREZ</t>
  </si>
  <si>
    <t>AIDE ROMERO</t>
  </si>
  <si>
    <t>ANA KAREN PAREDES</t>
  </si>
  <si>
    <t>CRISTINA MORALES</t>
  </si>
  <si>
    <t>ESTEFANIA MORALES</t>
  </si>
  <si>
    <t>CARLOS GARCIA</t>
  </si>
  <si>
    <t>LORENZO LOPEZ</t>
  </si>
  <si>
    <t>EFRAIN TALAVERA</t>
  </si>
  <si>
    <t>FELIPE CAZAS</t>
  </si>
  <si>
    <t>EZEQUIEL REYES</t>
  </si>
  <si>
    <t>GERARDO FLORES</t>
  </si>
  <si>
    <t>SOFIA ORDOÑEZ</t>
  </si>
  <si>
    <t>7228267354</t>
  </si>
  <si>
    <t>MARCELA MEJIA</t>
  </si>
  <si>
    <t>CAROLINA LOPEZ</t>
  </si>
  <si>
    <t>ADRIANA ZARAGOZA</t>
  </si>
  <si>
    <t>JUAN ANGEL ALANIS</t>
  </si>
  <si>
    <t>MARIA ELENA MANJARREZ</t>
  </si>
  <si>
    <t>FERNANDA DIAZ</t>
  </si>
  <si>
    <t>ADRIANA REYES</t>
  </si>
  <si>
    <t>SOFIA DEYANIRA</t>
  </si>
  <si>
    <t>MARIANA VENANCIO</t>
  </si>
  <si>
    <t>EVA LOPEZ</t>
  </si>
  <si>
    <t>TANIA SANCHEZ</t>
  </si>
  <si>
    <t>HUMBERTO SALAZAR</t>
  </si>
  <si>
    <t>VICTOR RAMIREZ</t>
  </si>
  <si>
    <t>MAGALY BARRIOS</t>
  </si>
  <si>
    <t>PADILLA TELLEZ JOSE</t>
  </si>
  <si>
    <t>jose.padillat21@gmail.com</t>
  </si>
  <si>
    <t>ARIEL REYES</t>
  </si>
  <si>
    <t>DANIEL MARTINEZ</t>
  </si>
  <si>
    <t>SABINO GARCIA</t>
  </si>
  <si>
    <t>VERONICA CERINO</t>
  </si>
  <si>
    <t>SOFIA ROJAS</t>
  </si>
  <si>
    <t>VIVIANA ROMERO</t>
  </si>
  <si>
    <t>LUCY EVANGELINA SANCHEZ</t>
  </si>
  <si>
    <t>7121544724</t>
  </si>
  <si>
    <t>BEATRIZ RAMIREZ</t>
  </si>
  <si>
    <t>YAHIR LOPEZ</t>
  </si>
  <si>
    <t>VIVIANA PIÑA SANTOS</t>
  </si>
  <si>
    <t>HIPOLITA FELIPE SANCHEZ</t>
  </si>
  <si>
    <t>ALAN SAUL SANCHEZ FELIPE</t>
  </si>
  <si>
    <t>VICTOR HUGO SANCHEZ LINARES</t>
  </si>
  <si>
    <t>7121074554</t>
  </si>
  <si>
    <t>MARIA FERNANDA SANCHO SANCHEZ</t>
  </si>
  <si>
    <t>RUBEN DANIEL GUTIERREZ GARCIA</t>
  </si>
  <si>
    <t>Nombre Referencia1</t>
  </si>
  <si>
    <t>Teléfono Referencia1</t>
  </si>
  <si>
    <t>Nombre Referencia2</t>
  </si>
  <si>
    <t>Teléfono Referencia2</t>
  </si>
  <si>
    <t>Nombre Referencia3</t>
  </si>
  <si>
    <t>Teléfono Referencia3</t>
  </si>
  <si>
    <t>Geolocalización domicilio</t>
  </si>
  <si>
    <t>5565256507</t>
  </si>
  <si>
    <t>7226018034</t>
  </si>
  <si>
    <t>7221218282</t>
  </si>
  <si>
    <t>7299507509</t>
  </si>
  <si>
    <t>CARRILLO SALINAS TATIANA</t>
  </si>
  <si>
    <t>tatiscarrillo0201@hotmail.com</t>
  </si>
  <si>
    <t>ROSA MARIA SANCHEZ GARCIA</t>
  </si>
  <si>
    <t>JUAN CARLOS GONZALEZ LARA</t>
  </si>
  <si>
    <t>RAFAEL SANCHEZ MADARIAGA</t>
  </si>
  <si>
    <t>Santiaguito Cuaxustenco</t>
  </si>
  <si>
    <t>Perez Lopez Patricia</t>
  </si>
  <si>
    <t>Jimenez Garcia Angelica Maribel</t>
  </si>
  <si>
    <t>MIRANDA MEJIA MARICELA</t>
  </si>
  <si>
    <t>enjambre121194@gmail.com</t>
  </si>
  <si>
    <t>ROSAURA SEBASTIAN</t>
  </si>
  <si>
    <t>LETICIA HUERTA</t>
  </si>
  <si>
    <t>FABIOLA GARCIA</t>
  </si>
  <si>
    <t>Campesina</t>
  </si>
  <si>
    <t>7225524341</t>
  </si>
  <si>
    <t>7121633320</t>
  </si>
  <si>
    <t>LOPEZ CABALLERO MARIA DEL ROCIO</t>
  </si>
  <si>
    <t>guillermo_severiano@gmail.com</t>
  </si>
  <si>
    <t>GUILLERMO SEVERIANO FERNANDO</t>
  </si>
  <si>
    <t>VIRGINIA ROSALES POSADAS</t>
  </si>
  <si>
    <t>CECILIA REYES MORALES</t>
  </si>
  <si>
    <t>FERNANDA HERNANDEZ</t>
  </si>
  <si>
    <t>CASTILLO VILLEGAS YOLANDA YADIRA</t>
  </si>
  <si>
    <t>ycastillo86@gmail.com</t>
  </si>
  <si>
    <t>COLIN BAÑUELOS HERON</t>
  </si>
  <si>
    <t>LORENA LOPEZ GOMEZ</t>
  </si>
  <si>
    <t>JUAN ISIDRO MORGAN RODRIGUEZ</t>
  </si>
  <si>
    <t>ARMANDO COLIN PEREZ</t>
  </si>
  <si>
    <t>Individual sin Garantía</t>
  </si>
  <si>
    <t>ESTRADA CRUZ BEATRIZ</t>
  </si>
  <si>
    <t>beatriz.e89@gmail.com</t>
  </si>
  <si>
    <t>SANEMO SANCHEZ PEDRO</t>
  </si>
  <si>
    <t>JOSEFINA CRUZ FRUTIS</t>
  </si>
  <si>
    <t>MARIA GUADALUPE OLIVEROS CHAMORRO</t>
  </si>
  <si>
    <t>PEDRAZA NAVA REYNA</t>
  </si>
  <si>
    <t>La Capilla</t>
  </si>
  <si>
    <t>19°12'07.3"N 100°07'39.6"W</t>
  </si>
  <si>
    <t>CAMBRON NAVA VICTOR</t>
  </si>
  <si>
    <t>victorcambro1971@gmail.com</t>
  </si>
  <si>
    <t>ORLANDO SALGADO BERNAL</t>
  </si>
  <si>
    <t>JULIO GABRIEL PALACIOS GARCIA</t>
  </si>
  <si>
    <t>JOHAN RAMIREZ VAZQUEZ</t>
  </si>
  <si>
    <t>BARRERA BARRERA MIGUEL</t>
  </si>
  <si>
    <t>mb8810472@gmail.com</t>
  </si>
  <si>
    <t>ELABORACION DE OBJETOS ARTISTICOS DE ALFARERIA Y CERAMICA</t>
  </si>
  <si>
    <t>HERNANDEZ ARANDA JUANA MAURA</t>
  </si>
  <si>
    <t>VIVIANA RUIZ NICOLAS</t>
  </si>
  <si>
    <t>JUANA HERNANDEZ</t>
  </si>
  <si>
    <t>RAMIRO BARRERA HERNANDEZ</t>
  </si>
  <si>
    <t>San Juanico Centro</t>
  </si>
  <si>
    <t>Temascalcingo</t>
  </si>
  <si>
    <t>19°51'06.1"N 100°02'04.8"W</t>
  </si>
  <si>
    <t>Pech Muñoz Oscar Adrian</t>
  </si>
  <si>
    <t>ORTEGA DE JESUS LETICIA</t>
  </si>
  <si>
    <t>leticiaortegadejesus@gmail.com</t>
  </si>
  <si>
    <t>MARCELO RUIZ ENRIQUE</t>
  </si>
  <si>
    <t>DIANA MARCELO</t>
  </si>
  <si>
    <t>MIGUEL ANGEL CARDENAS</t>
  </si>
  <si>
    <t>NEREIDA MARTINEZ</t>
  </si>
  <si>
    <t>EJIDO RINCON DE LA CANDELARIA #SN</t>
  </si>
  <si>
    <t>El Rincón de la Candelaria</t>
  </si>
  <si>
    <t>19°46'02.0"N 99°52'10.5"W</t>
  </si>
  <si>
    <t>GOMEZ MIRANDA MARIBEL</t>
  </si>
  <si>
    <t>mariagomezz26@gmail.com</t>
  </si>
  <si>
    <t>GUADALUPE BARRERA</t>
  </si>
  <si>
    <t>REY DE JESUS VALCASAS SUAREZ</t>
  </si>
  <si>
    <t>SONIA REYES</t>
  </si>
  <si>
    <t>RIO PANUCO #SN</t>
  </si>
  <si>
    <t>19°48'18.5"N 99°53'49.1"W</t>
  </si>
  <si>
    <t>Link Geolocalización domicilio</t>
  </si>
  <si>
    <t>2292504100</t>
  </si>
  <si>
    <t>7121365176</t>
  </si>
  <si>
    <t>Nom. Región</t>
  </si>
  <si>
    <t>BAUTISTA REBOLLAR DANIEL</t>
  </si>
  <si>
    <t>FABRICACION DE HELADOS NIEVES Y PALETAS</t>
  </si>
  <si>
    <t>WALTER TINOCO BAUTISTA</t>
  </si>
  <si>
    <t>FRANCISCO ESQUIVEL</t>
  </si>
  <si>
    <t>ARMANDO DE LA ROSA GARDUÑO</t>
  </si>
  <si>
    <t>19°10'04.1"N 100°13'11.1"W</t>
  </si>
  <si>
    <t>CASTILLO GONZALEZ HUGO MIGUEL ANGEL</t>
  </si>
  <si>
    <t>h.castillo63@gmail.com</t>
  </si>
  <si>
    <t>CARLOS MERCADO VELAZQUEZ</t>
  </si>
  <si>
    <t>JUAN CRUZ RAMOS</t>
  </si>
  <si>
    <t>HUMBERTO CLEMENTE CRUZ REYES</t>
  </si>
  <si>
    <t>19°11'30.6"N 100°07'34.1"W</t>
  </si>
  <si>
    <t>GOMEZ CARRANZA ANGELICA</t>
  </si>
  <si>
    <t>ag1753777@gmail.com</t>
  </si>
  <si>
    <t>LARA GARCIA JOSE</t>
  </si>
  <si>
    <t>ARELI ARELLANO PEÑALOZA</t>
  </si>
  <si>
    <t>MARIA DEL ROSARIO GONZALEZ VEGA</t>
  </si>
  <si>
    <t>LUIS ENRIQUE SANCHEZ QUINTERO</t>
  </si>
  <si>
    <t>Amanalco de Becerra</t>
  </si>
  <si>
    <t>19°14'36.4"N 100°05'23.7"W</t>
  </si>
  <si>
    <t>BELTRAN AYALA JOSE GUILLERMO</t>
  </si>
  <si>
    <t>guillermobeltran928@gmail.com</t>
  </si>
  <si>
    <t>FERNANDA AVILA NAVARRETE</t>
  </si>
  <si>
    <t>MARCEL ROSALES MANCERA</t>
  </si>
  <si>
    <t>MARIA DEL CARMEN ROMERO</t>
  </si>
  <si>
    <t>Ixtapita</t>
  </si>
  <si>
    <t>18°50'34.6"N 99°41'04.7"W</t>
  </si>
  <si>
    <t>HUERTAS ALARCON ROMAN</t>
  </si>
  <si>
    <t>romanhuertas520@gmail.com</t>
  </si>
  <si>
    <t>CULTIVO DE MAIZ</t>
  </si>
  <si>
    <t>ARELLANO SANTOS LUZ MARIA</t>
  </si>
  <si>
    <t>LUZ MARIA ARELLANO SANCHEZ</t>
  </si>
  <si>
    <t>VANESA HUERTAS ARELLANO</t>
  </si>
  <si>
    <t>MIGUEL GUERRERO GARCIA</t>
  </si>
  <si>
    <t>19°05'59.9"N 99°31'45.3"W</t>
  </si>
  <si>
    <t>SOTO ARRIAGA MA GUADALUPE</t>
  </si>
  <si>
    <t>maria3sot900@gmail.com</t>
  </si>
  <si>
    <t>MIRANDA MEJIA NOE</t>
  </si>
  <si>
    <t>MARICELA MIRANDA</t>
  </si>
  <si>
    <t>ELSA VIDAL</t>
  </si>
  <si>
    <t>JESUS RUIZ</t>
  </si>
  <si>
    <t>19°06'12.0"N 99°34'59.8"W</t>
  </si>
  <si>
    <t>Arzate Lopez Miguel Angel</t>
  </si>
  <si>
    <t>ARENAS DE JESUS LORENA</t>
  </si>
  <si>
    <t>lorenaarenas@hotmail.com</t>
  </si>
  <si>
    <t>CRIA Y EXPLOTACION DE GANADO PORCINO</t>
  </si>
  <si>
    <t>GONZALEZ MATEO FELIPE</t>
  </si>
  <si>
    <t>JOVANI AVILA ODILON</t>
  </si>
  <si>
    <t>ADELINA MIRANDA</t>
  </si>
  <si>
    <t>JUAN CONTRERAS</t>
  </si>
  <si>
    <t>SAN BARTOLO DEL LLANO #SN</t>
  </si>
  <si>
    <t>San Bartolo del Llano</t>
  </si>
  <si>
    <t>Ixtlahuaca</t>
  </si>
  <si>
    <t>19°35'34.9"N 99°44'46.8"W</t>
  </si>
  <si>
    <t>CARBAJAL VAZQUEZ RICARDO</t>
  </si>
  <si>
    <t>ricardocarbajalvazquez842@gmail.com</t>
  </si>
  <si>
    <t>GARCIA TRUJILLO MARICELA</t>
  </si>
  <si>
    <t>GUSTAVO ANGEL DESIDERIO</t>
  </si>
  <si>
    <t>EDUARDO CARBAJAL GARCIA</t>
  </si>
  <si>
    <t>18°50'55.0"N 99°40'04.8"W</t>
  </si>
  <si>
    <t>SANCHEZ RODRIGUEZ BELEN</t>
  </si>
  <si>
    <t>belsanrod3081@gmail.com</t>
  </si>
  <si>
    <t>FABRICACION DE CERRADURAS</t>
  </si>
  <si>
    <t>GONZALEZ GOMEZ VIANEY</t>
  </si>
  <si>
    <t>JOSE DE JESUS GONZALEZ SANCHEZ</t>
  </si>
  <si>
    <t>HUMBERTO EMMANUEL SANCHEZ RODRIGUEZ</t>
  </si>
  <si>
    <t>JUAN ALBERTO ARIZMENDI VAZQUEZ</t>
  </si>
  <si>
    <t>18°50'30.4"N 99°40'38.7"W</t>
  </si>
  <si>
    <t>GOMEZ MOCTEZUMA HECTOR JUVENAL</t>
  </si>
  <si>
    <t>creapallets66@gmail.com</t>
  </si>
  <si>
    <t>FABRICACION DE OTROS ARTICULOS DE MADERA</t>
  </si>
  <si>
    <t>RAMIREZ JARDON ALICIA PAOLA</t>
  </si>
  <si>
    <t>ANGEL ISMAEL GOMEZ MOCTEZUMA</t>
  </si>
  <si>
    <t>ANGELICA PAMELA GOMEZ MOCTEZUMA</t>
  </si>
  <si>
    <t>ANA CAMILA GARDUÑO MENDOZA</t>
  </si>
  <si>
    <t>SIERRA TAXCO #SN</t>
  </si>
  <si>
    <t>18°56'14.4"N 99°29'50.2"W</t>
  </si>
  <si>
    <t>BANDA GOMEZ JOSE DANIEL</t>
  </si>
  <si>
    <t>jsbandagomez@gmail.com</t>
  </si>
  <si>
    <t>SANCHEZ MARQUEZ DANIELA</t>
  </si>
  <si>
    <t>SILVIA SERNAS</t>
  </si>
  <si>
    <t>JORGE GOMEZ</t>
  </si>
  <si>
    <t>JAIME MORALES</t>
  </si>
  <si>
    <t>VISTA HERMOSA  #13</t>
  </si>
  <si>
    <t>19°15'56.5"N 99°35'41.4"W</t>
  </si>
  <si>
    <t>SERVICIOS DE REPARACION DE MOTOCICLETAS Y BICICLETAS</t>
  </si>
  <si>
    <t>ROMANO PALMA EDITH YADIRA</t>
  </si>
  <si>
    <t>yadis_roma30@hotmail.com</t>
  </si>
  <si>
    <t>GARCIA CAMACHO CARLOS</t>
  </si>
  <si>
    <t>BLANCA VELAZQUEZ</t>
  </si>
  <si>
    <t>ANDREA GONZALEZ</t>
  </si>
  <si>
    <t>JUAN GARCIA</t>
  </si>
  <si>
    <t>IGNACIO ZARAGOZA #510</t>
  </si>
  <si>
    <t>La Aurora</t>
  </si>
  <si>
    <t>19°05'53.2"N 99°35'14.2"W</t>
  </si>
  <si>
    <t>ESPINOZA RUIZ MA TERESA</t>
  </si>
  <si>
    <t>espinozatere682@gmail.com</t>
  </si>
  <si>
    <t>MIRANDA LEGORRETA ALFONSO</t>
  </si>
  <si>
    <t>LUZ AIDE MONROY</t>
  </si>
  <si>
    <t>KARINA MENDOZA</t>
  </si>
  <si>
    <t>CESAR DE LA CRUZ</t>
  </si>
  <si>
    <t>PROL PORFIRIO ALCANTARA B #108</t>
  </si>
  <si>
    <t>Cuatro Milpas</t>
  </si>
  <si>
    <t>19°47'42.2"N 99°53'01.2"W</t>
  </si>
  <si>
    <t>RAMIREZ ROMERO SERGIO</t>
  </si>
  <si>
    <t>GUADARRAMA JIMENEZ YESENIA</t>
  </si>
  <si>
    <t>IRLANDA ROMERO MERCADO</t>
  </si>
  <si>
    <t>ROSARIO RAMIREZ ROMERO</t>
  </si>
  <si>
    <t>ARTURO GOMEZ MENDEZ</t>
  </si>
  <si>
    <t>18°57'55.7"N 99°34'49.1"W</t>
  </si>
  <si>
    <t>MIRAFUENTES GONZALEZ ALAN YAMIR</t>
  </si>
  <si>
    <t>titog0369@gmail.com</t>
  </si>
  <si>
    <t>SALON DE BELLEZA</t>
  </si>
  <si>
    <t>JAVIER ACOSTA</t>
  </si>
  <si>
    <t>SANTOS GONZALEZ</t>
  </si>
  <si>
    <t>VICTOR CALLEJAS</t>
  </si>
  <si>
    <t>INDEPENCIA  #38</t>
  </si>
  <si>
    <t>San Pedro Cholula</t>
  </si>
  <si>
    <t>19°15'51.3"N 99°29'12.7"W</t>
  </si>
  <si>
    <t>MAYA RUIZ VICTORIA</t>
  </si>
  <si>
    <t>araceli121285@gmail.com</t>
  </si>
  <si>
    <t>ROSALBA GONZALEZ CRUZ</t>
  </si>
  <si>
    <t>MARGARITA MARTINEZ</t>
  </si>
  <si>
    <t>ESTELA SANCHEZ</t>
  </si>
  <si>
    <t>EL TUNAL #SN</t>
  </si>
  <si>
    <t>El Tunal</t>
  </si>
  <si>
    <t>19°42'56.5"N 99°57'39.4"W</t>
  </si>
  <si>
    <t>AGUADO MARTINEZ RENE JOAQUIN</t>
  </si>
  <si>
    <t>reneaguado@gmail.com</t>
  </si>
  <si>
    <t>PRESTACION DE OTROS SERVICIOS TECNICOS</t>
  </si>
  <si>
    <t>ESPINOZA SUZETTE MARIE</t>
  </si>
  <si>
    <t>JORGE RODRIGUEZ DUPOND</t>
  </si>
  <si>
    <t>Jesús del Monte</t>
  </si>
  <si>
    <t>LOZA REYES SAIRA</t>
  </si>
  <si>
    <t>AUTOTRANSPORTE DE CARGA DE PRODUCTOS ESPECIFICOS</t>
  </si>
  <si>
    <t>ARTURO ALEJANDRO FLORES LOZA</t>
  </si>
  <si>
    <t>MAYTE LOZA REYES</t>
  </si>
  <si>
    <t>ITZEL DE JESUS ESTANISLAO</t>
  </si>
  <si>
    <t>19°11'34.7"N 100°08'08.5"W</t>
  </si>
  <si>
    <t>GARDUÑO TOLA MA ISABEL</t>
  </si>
  <si>
    <t>maisabel6307@gmail.com</t>
  </si>
  <si>
    <t>GARCIA FELIX JUAN CARLOS</t>
  </si>
  <si>
    <t>IDALIA JAIMES</t>
  </si>
  <si>
    <t>FABIOLA GARCIA GARDUÑO</t>
  </si>
  <si>
    <t>ESTEBAN GARCIA GARDUÑO</t>
  </si>
  <si>
    <t>19°12'17.6"N 100°07'14.9"W</t>
  </si>
  <si>
    <t>GUADARRAMA LOPEZ MARIA EUGENIA</t>
  </si>
  <si>
    <t>marug6737@gmail.com</t>
  </si>
  <si>
    <t>MILLAN HERRERA JOSE MIGUEL</t>
  </si>
  <si>
    <t>VIANEY JACINTO DIAZ</t>
  </si>
  <si>
    <t>JUANA DIAZ HERNANDEZ</t>
  </si>
  <si>
    <t>JOSE ANGEL GARCIA VERA</t>
  </si>
  <si>
    <t>18°57'33.5"N 99°38'21.2"W</t>
  </si>
  <si>
    <t>7221455287</t>
  </si>
  <si>
    <t>7224863196</t>
  </si>
  <si>
    <t>7261160740</t>
  </si>
  <si>
    <t>5610030464</t>
  </si>
  <si>
    <t>7221846492</t>
  </si>
  <si>
    <t>7228379821</t>
  </si>
  <si>
    <t>7225943997</t>
  </si>
  <si>
    <t>7226741183</t>
  </si>
  <si>
    <t>7224267413</t>
  </si>
  <si>
    <t>7297364541</t>
  </si>
  <si>
    <t>5513416476</t>
  </si>
  <si>
    <t>MARIA DEL CARMEN DANIEL GOMEZ</t>
  </si>
  <si>
    <t>7224167383</t>
  </si>
  <si>
    <t>EUSEBIO MALDONADO ITURBE</t>
  </si>
  <si>
    <t>7223956311</t>
  </si>
  <si>
    <t>7228443623</t>
  </si>
  <si>
    <t>MARIA ROBLES</t>
  </si>
  <si>
    <t>7223801211</t>
  </si>
  <si>
    <t>ANTONIO PERALTA</t>
  </si>
  <si>
    <t>7221194728</t>
  </si>
  <si>
    <t>7203834647</t>
  </si>
  <si>
    <t>7298085625</t>
  </si>
  <si>
    <t>7223878493</t>
  </si>
  <si>
    <t>7226835984</t>
  </si>
  <si>
    <t>7225656079</t>
  </si>
  <si>
    <t>7291078655</t>
  </si>
  <si>
    <t>6645477087</t>
  </si>
  <si>
    <t>7221696574</t>
  </si>
  <si>
    <t>7293002621</t>
  </si>
  <si>
    <t>7228010787</t>
  </si>
  <si>
    <t>7221551295</t>
  </si>
  <si>
    <t>7298576589</t>
  </si>
  <si>
    <t>6642804687</t>
  </si>
  <si>
    <t>7226045579</t>
  </si>
  <si>
    <t>JUANA RODEA TAPIA</t>
  </si>
  <si>
    <t>4471735169</t>
  </si>
  <si>
    <t>DOLORES SOLIS</t>
  </si>
  <si>
    <t>4471731819</t>
  </si>
  <si>
    <t>4471466258</t>
  </si>
  <si>
    <t>4471083180</t>
  </si>
  <si>
    <t>MIGUEL JIMENEZ CABRERA</t>
  </si>
  <si>
    <t>JUAN GUADALUPE RAMIREZ</t>
  </si>
  <si>
    <t>MARTHA ESPINOZA JIMENEZ</t>
  </si>
  <si>
    <t>4471736177</t>
  </si>
  <si>
    <t>ERNESTO RUBIO MARTINEZ</t>
  </si>
  <si>
    <t>4471005257</t>
  </si>
  <si>
    <t>4471192049</t>
  </si>
  <si>
    <t>4431001220</t>
  </si>
  <si>
    <t>4471252542</t>
  </si>
  <si>
    <t>4472036183</t>
  </si>
  <si>
    <t>4622905488</t>
  </si>
  <si>
    <t>4778198022</t>
  </si>
  <si>
    <t>4471072858</t>
  </si>
  <si>
    <t>7224108994</t>
  </si>
  <si>
    <t>5649151517</t>
  </si>
  <si>
    <t>MA ELENA SANCHEZ ROSALES</t>
  </si>
  <si>
    <t>MORENO BERNAL MA DE LA LUZ</t>
  </si>
  <si>
    <t>mmoreno6320@gmail.com</t>
  </si>
  <si>
    <t>SARAHI ALONSO</t>
  </si>
  <si>
    <t>SALVADOR VACA</t>
  </si>
  <si>
    <t>LUCERO PAREDES MONTES</t>
  </si>
  <si>
    <t>Izcalli Cuauhtémoc I</t>
  </si>
  <si>
    <t>19°16'24.1"N 99°35'37.1"W</t>
  </si>
  <si>
    <t>PICHARDO GONZALEZ ALEJANDRO</t>
  </si>
  <si>
    <t>alevpichagonza@gmail.com</t>
  </si>
  <si>
    <t>VILCHIS DE JESUS IRENE</t>
  </si>
  <si>
    <t>ELIZABETH ARELI VILCHIS DE JESUS</t>
  </si>
  <si>
    <t>MARGARITA REMIGIO SANCHEZ</t>
  </si>
  <si>
    <t>JUANA PIÑA VENTURA</t>
  </si>
  <si>
    <t>SANTA ANA LA LADERA  #SN</t>
  </si>
  <si>
    <t>Santa Ana la Ladera cu</t>
  </si>
  <si>
    <t>19°33'57.8"N 99°45'57.6"W</t>
  </si>
  <si>
    <t>ALVARADO NORBERTO ELENA NATALIA</t>
  </si>
  <si>
    <t>enataalvarado@gmail.com</t>
  </si>
  <si>
    <t>VELAZQUEZ LOPEZ HECTOR</t>
  </si>
  <si>
    <t>BERENICE JIMENEZ SANCHEZ</t>
  </si>
  <si>
    <t>GUADALUPE SALINAS SALAZAR</t>
  </si>
  <si>
    <t>JUAN MANUEL SANCHEZ</t>
  </si>
  <si>
    <t>19°09'28.1"N 100°08'20.0"W</t>
  </si>
  <si>
    <t>LIUNA BECERRIL GUSTAVO</t>
  </si>
  <si>
    <t>ALBARRAN REYES ANA MARIA</t>
  </si>
  <si>
    <t>amariaa@gmail.com</t>
  </si>
  <si>
    <t>FABRICACION DE FRITURAS</t>
  </si>
  <si>
    <t>ROJAS CHIQUILLO ISIDRO</t>
  </si>
  <si>
    <t>ESMERALDA ALBARRAN MERCADO</t>
  </si>
  <si>
    <t>IRENE GARCIA GARDUÑO</t>
  </si>
  <si>
    <t>PATRICIA CARRILLO ZARZA</t>
  </si>
  <si>
    <t>ESQUIVEL SOTO LETICIA</t>
  </si>
  <si>
    <t>esquivelsotoleticia83@gmail.com</t>
  </si>
  <si>
    <t>SALVADOR ARIAS LORENZO</t>
  </si>
  <si>
    <t>CARLOS SALVADOR ARIES</t>
  </si>
  <si>
    <t>LORENZO SALVADOR  ARIES</t>
  </si>
  <si>
    <t>https://www.google.com/maps/@1</t>
  </si>
  <si>
    <t>CHAVEZ PEDROZA IRENE</t>
  </si>
  <si>
    <t>irenechavez01843@hotmail.com</t>
  </si>
  <si>
    <t>GUADARRAMA GARCIA CARLOS</t>
  </si>
  <si>
    <t>MAGALI SANCHEZ CASTILLO</t>
  </si>
  <si>
    <t>JUANA DEL ROSARIO MARTINEZ</t>
  </si>
  <si>
    <t>PABLO CABRERA SANCHEZ</t>
  </si>
  <si>
    <t>18°57'57.5"N 99°36'07.0"W</t>
  </si>
  <si>
    <t>CARMONA LOPEZ GUADALUPE BEATRIZ</t>
  </si>
  <si>
    <t>lopecabe@gmail.com</t>
  </si>
  <si>
    <t>ERICK SEBASTIAN IGLESIAS</t>
  </si>
  <si>
    <t>ERIKA SOFIA ORTIZ JAIMES</t>
  </si>
  <si>
    <t>ESTEBAN LOPEZ VILLANA</t>
  </si>
  <si>
    <t>18°55'48.8"N 99°26'08.9"W</t>
  </si>
  <si>
    <t>DAVILA CRUZ EDGAR</t>
  </si>
  <si>
    <t>gatitome1954@gmail.com</t>
  </si>
  <si>
    <t>LUCAS GONZALEZ MA. DEL CARMEN</t>
  </si>
  <si>
    <t>ARIANA LUCAS GONZALEZ</t>
  </si>
  <si>
    <t>JUAN LUCAS GONZALEZ</t>
  </si>
  <si>
    <t>JANETH DAVILA CRUZ</t>
  </si>
  <si>
    <t>CUITLAHUAC #202</t>
  </si>
  <si>
    <t>San Juan de las Huertas cu</t>
  </si>
  <si>
    <t>Zinacantepec</t>
  </si>
  <si>
    <t>19°14'58.1"N 99°45'38.9"W</t>
  </si>
  <si>
    <t>BAUTISTA GONZALEZ BRIANDA</t>
  </si>
  <si>
    <t>bribavo705@gmail.com</t>
  </si>
  <si>
    <t>COMPRAVENTA DE OTROS ARTICULOS DE PLASTICO</t>
  </si>
  <si>
    <t>ANGELICA VERENICE BAUTISTA</t>
  </si>
  <si>
    <t>DANA LAURA BAUTISTA</t>
  </si>
  <si>
    <t>GONZALO GUZMAN GONZALEZ</t>
  </si>
  <si>
    <t>19°12'12.2"N 100°07'51.8"W</t>
  </si>
  <si>
    <t>SOTO MENDOZA LIDIA</t>
  </si>
  <si>
    <t>MARISOL COOPLE</t>
  </si>
  <si>
    <t>ROSA SOTO</t>
  </si>
  <si>
    <t>EDITH COYOTE ALCANTAR</t>
  </si>
  <si>
    <t>19°47'01.0"N 99°58'18.0"W</t>
  </si>
  <si>
    <t>MONTOYA MIRANDA JUANA</t>
  </si>
  <si>
    <t>mirandalec8@gmail.com</t>
  </si>
  <si>
    <t>SERVICIOS EN BALNEARIOS Y ALBERCAS</t>
  </si>
  <si>
    <t>RIVERA GASPAR JOSE DOMINGO</t>
  </si>
  <si>
    <t>FRYDA SOFIA HITURBIDE</t>
  </si>
  <si>
    <t>AMAPOLA MIRANDA VENEGAS</t>
  </si>
  <si>
    <t>YERALDIN ZALAZAR POSADAS</t>
  </si>
  <si>
    <t>VILLA DE LOS  ANGELES #26</t>
  </si>
  <si>
    <t>19°48'07.1"N 99°53'40.5"W</t>
  </si>
  <si>
    <t>ROQUE ARIAS MARIBEL</t>
  </si>
  <si>
    <t>roquemaribel601@gmail.com</t>
  </si>
  <si>
    <t>COMPRAVENTA DE OTROS ARTICULOS DE PIEL</t>
  </si>
  <si>
    <t>SAN JUAN MERITA LEOBARDO</t>
  </si>
  <si>
    <t>KAREN SAN JUAN ROQUE</t>
  </si>
  <si>
    <t>MATILDE ARIAS VIDAL</t>
  </si>
  <si>
    <t>NANCY SILVIANO</t>
  </si>
  <si>
    <t>https://www.google.com/maps?q=</t>
  </si>
  <si>
    <t>MARCOS CLEMENTE IVON</t>
  </si>
  <si>
    <t>ivonemarcos325@gmail.com</t>
  </si>
  <si>
    <t>GARCIA RODRIGUEZ MARIO</t>
  </si>
  <si>
    <t>BLANCA IVON CLEMENTE</t>
  </si>
  <si>
    <t>ZARAHI LUCAS EUGENIO</t>
  </si>
  <si>
    <t>DULCE MARIA GONZALEZ</t>
  </si>
  <si>
    <t>19°14'51.1"N 100°01'51.7"W</t>
  </si>
  <si>
    <t>ZAMORA PARTIDA ANA CAREN</t>
  </si>
  <si>
    <t>karengyami1993@gmail.com</t>
  </si>
  <si>
    <t>URTADO CASTREJON PABLO</t>
  </si>
  <si>
    <t>CITLALLI MORALES SALAZAR</t>
  </si>
  <si>
    <t>IRIS HURTADO CASTREJON</t>
  </si>
  <si>
    <t>BIBIANA JUAREZ TOTOTZIN</t>
  </si>
  <si>
    <t>Cruz Vidriada cu</t>
  </si>
  <si>
    <t>18°57'49.6"N 99°32'06.1"W</t>
  </si>
  <si>
    <t>Donato Guerra</t>
  </si>
  <si>
    <t>7861219357</t>
  </si>
  <si>
    <t>7226159497</t>
  </si>
  <si>
    <t>SERVICIOS EN MERENDEROS CENADURIAS Y PREPARACION DE ANTOJITOS Y PLATILLOS REGIONALES</t>
  </si>
  <si>
    <t>001030</t>
  </si>
  <si>
    <t>7261018239</t>
  </si>
  <si>
    <t>8611015</t>
  </si>
  <si>
    <t>7224210374</t>
  </si>
  <si>
    <t>7293556085</t>
  </si>
  <si>
    <t>001188</t>
  </si>
  <si>
    <t>7222300093</t>
  </si>
  <si>
    <t>8911019</t>
  </si>
  <si>
    <t>7223671877</t>
  </si>
  <si>
    <t>7222036212</t>
  </si>
  <si>
    <t>7294898930</t>
  </si>
  <si>
    <t>2411023</t>
  </si>
  <si>
    <t>001304</t>
  </si>
  <si>
    <t>7226786248</t>
  </si>
  <si>
    <t>7294499383</t>
  </si>
  <si>
    <t>7223487516</t>
  </si>
  <si>
    <t>7227871773</t>
  </si>
  <si>
    <t>001251</t>
  </si>
  <si>
    <t>7221087019</t>
  </si>
  <si>
    <t>8934011</t>
  </si>
  <si>
    <t>7221491699</t>
  </si>
  <si>
    <t>7226929434</t>
  </si>
  <si>
    <t>7261022128</t>
  </si>
  <si>
    <t>000040</t>
  </si>
  <si>
    <t>001431</t>
  </si>
  <si>
    <t>5642385924</t>
  </si>
  <si>
    <t>7293358332</t>
  </si>
  <si>
    <t>7225310616</t>
  </si>
  <si>
    <t>5665416876</t>
  </si>
  <si>
    <t>001378</t>
  </si>
  <si>
    <t>2097013</t>
  </si>
  <si>
    <t>7223712601</t>
  </si>
  <si>
    <t>7226839207</t>
  </si>
  <si>
    <t>9517772748</t>
  </si>
  <si>
    <t>001362</t>
  </si>
  <si>
    <t>7293511678</t>
  </si>
  <si>
    <t>7225023325</t>
  </si>
  <si>
    <t>7295970168</t>
  </si>
  <si>
    <t>7235672081</t>
  </si>
  <si>
    <t>001360</t>
  </si>
  <si>
    <t>7292966799</t>
  </si>
  <si>
    <t>7114010</t>
  </si>
  <si>
    <t>7224318100</t>
  </si>
  <si>
    <t>7228048725</t>
  </si>
  <si>
    <t>7226734465</t>
  </si>
  <si>
    <t>CABALLERO GONZALEZ IRMA</t>
  </si>
  <si>
    <t>irma.caballero.gonzalez@hotmail.com</t>
  </si>
  <si>
    <t>ENEIDA MARIN CABALLERO</t>
  </si>
  <si>
    <t>VERONICA CABALLERO GARCIA</t>
  </si>
  <si>
    <t>FLOR DIAZ LOPEZ</t>
  </si>
  <si>
    <t>19°11'27.3"N 100°07'46.5"W</t>
  </si>
  <si>
    <t>6225024</t>
  </si>
  <si>
    <t>001297</t>
  </si>
  <si>
    <t>7226022373</t>
  </si>
  <si>
    <t>6132013</t>
  </si>
  <si>
    <t>5576725118</t>
  </si>
  <si>
    <t>7224612253</t>
  </si>
  <si>
    <t>7203649917</t>
  </si>
  <si>
    <t>001281</t>
  </si>
  <si>
    <t>7221116623</t>
  </si>
  <si>
    <t>7228090869</t>
  </si>
  <si>
    <t>7226611440</t>
  </si>
  <si>
    <t>7224127300</t>
  </si>
  <si>
    <t>001352</t>
  </si>
  <si>
    <t>7292923057</t>
  </si>
  <si>
    <t>2071017</t>
  </si>
  <si>
    <t>6084501672</t>
  </si>
  <si>
    <t>7203042712</t>
  </si>
  <si>
    <t>7141088208</t>
  </si>
  <si>
    <t>001397</t>
  </si>
  <si>
    <t>7225288410</t>
  </si>
  <si>
    <t>7218890536</t>
  </si>
  <si>
    <t>5647483002</t>
  </si>
  <si>
    <t>001409</t>
  </si>
  <si>
    <t>7294046761</t>
  </si>
  <si>
    <t>7223827563</t>
  </si>
  <si>
    <t>7229003618</t>
  </si>
  <si>
    <t>7292990336</t>
  </si>
  <si>
    <t>001061</t>
  </si>
  <si>
    <t>4471051698</t>
  </si>
  <si>
    <t>0119017</t>
  </si>
  <si>
    <t>4471505629</t>
  </si>
  <si>
    <t>4471506587</t>
  </si>
  <si>
    <t>7861655445</t>
  </si>
  <si>
    <t>001280</t>
  </si>
  <si>
    <t>4471414092</t>
  </si>
  <si>
    <t>4432638938</t>
  </si>
  <si>
    <t>4472222231</t>
  </si>
  <si>
    <t>4471092915</t>
  </si>
  <si>
    <t>4471532962</t>
  </si>
  <si>
    <t>4471153604</t>
  </si>
  <si>
    <t>000034</t>
  </si>
  <si>
    <t>001329</t>
  </si>
  <si>
    <t>4474782951</t>
  </si>
  <si>
    <t>4471155255</t>
  </si>
  <si>
    <t>4471037016</t>
  </si>
  <si>
    <t>001208</t>
  </si>
  <si>
    <t>7223508072</t>
  </si>
  <si>
    <t>2921056</t>
  </si>
  <si>
    <t>7224452767</t>
  </si>
  <si>
    <t>7225307919</t>
  </si>
  <si>
    <t>7223029286</t>
  </si>
  <si>
    <t>001300</t>
  </si>
  <si>
    <t>5573771781</t>
  </si>
  <si>
    <t>7223987277</t>
  </si>
  <si>
    <t>7226611760</t>
  </si>
  <si>
    <t>7224760204</t>
  </si>
  <si>
    <t>001166</t>
  </si>
  <si>
    <t>7225619622</t>
  </si>
  <si>
    <t>7223944200</t>
  </si>
  <si>
    <t>7226756628</t>
  </si>
  <si>
    <t>7291409879</t>
  </si>
  <si>
    <t>001276</t>
  </si>
  <si>
    <t>6325030</t>
  </si>
  <si>
    <t>7291348252</t>
  </si>
  <si>
    <t>7228340426</t>
  </si>
  <si>
    <t>000044</t>
  </si>
  <si>
    <t>001423</t>
  </si>
  <si>
    <t>5510686525</t>
  </si>
  <si>
    <t>8429012</t>
  </si>
  <si>
    <t>5540792811</t>
  </si>
  <si>
    <t>5544790066</t>
  </si>
  <si>
    <t>001443</t>
  </si>
  <si>
    <t>7226713715</t>
  </si>
  <si>
    <t>7205505507</t>
  </si>
  <si>
    <t>7293140618</t>
  </si>
  <si>
    <t>7226570890</t>
  </si>
  <si>
    <t>000043</t>
  </si>
  <si>
    <t>001351</t>
  </si>
  <si>
    <t>7131151162</t>
  </si>
  <si>
    <t>7296000227</t>
  </si>
  <si>
    <t>7223561881</t>
  </si>
  <si>
    <t>7226076514</t>
  </si>
  <si>
    <t>001392</t>
  </si>
  <si>
    <t>7121159067</t>
  </si>
  <si>
    <t>5585724160</t>
  </si>
  <si>
    <t>7121359448</t>
  </si>
  <si>
    <t>7121918364</t>
  </si>
  <si>
    <t>000046</t>
  </si>
  <si>
    <t>000045</t>
  </si>
  <si>
    <t>001337</t>
  </si>
  <si>
    <t>7122282815</t>
  </si>
  <si>
    <t>7121385731</t>
  </si>
  <si>
    <t>7291363725</t>
  </si>
  <si>
    <t>5562120395</t>
  </si>
  <si>
    <t>000048</t>
  </si>
  <si>
    <t>001427</t>
  </si>
  <si>
    <t>7121856272</t>
  </si>
  <si>
    <t>7227155850</t>
  </si>
  <si>
    <t>7122754843</t>
  </si>
  <si>
    <t>7226957364</t>
  </si>
  <si>
    <t>GUADARRAMA CORREA AARON</t>
  </si>
  <si>
    <t>aaronguadarramacorrea@gmail.com</t>
  </si>
  <si>
    <t>MARTINEZ GONZALEZ JOSELIN</t>
  </si>
  <si>
    <t>LEANDRO GONZALEZ</t>
  </si>
  <si>
    <t>LUIS GUTIERREZ SANTOS</t>
  </si>
  <si>
    <t>MARIA LUISA MARTINEZ</t>
  </si>
  <si>
    <t>MANTO DEL RIO #SN</t>
  </si>
  <si>
    <t>Manto del Río</t>
  </si>
  <si>
    <t>19°50'11.1"N 99°55'27.7"W</t>
  </si>
  <si>
    <t>001368</t>
  </si>
  <si>
    <t>7122169338</t>
  </si>
  <si>
    <t>5653738175</t>
  </si>
  <si>
    <t>7124110220</t>
  </si>
  <si>
    <t>7124154357</t>
  </si>
  <si>
    <t>ALVARADO GONZALEZ TANIA ALEXIA</t>
  </si>
  <si>
    <t>ANSELMO REYES BENJAMIN</t>
  </si>
  <si>
    <t>BENJAMIN ANSELMO REYES</t>
  </si>
  <si>
    <t>JORDI JESUS REYES GONZALEZ</t>
  </si>
  <si>
    <t>ARTURO GONZALEZ RUIZ</t>
  </si>
  <si>
    <t>VICTORIA DE LA PAZ FRANCISCA</t>
  </si>
  <si>
    <t>GOMEZ RAMIREZ EZEQUIEL</t>
  </si>
  <si>
    <t>EZEQUIEL GOMEZ RAMIREZ</t>
  </si>
  <si>
    <t>DARINA GOMEZ VICTORIA</t>
  </si>
  <si>
    <t>MARIA LUISA VICTORIA</t>
  </si>
  <si>
    <t>La Candelaria</t>
  </si>
  <si>
    <t>19°13'44.7"N 100°04'57.6"W</t>
  </si>
  <si>
    <t>San Bartolo cu</t>
  </si>
  <si>
    <t>La Ocotalera cu</t>
  </si>
  <si>
    <t>ALBARRAN ACACIO MARIA DEL CARMEN</t>
  </si>
  <si>
    <t>caralba00@gmail.com</t>
  </si>
  <si>
    <t>ESTRELLA RUIZ GARCIA</t>
  </si>
  <si>
    <t>RAMIRO SILVA MORALES</t>
  </si>
  <si>
    <t>ELIZABETH GONZALEZ VAZQUEZ</t>
  </si>
  <si>
    <t>18°56'39.4"N 99°39'19.0"W</t>
  </si>
  <si>
    <t>FACIO VARA LUZ MARIA</t>
  </si>
  <si>
    <t>2305luzfacio@gmail.com</t>
  </si>
  <si>
    <t>JOSE JUAN FACIO VARA</t>
  </si>
  <si>
    <t>DULCE CRISTINA FACIO VARA</t>
  </si>
  <si>
    <t>MARINA VARA FUENTES</t>
  </si>
  <si>
    <t>18°56'00.7"N 99°38'40.3"W</t>
  </si>
  <si>
    <t>ANA CECILIA ESPINOZA ZEPEDA</t>
  </si>
  <si>
    <t>CRISTIAN MANUEL ESPINOZA LAGUNA</t>
  </si>
  <si>
    <t>MANUEL ZEPEDA SANABRIA</t>
  </si>
  <si>
    <t>Individual con Garantía Vehicular</t>
  </si>
  <si>
    <t>19°53'53.5"N 100°26'20.2"W</t>
  </si>
  <si>
    <t>MONTES ZEPEDA GRACIELA ESMERALDA</t>
  </si>
  <si>
    <t>esmeraldamonteszepeda@gmail.com</t>
  </si>
  <si>
    <t>CARREÑO ANAYA IVAN</t>
  </si>
  <si>
    <t>QUETZALIN ALICE CORTEZ</t>
  </si>
  <si>
    <t>IVAN CARREÑO ANAYA</t>
  </si>
  <si>
    <t>ESTHELA ZEPEDA SANCHEZ</t>
  </si>
  <si>
    <t>San Miguel</t>
  </si>
  <si>
    <t>19°14'56.8"N 99°35'25.7"W</t>
  </si>
  <si>
    <t>SOTELO ESTRADA MA CONCEPCION</t>
  </si>
  <si>
    <t>conchitaestrada402@gmail.com</t>
  </si>
  <si>
    <t>LUIS ALEJANDRO SOTELO ESTRADA</t>
  </si>
  <si>
    <t>ANCELMO ALCALA MILLAN</t>
  </si>
  <si>
    <t>MARIA TERESA GUADARRAMA ESTRADA</t>
  </si>
  <si>
    <t>18°57'37.2"N 99°38'30.7"W</t>
  </si>
  <si>
    <t>VEA ZAVALA ARACELI</t>
  </si>
  <si>
    <t>aracelyvea413@gmail.com</t>
  </si>
  <si>
    <t>IRIS CAROLINA MARTINEZ SUAREZ</t>
  </si>
  <si>
    <t>JANETH VALERY VELAZCO CARRAZCO</t>
  </si>
  <si>
    <t>CLAUDIA ANDRADE RIVERA</t>
  </si>
  <si>
    <t>Santa María Aranzazú (Santa María)</t>
  </si>
  <si>
    <t>19°00'32.7"N 99°39'06.7"W</t>
  </si>
  <si>
    <t>FACTURA EXPEDIDA POR DISTRIBUCION DE COMERCIO EXTERIOR ASIA MEXICO, S.A. DE C.V., , Valor 79,370.00, Nombre VEHICULO DAKOTA , Folio Factura 5898B, Fecha Factura 27/12/2010, Número de serie 1B7GL22X51S295291, Número de motor SIN NUMERO, Modelo 2001, Marca DODGE, Propietario ZEPEDA SANABRIA CECILIA, Valor 79,370.00, Nombre VEHICULO DAKOTA, Folio Factura 5898B, Fecha Factura 27/12/2010, Número de serie 1B7GL22X51S295291, Número de motor SIN NUMERO, Modelo 2001, Marca DODGE, Propietario ZEPEDA SANABRIA CECILIA</t>
  </si>
  <si>
    <t>GARCES PACHECO ISABEL</t>
  </si>
  <si>
    <t>isabelgarces3@gmail.com</t>
  </si>
  <si>
    <t>PALOMARES CRUZ ROBERTO VICTOR</t>
  </si>
  <si>
    <t>ANA ROSA PALOMARES GARCES</t>
  </si>
  <si>
    <t>GABRIELA MICHEL PALOMARES</t>
  </si>
  <si>
    <t>ANAYELI OFELIA PALOMARES GARCES</t>
  </si>
  <si>
    <t>Tecomatlán (San Miguel Tecomatlán)</t>
  </si>
  <si>
    <t>18°58'58.3"N 99°31'37.3"W</t>
  </si>
  <si>
    <t>DIAZ DE JESUS LILIA</t>
  </si>
  <si>
    <t>jackefuentes441@gmail.com</t>
  </si>
  <si>
    <t>FUENTES MORALES ISIDRO</t>
  </si>
  <si>
    <t>FLORENTINO DIAZ DE JESUS</t>
  </si>
  <si>
    <t>JAQUYUELINE FUENTES DIAZ</t>
  </si>
  <si>
    <t>MARIA FELIX DIAZ</t>
  </si>
  <si>
    <t>19°16'05.4"N 99°40'42.7"W</t>
  </si>
  <si>
    <t>001548</t>
  </si>
  <si>
    <t>ALFARO CAMACHO NORMA</t>
  </si>
  <si>
    <t>7293711279</t>
  </si>
  <si>
    <t>alfaronorma244@gmail.com</t>
  </si>
  <si>
    <t>AMERICA JOCELYN ROSALES</t>
  </si>
  <si>
    <t>7223899388</t>
  </si>
  <si>
    <t>FABIOLA GOMEZ</t>
  </si>
  <si>
    <t>7291669165</t>
  </si>
  <si>
    <t>NAYELI GONZALEZ</t>
  </si>
  <si>
    <t>7293110453</t>
  </si>
  <si>
    <t>PTO MEXICO #10</t>
  </si>
  <si>
    <t>San Jerónimo Chicahualco</t>
  </si>
  <si>
    <t>19°16'50.5"N 99°35'02.8"W</t>
  </si>
  <si>
    <t>DIAZ HERNANDEZ ALFREDO</t>
  </si>
  <si>
    <t>luluyfellojuntos@gmail.com</t>
  </si>
  <si>
    <t>CUEVAS CARMONA LOURDES</t>
  </si>
  <si>
    <t>LOURDES CUEVAS CARMONA</t>
  </si>
  <si>
    <t>LILI DE JESUS</t>
  </si>
  <si>
    <t>MARIA DE LOURDES MARTINEZ</t>
  </si>
  <si>
    <t>19°16'17.2"N 99°40'39.8"W</t>
  </si>
  <si>
    <t>ROJAS BLANCAS MARIBEL</t>
  </si>
  <si>
    <t>maribelrojasblancas@gmail.com</t>
  </si>
  <si>
    <t>FABRICACION DE OTROS PRODUCTOS ALIMENTICIOS</t>
  </si>
  <si>
    <t>NOEMI ROGEL AMADO</t>
  </si>
  <si>
    <t>FATIMA ROGEL AMARO</t>
  </si>
  <si>
    <t>DANIEL BENUMEA ROJAS</t>
  </si>
  <si>
    <t>Santiago Oxtotitlán</t>
  </si>
  <si>
    <t>18°57'55.2"N 99°40'06.0"W</t>
  </si>
  <si>
    <t>FLORES GONZALEZ ALEJANDRA</t>
  </si>
  <si>
    <t>floresgonzalezalejandra191@gmail.com</t>
  </si>
  <si>
    <t>IGLESIAS GARDUÑO ELEUTERIO</t>
  </si>
  <si>
    <t>ROSA ALEJANDRA NOVOA  BERNAL</t>
  </si>
  <si>
    <t>DANNA ELIUD PATIÑO ALVAREZ</t>
  </si>
  <si>
    <t>JAIME SALDAÑA FLORES</t>
  </si>
  <si>
    <t>18°53'57.7"N 99°38'28.3"W</t>
  </si>
  <si>
    <t>MONTERO BRAVO AARON</t>
  </si>
  <si>
    <t>monterobravoaaron06@gmail.com</t>
  </si>
  <si>
    <t>MENDEZ SANDOVAL YOVANA ROCIO</t>
  </si>
  <si>
    <t>MIKE RODRIGUEZ RODRIGUEZ</t>
  </si>
  <si>
    <t>YOVANA ROCIO MENDEZ SANDOVAL</t>
  </si>
  <si>
    <t>MARIA DEL SOCORRO TRUJILLO GONZALEZ</t>
  </si>
  <si>
    <t>El Islote</t>
  </si>
  <si>
    <t>18°58'10.4"N 99°39'42.0"W</t>
  </si>
  <si>
    <t>CANO MARTINEZ BERTHA XARENI</t>
  </si>
  <si>
    <t>bercano598@gmail.com</t>
  </si>
  <si>
    <t>FABRICACION DE OTROS PREPARADOS ALIMENTICIOS DERIVADOS DE CEREALES</t>
  </si>
  <si>
    <t>GALLEGOS GARCIA AARON ISMAEL</t>
  </si>
  <si>
    <t>LUZ FRANCO SANCHEZ</t>
  </si>
  <si>
    <t>JOSE LUIS TINOCO MOLINA</t>
  </si>
  <si>
    <t>FABIOLA CANO SOTELO</t>
  </si>
  <si>
    <t>18°57'52.9"N 99°38'24.4"W</t>
  </si>
  <si>
    <t>GONZALEZ GARCIA ANDREA</t>
  </si>
  <si>
    <t>mizaellopez75@gmail.com</t>
  </si>
  <si>
    <t>LOPEZ HUEQUIS MISAEL</t>
  </si>
  <si>
    <t>MIZAEL LOPEZ</t>
  </si>
  <si>
    <t>CONCEPCION GARCIA</t>
  </si>
  <si>
    <t>IRVIN LOPEZ</t>
  </si>
  <si>
    <t>El Calvario</t>
  </si>
  <si>
    <t>MEJIA GARDUÑO ROBERTO</t>
  </si>
  <si>
    <t>mg576493@gmail.com</t>
  </si>
  <si>
    <t>GARCIA MARTINEZ MARIA DE LOURDES</t>
  </si>
  <si>
    <t>LOURDES MARTINEZ GARCIA</t>
  </si>
  <si>
    <t>MARIA MARCELA GARDUÑO GARCIA</t>
  </si>
  <si>
    <t>YAZMIN REYES MARTINEZ</t>
  </si>
  <si>
    <t>19°11'59.3"N 100°07'55.7"W</t>
  </si>
  <si>
    <t>GARCIA ALVAREZ EDITH</t>
  </si>
  <si>
    <t>gonzalezrebollarflorencio@gmail.com</t>
  </si>
  <si>
    <t>GONZALEZ REBOLLAR FLORENCIO</t>
  </si>
  <si>
    <t>FLORENCIO GONZALEZ REBOLLAR</t>
  </si>
  <si>
    <t>ROCIO GONZALEZ GARCIA</t>
  </si>
  <si>
    <t>EMMANUEL GONZALEZ GARCIA</t>
  </si>
  <si>
    <t>SAN FRANCISCO MIHUAL #SN -Sn</t>
  </si>
  <si>
    <t>San Francisco Mihualtepec cu</t>
  </si>
  <si>
    <t>19°14'59.7"N 100°06'04.3"W</t>
  </si>
  <si>
    <t>OVIEDO GARCIA LORENA</t>
  </si>
  <si>
    <t>loreog0895@gmail.com</t>
  </si>
  <si>
    <t>GABRIELA OVIEDO GARCIA</t>
  </si>
  <si>
    <t>ANDREA GARCIA BOBADILLA</t>
  </si>
  <si>
    <t>MARIA NATALI PERDOMO</t>
  </si>
  <si>
    <t>San Juan Tetitlán</t>
  </si>
  <si>
    <t>18°58'25.7"N 99°34'01.0"W</t>
  </si>
  <si>
    <t>CABRERA BUSTOS MA REFUGIO</t>
  </si>
  <si>
    <t>mariacabrera9157@gmail.com</t>
  </si>
  <si>
    <t>CUEVAS RANGES MANUEL</t>
  </si>
  <si>
    <t>AGUSTINA RAMIREZ</t>
  </si>
  <si>
    <t>SILVIA GONZALEZ GARCIA</t>
  </si>
  <si>
    <t>ELIZABETH GOMEZ MENDOZA</t>
  </si>
  <si>
    <t>Los Ángeles</t>
  </si>
  <si>
    <t>19°09'54.4"N 99°37'04.6"W</t>
  </si>
  <si>
    <t>GARCIA SALAS MARIA GUADALUPE</t>
  </si>
  <si>
    <t>maria.lupis12.16@gmail.com</t>
  </si>
  <si>
    <t>ROBERTO CARLOS GONZALEZ</t>
  </si>
  <si>
    <t>MARCO ANTONIO GONZALEZ</t>
  </si>
  <si>
    <t>VICTORIA GARCIA SALAS</t>
  </si>
  <si>
    <t>Lago Michigan  #1713-4</t>
  </si>
  <si>
    <t>19°16'16.9"N 99°40'06.5"W</t>
  </si>
  <si>
    <t>MARTINEZ SUAREZ ROSA MA</t>
  </si>
  <si>
    <t>rosamart034@gmail.com</t>
  </si>
  <si>
    <t>NOVERON MARTINEZ LUIS JOAQUIN</t>
  </si>
  <si>
    <t>CELIA ZAMORA REYES</t>
  </si>
  <si>
    <t>PEDRO GOMEZ NOVERON</t>
  </si>
  <si>
    <t>ANA LIDIA FUENTES</t>
  </si>
  <si>
    <t>ALDAMA  #54-2</t>
  </si>
  <si>
    <t>18°57'54.7"N 99°38'26.9"W</t>
  </si>
  <si>
    <t>NOVERON MARTINEZ HAZURI ARANZAZU</t>
  </si>
  <si>
    <t>noveronaranza622@gmail.com</t>
  </si>
  <si>
    <t>ARRIAGA NAVA FRANCISCO</t>
  </si>
  <si>
    <t>SABDI SINAHI MARTINEZ SUAREZ</t>
  </si>
  <si>
    <t>FRANCISCO ARRIAGA NAVA</t>
  </si>
  <si>
    <t>MICAELA NOVERON MARTINEZ</t>
  </si>
  <si>
    <t>ALDAMA  #54-3</t>
  </si>
  <si>
    <t>RAMIREZ CORONA MARIA ISABEL</t>
  </si>
  <si>
    <t>mariad34jz@gmail.com</t>
  </si>
  <si>
    <t>MARIEL YESENIA RAMIREZ RAMIREZ</t>
  </si>
  <si>
    <t>MARTHA PATRICIA RAMIREZ CORONA</t>
  </si>
  <si>
    <t>LUIS ALBERTO CEDILLO LOPEZ</t>
  </si>
  <si>
    <t>18°58'30.2"N 99°34'28.7"W</t>
  </si>
  <si>
    <t>Santos Gomez Mahogany</t>
  </si>
  <si>
    <t>LUGO CORONEL JESUS ARMANDO</t>
  </si>
  <si>
    <t>lugocoronel232@gmail.com</t>
  </si>
  <si>
    <t>JORGE LUIS ANGEL ROJAS</t>
  </si>
  <si>
    <t>ANDRO PONCE GARCIA</t>
  </si>
  <si>
    <t>STHEPANIE LUGO CORONEL</t>
  </si>
  <si>
    <t>Maravatío de Ocampo Centro</t>
  </si>
  <si>
    <t>Cuentas con saldo vencido sin mora</t>
  </si>
  <si>
    <t>MILLAN FUENTES CARMEN GABRIELA</t>
  </si>
  <si>
    <t>Gabymf24@hotmail.com</t>
  </si>
  <si>
    <t>ALONSO DAVID MILLAN FUENTES</t>
  </si>
  <si>
    <t>ANA KAREN MILLAN PEDROZA</t>
  </si>
  <si>
    <t>PATRICIA PEDROZA RUBI</t>
  </si>
  <si>
    <t>18°57'49.6"N 99°38'23.8"W</t>
  </si>
  <si>
    <t>MEDINA ALMAZAN ANA ANASTACIA</t>
  </si>
  <si>
    <t>gomezmedinafernandojesus@gmail.com</t>
  </si>
  <si>
    <t>FERNANDO JESUS GOMEZ</t>
  </si>
  <si>
    <t>CRISTIAN GOMEZ MEDINA</t>
  </si>
  <si>
    <t>MICHELGOMEZ MEDINA</t>
  </si>
  <si>
    <t>19°07'26.3"N 99°35'19.2"W</t>
  </si>
  <si>
    <t>ORIHUELA GONZALEZ ESPERANZA</t>
  </si>
  <si>
    <t>perisorihuela@gmail.com</t>
  </si>
  <si>
    <t>CITLALLI ORIHUELA GONZALEZ</t>
  </si>
  <si>
    <t>KARLA FLORES ORIHUELA</t>
  </si>
  <si>
    <t>ROSA FLORES ORIHUELA</t>
  </si>
  <si>
    <t>Zepayautla</t>
  </si>
  <si>
    <t>19°00'48.5"N 99°33'24.9"W</t>
  </si>
  <si>
    <t>VILLEGAS RUIZ AZUCENA</t>
  </si>
  <si>
    <t>vazucena254@gmail.com</t>
  </si>
  <si>
    <t>GOMEZ VALDEZ JULIO CESAR</t>
  </si>
  <si>
    <t>LUCIA GARCIA ALANIS</t>
  </si>
  <si>
    <t>ALEJANDRA MARTINEZ</t>
  </si>
  <si>
    <t>CAMILO EDUARDO LOPEZ</t>
  </si>
  <si>
    <t>Diana Laura</t>
  </si>
  <si>
    <t>19°53'32.3"N 100°27'49.5"W</t>
  </si>
  <si>
    <t>LOPEZ ORTEGA MIGUEL ANGEL</t>
  </si>
  <si>
    <t>miguelangellopez881@gmail.com</t>
  </si>
  <si>
    <t>MONDRAGON CARRILLO GLORIA</t>
  </si>
  <si>
    <t>ZARAGOZA #4-B</t>
  </si>
  <si>
    <t>Tziritzícuaro (Nativitas) cu</t>
  </si>
  <si>
    <t>19°57'13.4"N 100°27'56.3"W</t>
  </si>
  <si>
    <t>Gutierrez Jaimes Ruben</t>
  </si>
  <si>
    <t>horaciovg25@gmail.com</t>
  </si>
  <si>
    <t>CESAR VELEZ GUADARRAMA</t>
  </si>
  <si>
    <t>ROSA GONZALEZ COAHUILAS</t>
  </si>
  <si>
    <t>ADRIANA CABALLERO LOPEZ</t>
  </si>
  <si>
    <t>19°09'13.4"N 100°06'24.4"W</t>
  </si>
  <si>
    <t>GUADARRAMA TINOCO ANGELICA</t>
  </si>
  <si>
    <t>angygt0130@gmail.com</t>
  </si>
  <si>
    <t>GARCIA ESPINOSA JESUS</t>
  </si>
  <si>
    <t>JESUS GARCIA ESPINOSA</t>
  </si>
  <si>
    <t>MARIANA GARCIA GUADARRAMA</t>
  </si>
  <si>
    <t>CLAUDIA GARCIA DE LA O</t>
  </si>
  <si>
    <t>CARR TOL ALTAMIRANO #122-1</t>
  </si>
  <si>
    <t>19°09'38.5"N 100°06'15.4"W</t>
  </si>
  <si>
    <t>FERNANDEZ GUADARRAMA ANGEL ANDRES</t>
  </si>
  <si>
    <t>andresfg966@gmail.com</t>
  </si>
  <si>
    <t>FABRICACION DE OTROS ARTICULOS DE CARTON</t>
  </si>
  <si>
    <t>MARIA AHYLIN FERNANDEZ GUADARRAMA</t>
  </si>
  <si>
    <t>MA DE LOS ANGELES GUADARRAMA MACEDO</t>
  </si>
  <si>
    <t>KAREN ABIGAIL FERNANDEZ GUADARRAMA</t>
  </si>
  <si>
    <t>18°57'44.4"N 99°38'20.1"W</t>
  </si>
  <si>
    <t>Información proporcionada por Call Center</t>
  </si>
  <si>
    <t>Día de visita de cobranza en campo</t>
  </si>
  <si>
    <t>Información proporcionada por el Gestor de cobranza</t>
  </si>
  <si>
    <t>GALINDO GUARDIAN PEDRO</t>
  </si>
  <si>
    <t>hernandezfelicitas807@gmail.com</t>
  </si>
  <si>
    <t>HERNANDEZ FLORES FELICITAS</t>
  </si>
  <si>
    <t>JORGE BLANQUEL VASQUEZ</t>
  </si>
  <si>
    <t>MAGALI GALINDO HERNANDEZ</t>
  </si>
  <si>
    <t>ERIBERTO SEGURA</t>
  </si>
  <si>
    <t>Pueblo Nuevo</t>
  </si>
  <si>
    <t>18°56'45.0"N 99°34'58.1"W</t>
  </si>
  <si>
    <t>VASQUEZ GUARDIAN SALVADOR</t>
  </si>
  <si>
    <t>nicoguardian52@gmail.com</t>
  </si>
  <si>
    <t>TRANSPORTE EN AUTOMOVIL DE RULETEO</t>
  </si>
  <si>
    <t>REYES SERRANO YARED</t>
  </si>
  <si>
    <t>GLORIA GUARDIAN BERNAL</t>
  </si>
  <si>
    <t>SALVIO VASQUEZ FLORES</t>
  </si>
  <si>
    <t>DIANA MAYELI VASQUEZ REYES</t>
  </si>
  <si>
    <t>18°58'21.1"N 99°34'10.2"W</t>
  </si>
  <si>
    <t>GARCIA DIAZ MAYRA CECILIA</t>
  </si>
  <si>
    <t>mayragarcia9707@gmail.com</t>
  </si>
  <si>
    <t>GONZALEZ FABELA FERNANDO</t>
  </si>
  <si>
    <t>EVELIN TORRES DIAZ</t>
  </si>
  <si>
    <t>FERNANDO GONZALEZ FABELA</t>
  </si>
  <si>
    <t>BRICIA MARIA GARCIA DIAZ</t>
  </si>
  <si>
    <t>18°59'47.3"N 99°38'27.5"W</t>
  </si>
  <si>
    <t>FERRER AVILA MIGUEL ANGEL</t>
  </si>
  <si>
    <t>angelferrer25.avila@gmail.com</t>
  </si>
  <si>
    <t>DIANA HERRERA AVILA</t>
  </si>
  <si>
    <t>LEONILA AVILA MARTINEZ</t>
  </si>
  <si>
    <t>NATALI JAQUELIN CRUZ HERNANDEZ</t>
  </si>
  <si>
    <t>19°53'20.1"N 100°27'19.0"W</t>
  </si>
  <si>
    <t>6326020</t>
  </si>
  <si>
    <t>8719017</t>
  </si>
  <si>
    <t>3699024</t>
  </si>
  <si>
    <t>000023</t>
  </si>
  <si>
    <t>001098</t>
  </si>
  <si>
    <t>7225019052</t>
  </si>
  <si>
    <t>6625018</t>
  </si>
  <si>
    <t>7228015561</t>
  </si>
  <si>
    <t>7222947504</t>
  </si>
  <si>
    <t>7226649128</t>
  </si>
  <si>
    <t>001203</t>
  </si>
  <si>
    <t>7295890044</t>
  </si>
  <si>
    <t>7226064942</t>
  </si>
  <si>
    <t>7228847112</t>
  </si>
  <si>
    <t>7225469589</t>
  </si>
  <si>
    <t>001167</t>
  </si>
  <si>
    <t>7229076845</t>
  </si>
  <si>
    <t>3596014</t>
  </si>
  <si>
    <t>7229076844</t>
  </si>
  <si>
    <t>7225518180</t>
  </si>
  <si>
    <t>7222438793</t>
  </si>
  <si>
    <t>001149</t>
  </si>
  <si>
    <t>5534144947</t>
  </si>
  <si>
    <t>7261264396</t>
  </si>
  <si>
    <t>7261162243</t>
  </si>
  <si>
    <t>7291607303</t>
  </si>
  <si>
    <t>7261162630</t>
  </si>
  <si>
    <t>001176</t>
  </si>
  <si>
    <t>7294965466</t>
  </si>
  <si>
    <t>6233019</t>
  </si>
  <si>
    <t>7222466368</t>
  </si>
  <si>
    <t>7221005084</t>
  </si>
  <si>
    <t>72261163203</t>
  </si>
  <si>
    <t>001308</t>
  </si>
  <si>
    <t>7201228948</t>
  </si>
  <si>
    <t>7261162636</t>
  </si>
  <si>
    <t>7223636845</t>
  </si>
  <si>
    <t>7224635844</t>
  </si>
  <si>
    <t>001312</t>
  </si>
  <si>
    <t>7223586415</t>
  </si>
  <si>
    <t>7224444593</t>
  </si>
  <si>
    <t>7228160540</t>
  </si>
  <si>
    <t>7223635713</t>
  </si>
  <si>
    <t>001260</t>
  </si>
  <si>
    <t>7225577096</t>
  </si>
  <si>
    <t>9212010</t>
  </si>
  <si>
    <t>7225736723</t>
  </si>
  <si>
    <t>5546203255</t>
  </si>
  <si>
    <t>7221565221</t>
  </si>
  <si>
    <t>001242</t>
  </si>
  <si>
    <t>7224003355</t>
  </si>
  <si>
    <t>9800000</t>
  </si>
  <si>
    <t>7222679031</t>
  </si>
  <si>
    <t>6562856455</t>
  </si>
  <si>
    <t>7226939337</t>
  </si>
  <si>
    <t>001309</t>
  </si>
  <si>
    <t>7293313439</t>
  </si>
  <si>
    <t>6132055</t>
  </si>
  <si>
    <t>5529013258</t>
  </si>
  <si>
    <t>7229335832</t>
  </si>
  <si>
    <t>7293508715</t>
  </si>
  <si>
    <t>001294</t>
  </si>
  <si>
    <t>7291460410</t>
  </si>
  <si>
    <t>7293544932</t>
  </si>
  <si>
    <t>7228062469</t>
  </si>
  <si>
    <t>001296</t>
  </si>
  <si>
    <t>7222412758</t>
  </si>
  <si>
    <t>9119018</t>
  </si>
  <si>
    <t>7225123777</t>
  </si>
  <si>
    <t>7223819132</t>
  </si>
  <si>
    <t>7224135274</t>
  </si>
  <si>
    <t>001247</t>
  </si>
  <si>
    <t>7226467396</t>
  </si>
  <si>
    <t>8312019</t>
  </si>
  <si>
    <t>7121522008</t>
  </si>
  <si>
    <t>7224316916</t>
  </si>
  <si>
    <t>7224274636</t>
  </si>
  <si>
    <t>001258</t>
  </si>
  <si>
    <t>7291051764</t>
  </si>
  <si>
    <t>6112015</t>
  </si>
  <si>
    <t>5526795882</t>
  </si>
  <si>
    <t>5519585114</t>
  </si>
  <si>
    <t>7291613957</t>
  </si>
  <si>
    <t>7225338917</t>
  </si>
  <si>
    <t>001238</t>
  </si>
  <si>
    <t>7223615618</t>
  </si>
  <si>
    <t>5573851826</t>
  </si>
  <si>
    <t>7226600640</t>
  </si>
  <si>
    <t>7121463525</t>
  </si>
  <si>
    <t>001415</t>
  </si>
  <si>
    <t>7292421666</t>
  </si>
  <si>
    <t>7123011</t>
  </si>
  <si>
    <t>7225667692</t>
  </si>
  <si>
    <t>7222331351</t>
  </si>
  <si>
    <t>7291219239</t>
  </si>
  <si>
    <t>001416</t>
  </si>
  <si>
    <t>7291791570</t>
  </si>
  <si>
    <t>7226098835</t>
  </si>
  <si>
    <t>5665382846</t>
  </si>
  <si>
    <t>7226745585</t>
  </si>
  <si>
    <t>001330</t>
  </si>
  <si>
    <t>7261634363</t>
  </si>
  <si>
    <t>7261697101</t>
  </si>
  <si>
    <t>7224231206</t>
  </si>
  <si>
    <t>7224560938</t>
  </si>
  <si>
    <t>001451</t>
  </si>
  <si>
    <t>7297872956</t>
  </si>
  <si>
    <t>6999041</t>
  </si>
  <si>
    <t>7223669091</t>
  </si>
  <si>
    <t>7293461613</t>
  </si>
  <si>
    <t>7297053779</t>
  </si>
  <si>
    <t>001429</t>
  </si>
  <si>
    <t>7228956353</t>
  </si>
  <si>
    <t>2094019</t>
  </si>
  <si>
    <t>7261264050</t>
  </si>
  <si>
    <t>7226457749</t>
  </si>
  <si>
    <t>7223935887</t>
  </si>
  <si>
    <t>001347</t>
  </si>
  <si>
    <t>7224250483</t>
  </si>
  <si>
    <t>7293771413</t>
  </si>
  <si>
    <t>7261264167</t>
  </si>
  <si>
    <t>7223709734</t>
  </si>
  <si>
    <t>001380</t>
  </si>
  <si>
    <t>7293862794</t>
  </si>
  <si>
    <t>8912017</t>
  </si>
  <si>
    <t>7222409976</t>
  </si>
  <si>
    <t>7261040885</t>
  </si>
  <si>
    <t>7295032153</t>
  </si>
  <si>
    <t>001376</t>
  </si>
  <si>
    <t>5575181437</t>
  </si>
  <si>
    <t>7226023715</t>
  </si>
  <si>
    <t>7221148633</t>
  </si>
  <si>
    <t>7228219071</t>
  </si>
  <si>
    <t>001433</t>
  </si>
  <si>
    <t>7227829505</t>
  </si>
  <si>
    <t>7297561792</t>
  </si>
  <si>
    <t>7191325520</t>
  </si>
  <si>
    <t>7203569453</t>
  </si>
  <si>
    <t>000059</t>
  </si>
  <si>
    <t>001558</t>
  </si>
  <si>
    <t>7225066648</t>
  </si>
  <si>
    <t>7262078595</t>
  </si>
  <si>
    <t>7227869607</t>
  </si>
  <si>
    <t>7295422965</t>
  </si>
  <si>
    <t>001590</t>
  </si>
  <si>
    <t>7226129557</t>
  </si>
  <si>
    <t>7226743133</t>
  </si>
  <si>
    <t>7225645850</t>
  </si>
  <si>
    <t>7203553245</t>
  </si>
  <si>
    <t>001349</t>
  </si>
  <si>
    <t>7225103543</t>
  </si>
  <si>
    <t>7221582962</t>
  </si>
  <si>
    <t>7225848395</t>
  </si>
  <si>
    <t>7225496034</t>
  </si>
  <si>
    <t>001361</t>
  </si>
  <si>
    <t>7291110998</t>
  </si>
  <si>
    <t>7122030101</t>
  </si>
  <si>
    <t>7226016996</t>
  </si>
  <si>
    <t>7224062725</t>
  </si>
  <si>
    <t>7229808240</t>
  </si>
  <si>
    <t>001464</t>
  </si>
  <si>
    <t>7202840539</t>
  </si>
  <si>
    <t>7202842005</t>
  </si>
  <si>
    <t>7227988049</t>
  </si>
  <si>
    <t>7225543417</t>
  </si>
  <si>
    <t>001466</t>
  </si>
  <si>
    <t>7261831120</t>
  </si>
  <si>
    <t>7225658492</t>
  </si>
  <si>
    <t>7291828141</t>
  </si>
  <si>
    <t>7226143423</t>
  </si>
  <si>
    <t>001459</t>
  </si>
  <si>
    <t>7223140548</t>
  </si>
  <si>
    <t>5585573256</t>
  </si>
  <si>
    <t>7292310655</t>
  </si>
  <si>
    <t>7221722691</t>
  </si>
  <si>
    <t>001452</t>
  </si>
  <si>
    <t>7223152459</t>
  </si>
  <si>
    <t>6226022</t>
  </si>
  <si>
    <t>7225026667</t>
  </si>
  <si>
    <t>2720357473</t>
  </si>
  <si>
    <t>7293117504</t>
  </si>
  <si>
    <t>001335</t>
  </si>
  <si>
    <t>7224934875</t>
  </si>
  <si>
    <t>4221016</t>
  </si>
  <si>
    <t>7361117698</t>
  </si>
  <si>
    <t>5579318315</t>
  </si>
  <si>
    <t>7121769075</t>
  </si>
  <si>
    <t>001331</t>
  </si>
  <si>
    <t>7224078649</t>
  </si>
  <si>
    <t>7226663905</t>
  </si>
  <si>
    <t>7293220268</t>
  </si>
  <si>
    <t>7224255678</t>
  </si>
  <si>
    <t>001418</t>
  </si>
  <si>
    <t>7224684947</t>
  </si>
  <si>
    <t>7223587737</t>
  </si>
  <si>
    <t>7155934207</t>
  </si>
  <si>
    <t>7223568720</t>
  </si>
  <si>
    <t>001480</t>
  </si>
  <si>
    <t>7228502289</t>
  </si>
  <si>
    <t>8933013</t>
  </si>
  <si>
    <t>7222514868</t>
  </si>
  <si>
    <t>7221198844</t>
  </si>
  <si>
    <t>5660373048</t>
  </si>
  <si>
    <t>001551</t>
  </si>
  <si>
    <t>7223750697</t>
  </si>
  <si>
    <t>7226554810</t>
  </si>
  <si>
    <t>7226814650</t>
  </si>
  <si>
    <t>7226221266</t>
  </si>
  <si>
    <t>001562</t>
  </si>
  <si>
    <t>7228467516</t>
  </si>
  <si>
    <t>7223579556</t>
  </si>
  <si>
    <t>7228756678</t>
  </si>
  <si>
    <t>7227869733</t>
  </si>
  <si>
    <t>001083</t>
  </si>
  <si>
    <t>DAVILA MONROY ROLANDO</t>
  </si>
  <si>
    <t>COMPRAVENTA DE AUTOMOVILES Y CAMIONES NUEVOS</t>
  </si>
  <si>
    <t>6811013</t>
  </si>
  <si>
    <t>ARTEMISA DEL TORAL</t>
  </si>
  <si>
    <t>MIGUEL ANGEL SALDAÑA</t>
  </si>
  <si>
    <t>7227028812</t>
  </si>
  <si>
    <t>JAVIER VARGAS</t>
  </si>
  <si>
    <t>001301</t>
  </si>
  <si>
    <t>7297604453</t>
  </si>
  <si>
    <t>7221396754</t>
  </si>
  <si>
    <t>7225453554</t>
  </si>
  <si>
    <t>7226416316</t>
  </si>
  <si>
    <t>001303</t>
  </si>
  <si>
    <t>7225060623</t>
  </si>
  <si>
    <t>7226978030</t>
  </si>
  <si>
    <t>7221195350</t>
  </si>
  <si>
    <t>7223544346</t>
  </si>
  <si>
    <t>001307</t>
  </si>
  <si>
    <t>7227913375</t>
  </si>
  <si>
    <t>7223555681</t>
  </si>
  <si>
    <t>7226110715</t>
  </si>
  <si>
    <t>7224054288</t>
  </si>
  <si>
    <t>001283</t>
  </si>
  <si>
    <t>6231021</t>
  </si>
  <si>
    <t>7291221647</t>
  </si>
  <si>
    <t>7228633584</t>
  </si>
  <si>
    <t>7224279351</t>
  </si>
  <si>
    <t>001261</t>
  </si>
  <si>
    <t>7225684720</t>
  </si>
  <si>
    <t>6325048</t>
  </si>
  <si>
    <t>7223216079</t>
  </si>
  <si>
    <t>4434812084</t>
  </si>
  <si>
    <t>7221309262</t>
  </si>
  <si>
    <t>001311</t>
  </si>
  <si>
    <t>7292249239</t>
  </si>
  <si>
    <t>7297312371</t>
  </si>
  <si>
    <t>7226645108</t>
  </si>
  <si>
    <t>7296621526</t>
  </si>
  <si>
    <t>001262</t>
  </si>
  <si>
    <t>7228880732</t>
  </si>
  <si>
    <t>6326012</t>
  </si>
  <si>
    <t>4941005791</t>
  </si>
  <si>
    <t>7225196494</t>
  </si>
  <si>
    <t>7226831443</t>
  </si>
  <si>
    <t>001420</t>
  </si>
  <si>
    <t>7228603189</t>
  </si>
  <si>
    <t>7224516487</t>
  </si>
  <si>
    <t>7294881432</t>
  </si>
  <si>
    <t>001619</t>
  </si>
  <si>
    <t>7226177941</t>
  </si>
  <si>
    <t>7225671064</t>
  </si>
  <si>
    <t>7226647293</t>
  </si>
  <si>
    <t>7292579606</t>
  </si>
  <si>
    <t>001621</t>
  </si>
  <si>
    <t>7208120013</t>
  </si>
  <si>
    <t>4111027</t>
  </si>
  <si>
    <t>7206865754</t>
  </si>
  <si>
    <t>7296413122</t>
  </si>
  <si>
    <t>7226821725</t>
  </si>
  <si>
    <t>001571</t>
  </si>
  <si>
    <t>3344773102</t>
  </si>
  <si>
    <t>7113012</t>
  </si>
  <si>
    <t>7226772974</t>
  </si>
  <si>
    <t>7227855416</t>
  </si>
  <si>
    <t>7228333821</t>
  </si>
  <si>
    <t>001575</t>
  </si>
  <si>
    <t>7225210497</t>
  </si>
  <si>
    <t>2829010</t>
  </si>
  <si>
    <t>7218890468</t>
  </si>
  <si>
    <t>7223403878</t>
  </si>
  <si>
    <t>7225656410</t>
  </si>
  <si>
    <t>001595</t>
  </si>
  <si>
    <t>7223016047</t>
  </si>
  <si>
    <t>7207841465</t>
  </si>
  <si>
    <t>5665289583</t>
  </si>
  <si>
    <t>7293822882</t>
  </si>
  <si>
    <t>001340</t>
  </si>
  <si>
    <t>6212013</t>
  </si>
  <si>
    <t>5564729233</t>
  </si>
  <si>
    <t>001505</t>
  </si>
  <si>
    <t>7223143189</t>
  </si>
  <si>
    <t>7225603679</t>
  </si>
  <si>
    <t>7226747726</t>
  </si>
  <si>
    <t>7223771417</t>
  </si>
  <si>
    <t>001494</t>
  </si>
  <si>
    <t>7222295955</t>
  </si>
  <si>
    <t>7296122538</t>
  </si>
  <si>
    <t>7294528035</t>
  </si>
  <si>
    <t>7294564515</t>
  </si>
  <si>
    <t>001333</t>
  </si>
  <si>
    <t>7298803794</t>
  </si>
  <si>
    <t>7221196228</t>
  </si>
  <si>
    <t>7222459682</t>
  </si>
  <si>
    <t>7225119418</t>
  </si>
  <si>
    <t>001490</t>
  </si>
  <si>
    <t>7223150550</t>
  </si>
  <si>
    <t>7227861311</t>
  </si>
  <si>
    <t>7295040120</t>
  </si>
  <si>
    <t>5532502067</t>
  </si>
  <si>
    <t>001540</t>
  </si>
  <si>
    <t>7223455461</t>
  </si>
  <si>
    <t>7228600375</t>
  </si>
  <si>
    <t>5530791723</t>
  </si>
  <si>
    <t>7205832505</t>
  </si>
  <si>
    <t>001546</t>
  </si>
  <si>
    <t>7141002888</t>
  </si>
  <si>
    <t>2099043</t>
  </si>
  <si>
    <t>7294714076</t>
  </si>
  <si>
    <t>7224598383</t>
  </si>
  <si>
    <t>7293691929</t>
  </si>
  <si>
    <t>001533</t>
  </si>
  <si>
    <t>7221055890</t>
  </si>
  <si>
    <t>7228384817</t>
  </si>
  <si>
    <t>7226066011</t>
  </si>
  <si>
    <t>7299935628</t>
  </si>
  <si>
    <t>001439</t>
  </si>
  <si>
    <t>7122231528</t>
  </si>
  <si>
    <t>7225205121</t>
  </si>
  <si>
    <t>7222024897</t>
  </si>
  <si>
    <t>7228353081</t>
  </si>
  <si>
    <t>001520</t>
  </si>
  <si>
    <t>7221655227</t>
  </si>
  <si>
    <t>7223879405</t>
  </si>
  <si>
    <t>5628385629</t>
  </si>
  <si>
    <t>7223227991</t>
  </si>
  <si>
    <t>001612</t>
  </si>
  <si>
    <t>7299320496</t>
  </si>
  <si>
    <t>7227716303</t>
  </si>
  <si>
    <t>7203867108</t>
  </si>
  <si>
    <t>7146904661</t>
  </si>
  <si>
    <t>001618</t>
  </si>
  <si>
    <t>7295938738</t>
  </si>
  <si>
    <t>7298173665</t>
  </si>
  <si>
    <t>7226259496</t>
  </si>
  <si>
    <t>7295214120</t>
  </si>
  <si>
    <t>001350</t>
  </si>
  <si>
    <t>7226794251</t>
  </si>
  <si>
    <t>7141104726</t>
  </si>
  <si>
    <t>7228281831</t>
  </si>
  <si>
    <t>001354</t>
  </si>
  <si>
    <t>7223114459</t>
  </si>
  <si>
    <t>7211021471</t>
  </si>
  <si>
    <t>7227536718</t>
  </si>
  <si>
    <t>7221691659</t>
  </si>
  <si>
    <t>001055</t>
  </si>
  <si>
    <t>7221604238</t>
  </si>
  <si>
    <t>0111063</t>
  </si>
  <si>
    <t>7226718927</t>
  </si>
  <si>
    <t>7131194517</t>
  </si>
  <si>
    <t>7223953758</t>
  </si>
  <si>
    <t>001393</t>
  </si>
  <si>
    <t>7224257357</t>
  </si>
  <si>
    <t>3515022</t>
  </si>
  <si>
    <t>7228435817</t>
  </si>
  <si>
    <t>7223740919</t>
  </si>
  <si>
    <t>7218890607</t>
  </si>
  <si>
    <t>001357</t>
  </si>
  <si>
    <t>7221191802</t>
  </si>
  <si>
    <t>7221459037</t>
  </si>
  <si>
    <t>7224918355</t>
  </si>
  <si>
    <t>7224446260</t>
  </si>
  <si>
    <t>001374</t>
  </si>
  <si>
    <t>7224651773</t>
  </si>
  <si>
    <t>7229804352</t>
  </si>
  <si>
    <t>7224489318</t>
  </si>
  <si>
    <t>001456</t>
  </si>
  <si>
    <t>7224848066</t>
  </si>
  <si>
    <t>7295261598</t>
  </si>
  <si>
    <t>7361179319</t>
  </si>
  <si>
    <t>7224292933</t>
  </si>
  <si>
    <t>001510</t>
  </si>
  <si>
    <t>7221757286</t>
  </si>
  <si>
    <t>7224095163</t>
  </si>
  <si>
    <t>7221028250</t>
  </si>
  <si>
    <t>7224441862</t>
  </si>
  <si>
    <t>001511</t>
  </si>
  <si>
    <t>6671806345</t>
  </si>
  <si>
    <t>7411387321</t>
  </si>
  <si>
    <t>5564888856</t>
  </si>
  <si>
    <t>5610063308</t>
  </si>
  <si>
    <t>001587</t>
  </si>
  <si>
    <t>7145498442</t>
  </si>
  <si>
    <t>7291195882</t>
  </si>
  <si>
    <t>7145493921</t>
  </si>
  <si>
    <t>7291464902</t>
  </si>
  <si>
    <t>001482</t>
  </si>
  <si>
    <t>5649639680</t>
  </si>
  <si>
    <t>2094027</t>
  </si>
  <si>
    <t>7224567448</t>
  </si>
  <si>
    <t>7223153613</t>
  </si>
  <si>
    <t>7222405074</t>
  </si>
  <si>
    <t>001317</t>
  </si>
  <si>
    <t>7294809159</t>
  </si>
  <si>
    <t>7201229534</t>
  </si>
  <si>
    <t>7225973209</t>
  </si>
  <si>
    <t>7225450074</t>
  </si>
  <si>
    <t>001445</t>
  </si>
  <si>
    <t>7224083842</t>
  </si>
  <si>
    <t>7297900011</t>
  </si>
  <si>
    <t>7223730234</t>
  </si>
  <si>
    <t>7293313946</t>
  </si>
  <si>
    <t>001319</t>
  </si>
  <si>
    <t>7223610986</t>
  </si>
  <si>
    <t>7222064947</t>
  </si>
  <si>
    <t>7226024096</t>
  </si>
  <si>
    <t>7226093206</t>
  </si>
  <si>
    <t>001320</t>
  </si>
  <si>
    <t>7291251949</t>
  </si>
  <si>
    <t>7222923239</t>
  </si>
  <si>
    <t>7206688819</t>
  </si>
  <si>
    <t>7297807111</t>
  </si>
  <si>
    <t>001343</t>
  </si>
  <si>
    <t>7295179841</t>
  </si>
  <si>
    <t>7225957128</t>
  </si>
  <si>
    <t>7227964327</t>
  </si>
  <si>
    <t>7225593677</t>
  </si>
  <si>
    <t>001473</t>
  </si>
  <si>
    <t>7226407121</t>
  </si>
  <si>
    <t>7226682127</t>
  </si>
  <si>
    <t>7221854627</t>
  </si>
  <si>
    <t>7221056419</t>
  </si>
  <si>
    <t>001402</t>
  </si>
  <si>
    <t>7222456355</t>
  </si>
  <si>
    <t>2639039</t>
  </si>
  <si>
    <t>7294931747</t>
  </si>
  <si>
    <t>7224959062</t>
  </si>
  <si>
    <t>3223505010</t>
  </si>
  <si>
    <t>000015</t>
  </si>
  <si>
    <t>001189</t>
  </si>
  <si>
    <t>7861416805</t>
  </si>
  <si>
    <t>4437968108</t>
  </si>
  <si>
    <t>7861286086</t>
  </si>
  <si>
    <t>4433311456</t>
  </si>
  <si>
    <t>001084</t>
  </si>
  <si>
    <t>4471081666</t>
  </si>
  <si>
    <t>4471004379</t>
  </si>
  <si>
    <t>4471077467</t>
  </si>
  <si>
    <t>4432417010</t>
  </si>
  <si>
    <t>001173</t>
  </si>
  <si>
    <t>4471036280</t>
  </si>
  <si>
    <t>2529074</t>
  </si>
  <si>
    <t>4434407646</t>
  </si>
  <si>
    <t>7121074969</t>
  </si>
  <si>
    <t>4471117243</t>
  </si>
  <si>
    <t>001277</t>
  </si>
  <si>
    <t>4431991666</t>
  </si>
  <si>
    <t>4471504053</t>
  </si>
  <si>
    <t>001275</t>
  </si>
  <si>
    <t>4471151624</t>
  </si>
  <si>
    <t>4471738397</t>
  </si>
  <si>
    <t>4471536062</t>
  </si>
  <si>
    <t>4472036771</t>
  </si>
  <si>
    <t>001256</t>
  </si>
  <si>
    <t>4472218943</t>
  </si>
  <si>
    <t>4471155225</t>
  </si>
  <si>
    <t>4434603050</t>
  </si>
  <si>
    <t>001316</t>
  </si>
  <si>
    <t>5513324034</t>
  </si>
  <si>
    <t>8921018</t>
  </si>
  <si>
    <t>4472173415</t>
  </si>
  <si>
    <t>4431669365</t>
  </si>
  <si>
    <t>5513104248</t>
  </si>
  <si>
    <t>001314</t>
  </si>
  <si>
    <t>4432133914</t>
  </si>
  <si>
    <t>6693015</t>
  </si>
  <si>
    <t>4471505097</t>
  </si>
  <si>
    <t>4438933759</t>
  </si>
  <si>
    <t>5639585152</t>
  </si>
  <si>
    <t>000053</t>
  </si>
  <si>
    <t>001101</t>
  </si>
  <si>
    <t>7861289536</t>
  </si>
  <si>
    <t>4471511369</t>
  </si>
  <si>
    <t>4471035445</t>
  </si>
  <si>
    <t>4471736466</t>
  </si>
  <si>
    <t>001079</t>
  </si>
  <si>
    <t>4471294396</t>
  </si>
  <si>
    <t>4471114441</t>
  </si>
  <si>
    <t>4431297759</t>
  </si>
  <si>
    <t>4471295661</t>
  </si>
  <si>
    <t>001582</t>
  </si>
  <si>
    <t>4437928856</t>
  </si>
  <si>
    <t>4471513169</t>
  </si>
  <si>
    <t>441736466</t>
  </si>
  <si>
    <t>001339</t>
  </si>
  <si>
    <t>3344322446</t>
  </si>
  <si>
    <t>4472232778</t>
  </si>
  <si>
    <t>001570</t>
  </si>
  <si>
    <t>4472278159</t>
  </si>
  <si>
    <t>4472267183</t>
  </si>
  <si>
    <t>4437947350</t>
  </si>
  <si>
    <t>4471006209</t>
  </si>
  <si>
    <t>001601</t>
  </si>
  <si>
    <t>4472156039</t>
  </si>
  <si>
    <t>4471000028</t>
  </si>
  <si>
    <t>4471736366</t>
  </si>
  <si>
    <t>4471007314</t>
  </si>
  <si>
    <t>001121</t>
  </si>
  <si>
    <t>5624101034</t>
  </si>
  <si>
    <t>6119011</t>
  </si>
  <si>
    <t>7227681567</t>
  </si>
  <si>
    <t>7222241002</t>
  </si>
  <si>
    <t>7295213447</t>
  </si>
  <si>
    <t>001178</t>
  </si>
  <si>
    <t>7221275343</t>
  </si>
  <si>
    <t>7227957483</t>
  </si>
  <si>
    <t>7712313255</t>
  </si>
  <si>
    <t>5549137949</t>
  </si>
  <si>
    <t>001299</t>
  </si>
  <si>
    <t>7296641340</t>
  </si>
  <si>
    <t>7228387018</t>
  </si>
  <si>
    <t>7291109450</t>
  </si>
  <si>
    <t>7226908526</t>
  </si>
  <si>
    <t>001249</t>
  </si>
  <si>
    <t>5529680097</t>
  </si>
  <si>
    <t>8400002</t>
  </si>
  <si>
    <t>001287</t>
  </si>
  <si>
    <t>7297349018</t>
  </si>
  <si>
    <t>7121912619</t>
  </si>
  <si>
    <t>7201041413</t>
  </si>
  <si>
    <t>7299200772</t>
  </si>
  <si>
    <t>001252</t>
  </si>
  <si>
    <t>7225950568</t>
  </si>
  <si>
    <t>7224113728</t>
  </si>
  <si>
    <t>7222812657</t>
  </si>
  <si>
    <t>7205154703</t>
  </si>
  <si>
    <t>001268</t>
  </si>
  <si>
    <t>7223601170</t>
  </si>
  <si>
    <t>7224954244</t>
  </si>
  <si>
    <t>7225767330</t>
  </si>
  <si>
    <t>7225663418</t>
  </si>
  <si>
    <t>001265</t>
  </si>
  <si>
    <t>7293774847</t>
  </si>
  <si>
    <t>3212024</t>
  </si>
  <si>
    <t>7227862042</t>
  </si>
  <si>
    <t>7227862041</t>
  </si>
  <si>
    <t>7227863490</t>
  </si>
  <si>
    <t>001614</t>
  </si>
  <si>
    <t>7205753825</t>
  </si>
  <si>
    <t>7222347937</t>
  </si>
  <si>
    <t>7224043270</t>
  </si>
  <si>
    <t>7292427675</t>
  </si>
  <si>
    <t>000028</t>
  </si>
  <si>
    <t>001109</t>
  </si>
  <si>
    <t>7293597278</t>
  </si>
  <si>
    <t>2084010</t>
  </si>
  <si>
    <t>7293280241</t>
  </si>
  <si>
    <t>7204392072</t>
  </si>
  <si>
    <t>7226076142</t>
  </si>
  <si>
    <t>001328</t>
  </si>
  <si>
    <t>7225330152</t>
  </si>
  <si>
    <t>7292764800</t>
  </si>
  <si>
    <t>7228527255</t>
  </si>
  <si>
    <t>7229260100</t>
  </si>
  <si>
    <t>001492</t>
  </si>
  <si>
    <t>7226795168</t>
  </si>
  <si>
    <t>7224647788</t>
  </si>
  <si>
    <t>7223477860</t>
  </si>
  <si>
    <t>001532</t>
  </si>
  <si>
    <t>7202791426</t>
  </si>
  <si>
    <t>7223770966</t>
  </si>
  <si>
    <t>7202108671</t>
  </si>
  <si>
    <t>5655705804</t>
  </si>
  <si>
    <t>001477</t>
  </si>
  <si>
    <t>7225884698</t>
  </si>
  <si>
    <t>7221387590</t>
  </si>
  <si>
    <t>5615565750</t>
  </si>
  <si>
    <t>7226820135</t>
  </si>
  <si>
    <t>001503</t>
  </si>
  <si>
    <t>7294569713</t>
  </si>
  <si>
    <t>7225674101</t>
  </si>
  <si>
    <t>7206426174</t>
  </si>
  <si>
    <t>7229242971</t>
  </si>
  <si>
    <t>001345</t>
  </si>
  <si>
    <t>7225170625</t>
  </si>
  <si>
    <t>7224937877</t>
  </si>
  <si>
    <t>7223935032</t>
  </si>
  <si>
    <t>7297667772</t>
  </si>
  <si>
    <t>001384</t>
  </si>
  <si>
    <t>7225655574</t>
  </si>
  <si>
    <t>7291158321</t>
  </si>
  <si>
    <t>7226443534</t>
  </si>
  <si>
    <t>7226365266</t>
  </si>
  <si>
    <t>001358</t>
  </si>
  <si>
    <t>7207190075</t>
  </si>
  <si>
    <t>7223026661</t>
  </si>
  <si>
    <t>7299981731</t>
  </si>
  <si>
    <t>7293272452</t>
  </si>
  <si>
    <t>001359</t>
  </si>
  <si>
    <t>7224938662</t>
  </si>
  <si>
    <t>7223472593</t>
  </si>
  <si>
    <t>7223193970</t>
  </si>
  <si>
    <t>001426</t>
  </si>
  <si>
    <t>7228340210</t>
  </si>
  <si>
    <t>7225621873</t>
  </si>
  <si>
    <t>7224678033</t>
  </si>
  <si>
    <t>7224407681</t>
  </si>
  <si>
    <t>001313</t>
  </si>
  <si>
    <t>7229788589</t>
  </si>
  <si>
    <t>7225945025</t>
  </si>
  <si>
    <t>5513968284</t>
  </si>
  <si>
    <t>7131155537</t>
  </si>
  <si>
    <t>001124</t>
  </si>
  <si>
    <t>7226823285</t>
  </si>
  <si>
    <t>9900908</t>
  </si>
  <si>
    <t>7226981804</t>
  </si>
  <si>
    <t>7223699815</t>
  </si>
  <si>
    <t>7221660937</t>
  </si>
  <si>
    <t>001408</t>
  </si>
  <si>
    <t>7201031689</t>
  </si>
  <si>
    <t>7205964302</t>
  </si>
  <si>
    <t>7221416489</t>
  </si>
  <si>
    <t>7205747763</t>
  </si>
  <si>
    <t>001400</t>
  </si>
  <si>
    <t>3312808498</t>
  </si>
  <si>
    <t>5585701980</t>
  </si>
  <si>
    <t>7291085702</t>
  </si>
  <si>
    <t>7229085667</t>
  </si>
  <si>
    <t>001395</t>
  </si>
  <si>
    <t>7228968921</t>
  </si>
  <si>
    <t>7293288652</t>
  </si>
  <si>
    <t>7226762573</t>
  </si>
  <si>
    <t>7221259454</t>
  </si>
  <si>
    <t>7224959630</t>
  </si>
  <si>
    <t>001518</t>
  </si>
  <si>
    <t>7298687644</t>
  </si>
  <si>
    <t>7293227308</t>
  </si>
  <si>
    <t>6633136554</t>
  </si>
  <si>
    <t>001405</t>
  </si>
  <si>
    <t>7121352721</t>
  </si>
  <si>
    <t>7122420463</t>
  </si>
  <si>
    <t>7123382847</t>
  </si>
  <si>
    <t>7204361258</t>
  </si>
  <si>
    <t>7121754870</t>
  </si>
  <si>
    <t>001449</t>
  </si>
  <si>
    <t>7122511512</t>
  </si>
  <si>
    <t>7121024857</t>
  </si>
  <si>
    <t>7121698198</t>
  </si>
  <si>
    <t>7121336465</t>
  </si>
  <si>
    <t>001447</t>
  </si>
  <si>
    <t>7121828911</t>
  </si>
  <si>
    <t>8811011</t>
  </si>
  <si>
    <t>7121343454</t>
  </si>
  <si>
    <t>7121665559</t>
  </si>
  <si>
    <t>7121604381</t>
  </si>
  <si>
    <t>7121324666</t>
  </si>
  <si>
    <t>001388</t>
  </si>
  <si>
    <t>5511319176</t>
  </si>
  <si>
    <t>0221010</t>
  </si>
  <si>
    <t>7121586321</t>
  </si>
  <si>
    <t>7121180744</t>
  </si>
  <si>
    <t>7122139937</t>
  </si>
  <si>
    <t>5529501737</t>
  </si>
  <si>
    <t>001460</t>
  </si>
  <si>
    <t>7122924932</t>
  </si>
  <si>
    <t>7122621391</t>
  </si>
  <si>
    <t>5511381201</t>
  </si>
  <si>
    <t>7711301808</t>
  </si>
  <si>
    <t>7121402932</t>
  </si>
  <si>
    <t>001364</t>
  </si>
  <si>
    <t>7718840405</t>
  </si>
  <si>
    <t>3319010</t>
  </si>
  <si>
    <t>7121880872</t>
  </si>
  <si>
    <t>7297180978</t>
  </si>
  <si>
    <t>5511936135</t>
  </si>
  <si>
    <t>001370</t>
  </si>
  <si>
    <t>7122034888</t>
  </si>
  <si>
    <t>5560625707</t>
  </si>
  <si>
    <t>7121844102</t>
  </si>
  <si>
    <t>7701010417</t>
  </si>
  <si>
    <t>=HIPERVINCULO("https://www.google.com/maps/search/?api=1&amp;query=" &amp; SUSTITUIR(SUSTITUIR(BF5, "°", "%20"), """", ""), "Ver en Mapa")</t>
  </si>
  <si>
    <t>VELEZ GUADARRAMA HORACIO</t>
  </si>
  <si>
    <t>001371</t>
  </si>
  <si>
    <t>GONZALEZ GARCIA CESAR</t>
  </si>
  <si>
    <t>7223946314</t>
  </si>
  <si>
    <t>cesargonzalezg@yahoo.com</t>
  </si>
  <si>
    <t>CONSTRUCCION DE VIVIENDA RESIDENCIAL</t>
  </si>
  <si>
    <t>4111944</t>
  </si>
  <si>
    <t>OZUNA RODRIGUEZ MARLO PAOLA</t>
  </si>
  <si>
    <t>7225557944</t>
  </si>
  <si>
    <t>ALEJANDRO DE LA ROSA GONZALEZ</t>
  </si>
  <si>
    <t>7224592553</t>
  </si>
  <si>
    <t>ADOLFO PICHARDO GONZALEZ</t>
  </si>
  <si>
    <t>7222613175</t>
  </si>
  <si>
    <t>GEORGINA GONZALEZ GARCIA</t>
  </si>
  <si>
    <t>7225725525</t>
  </si>
  <si>
    <t>0002</t>
  </si>
  <si>
    <t>Individual Especial Revolvente</t>
  </si>
  <si>
    <t>PASEO DE LOS CEDROS #MZ 2-LT 173</t>
  </si>
  <si>
    <t>Club de Golf los Encinos</t>
  </si>
  <si>
    <t>001625</t>
  </si>
  <si>
    <t>CORANGUEZ MENCHACA HILDA</t>
  </si>
  <si>
    <t>7227910953</t>
  </si>
  <si>
    <t>cuitlahuac_2008@hotmail.com</t>
  </si>
  <si>
    <t>EMPLEADO DEL SECTOR PÚBLICO</t>
  </si>
  <si>
    <t>9502007</t>
  </si>
  <si>
    <t>GUSTAVO TINOCO ESTRADA</t>
  </si>
  <si>
    <t>7221395058</t>
  </si>
  <si>
    <t>ASHLEY TINOCO CORANGUEZ</t>
  </si>
  <si>
    <t>7261173471</t>
  </si>
  <si>
    <t>FELICITAS CORANGUEZ MENCHACA</t>
  </si>
  <si>
    <t>7292850674</t>
  </si>
  <si>
    <t>https://www.google.com/maps/pl</t>
  </si>
  <si>
    <t>001557</t>
  </si>
  <si>
    <t>MEJIA BUENO ROKY GERMAN</t>
  </si>
  <si>
    <t>7226830718</t>
  </si>
  <si>
    <t>rokymejia12@icloud.com</t>
  </si>
  <si>
    <t>GUADARRAMA RODRIGUEZ DEISY DENISSE</t>
  </si>
  <si>
    <t>JESUS EDMUNDO SOTELO AVILEZ</t>
  </si>
  <si>
    <t>7228047850</t>
  </si>
  <si>
    <t>JUAN PABLO BAUTISTA CASTAÑEDA</t>
  </si>
  <si>
    <t>7228478216</t>
  </si>
  <si>
    <t>DANA IDITH RODRIGUEZ AVILEZ</t>
  </si>
  <si>
    <t>7227957131</t>
  </si>
  <si>
    <t>REFACTURA EXPEDIDA POR DISTRIBUCIÓN DE COMERCIO EXTERIOR ASIA MEXICO, S.A. DE C.V., , , Valor 165,000.00, Nombre VEHICULO  PICK UP TOYOTA TACOMA, Folio Factura No 21264, Fecha Factura 20/01/2011, Número de serie 5TENL42N63Z180330, Número de motor SIN NUMERO, Modelo 2003, Marca TOYOTA, Propietario MEJIA BUENO ROKY GERMAN</t>
  </si>
  <si>
    <t>VEHICULO  PICK UP TOYOTA TACOMA</t>
  </si>
  <si>
    <t>18°50'42.1"N 99°40'39.1"W</t>
  </si>
  <si>
    <t>19°53'24.0"N 100°26'39.2"W</t>
  </si>
  <si>
    <t>Santiago Tlacotepec</t>
  </si>
  <si>
    <t>CÁLCULO DE LIQUIDACIÓN ANTICIPADA</t>
  </si>
  <si>
    <t>Saldo Vencido
(Intereses+Comisión
+Recargo)</t>
  </si>
  <si>
    <t>Nombre 
acreditado</t>
  </si>
  <si>
    <t>Saldo Capital</t>
  </si>
  <si>
    <t>Intereses del próximo pago sin vencer</t>
  </si>
  <si>
    <t>Comisiones del próximo pago sin vencer</t>
  </si>
  <si>
    <t>Cálculo válido hasta el próximo pago</t>
  </si>
  <si>
    <t xml:space="preserve"> </t>
  </si>
  <si>
    <t>Cantidad a Liquidar</t>
  </si>
  <si>
    <t>19°15'12.5"N 100°01'16.1"W</t>
  </si>
  <si>
    <t>19°12'10.7"N 100°07'50.0"W</t>
  </si>
  <si>
    <t>001680</t>
  </si>
  <si>
    <t>TOLENTINO GUADARRAMA RICARDO</t>
  </si>
  <si>
    <t>7223963932</t>
  </si>
  <si>
    <t>ricardotolentino932@gmail.com</t>
  </si>
  <si>
    <t>FIZ SOLORZANO MARIA FERNANDA</t>
  </si>
  <si>
    <t>ANA MARIA SANDOVAL TREVIÑO</t>
  </si>
  <si>
    <t>7224094282</t>
  </si>
  <si>
    <t>MARIA ZAMORA GUADARRAMA</t>
  </si>
  <si>
    <t>7227963156</t>
  </si>
  <si>
    <t>MARIA FIZ SOLORZANO</t>
  </si>
  <si>
    <t>7298726548</t>
  </si>
  <si>
    <t>San Mateo Coapexco</t>
  </si>
  <si>
    <t>18°58'17.6"N 99°41'06.2"W</t>
  </si>
  <si>
    <t>001756</t>
  </si>
  <si>
    <t>CASTAÑEDA MENDOZA NORMA LORENA</t>
  </si>
  <si>
    <t>7225025161</t>
  </si>
  <si>
    <t>normalore1502@gmail.com</t>
  </si>
  <si>
    <t>HERNANDEZ FLORES GABRIEL</t>
  </si>
  <si>
    <t>CARMEN ARELLANO ORTIZ</t>
  </si>
  <si>
    <t>7226184702</t>
  </si>
  <si>
    <t>IRIANA GUADALUPE LEGUIZAMO</t>
  </si>
  <si>
    <t>7225113931</t>
  </si>
  <si>
    <t>SUSANA DEL CARMEN VASQUEZ</t>
  </si>
  <si>
    <t>7261738458</t>
  </si>
  <si>
    <t>Acatzingo</t>
  </si>
  <si>
    <t>18°57'23.4"N 99°35'41.6"W</t>
  </si>
  <si>
    <t>001649</t>
  </si>
  <si>
    <t>QUIÑONES MEJIA JUAN ANTONIO</t>
  </si>
  <si>
    <t>blanquito@outlook.com</t>
  </si>
  <si>
    <t>SERVICIOS DE ENSEÑANZA DE MUSICA DANZA Y OTRAS ARTES CULTURA FISICA MANEJO DE VEHICULOS Y OTROS ESPECIALIZADOS</t>
  </si>
  <si>
    <t>9129017</t>
  </si>
  <si>
    <t>DOMINGUEZ SERRANO ANGELICA</t>
  </si>
  <si>
    <t>VANCO QUIÑONES MEJIA</t>
  </si>
  <si>
    <t>7228804276</t>
  </si>
  <si>
    <t>ODETH SEGURA GALLEGOS</t>
  </si>
  <si>
    <t>7223751475</t>
  </si>
  <si>
    <t>ONDINA SEGURA GALLEGOS</t>
  </si>
  <si>
    <t>7222848358</t>
  </si>
  <si>
    <t>Del Calvario</t>
  </si>
  <si>
    <t>18°57'57.5"N 99°35'41.4"W</t>
  </si>
  <si>
    <t>001741</t>
  </si>
  <si>
    <t>PRADO ROGEL MIREYA</t>
  </si>
  <si>
    <t>7295713281</t>
  </si>
  <si>
    <t>mireyaprado32@gmail.com</t>
  </si>
  <si>
    <t>ROGEL ESCOBAR NESTOR EDUARDO</t>
  </si>
  <si>
    <t>LESLY PRADO ROGEL</t>
  </si>
  <si>
    <t>7226140293</t>
  </si>
  <si>
    <t>IRIS ALONDRA ROGEL PRADO</t>
  </si>
  <si>
    <t>7228957579</t>
  </si>
  <si>
    <t>BRISEYDA PRADO ROGEL</t>
  </si>
  <si>
    <t>7293067888</t>
  </si>
  <si>
    <t>San Martin Coapaxtongo cu</t>
  </si>
  <si>
    <t>18°59'27.7"N 99°34'18.6"W</t>
  </si>
  <si>
    <t>001196</t>
  </si>
  <si>
    <t>MANJARREZ AGUIRRE PATRICIA</t>
  </si>
  <si>
    <t>7213387385</t>
  </si>
  <si>
    <t>gm8927694@gmail.com</t>
  </si>
  <si>
    <t>ZAMORA MARTINEZ GREGORIO</t>
  </si>
  <si>
    <t>EFRAIN CHAVEZ REGULES</t>
  </si>
  <si>
    <t>7221374276</t>
  </si>
  <si>
    <t>JULIETA PORCAYO VILLAREAL</t>
  </si>
  <si>
    <t>7292316842</t>
  </si>
  <si>
    <t>MARCO MARTINEZ SANCHEZ</t>
  </si>
  <si>
    <t>4271680267</t>
  </si>
  <si>
    <t>FACTURA EXPEDIDA POR AUTOMOTRIZ LERMA S.A DE C.V, , Valor 192,857.00, Nombre AUTOMOVIL SAVEIRO ROBUST, Folio Factura FEAL00021514, Fecha Factura 23/05/2023, Número de serie 9BWKB45U5PP046145, Número de motor CFZ56079, Modelo 2023, Marca VOLKSWAGEN, Propietario MARTINEZ ZAMORA GREGORIO</t>
  </si>
  <si>
    <t>AUTOMOVIL SAVEIRO ROBUST</t>
  </si>
  <si>
    <t>16 DE SEPTIEMBRE #106</t>
  </si>
  <si>
    <t>San Mateo Atenco</t>
  </si>
  <si>
    <t>001717</t>
  </si>
  <si>
    <t>ALVAREZ HERNANDEZ QUEZTZALIA NAYELI</t>
  </si>
  <si>
    <t>7224743639</t>
  </si>
  <si>
    <t>alvarezquezt3004@gmail.com</t>
  </si>
  <si>
    <t>MARTINEZ ESPEJEL LUIS ARMANDO</t>
  </si>
  <si>
    <t>AGUSTIN MARTINEZ</t>
  </si>
  <si>
    <t>7299091105</t>
  </si>
  <si>
    <t>BRIAN MARTINEZ</t>
  </si>
  <si>
    <t>7223093460</t>
  </si>
  <si>
    <t>TRINIDAD VERA</t>
  </si>
  <si>
    <t>5664248310</t>
  </si>
  <si>
    <t>19°09'41.1"N 99°33'49.0"W</t>
  </si>
  <si>
    <t>001686</t>
  </si>
  <si>
    <t>SANCHEZ PERALTA ESTHER</t>
  </si>
  <si>
    <t>7201199567</t>
  </si>
  <si>
    <t>esthersanchezperalta51@gmail.com</t>
  </si>
  <si>
    <t>MEJIA ARZALUZ VICTOR</t>
  </si>
  <si>
    <t>VICTOR MEJIA ARZALUZ</t>
  </si>
  <si>
    <t>7203347006</t>
  </si>
  <si>
    <t>ROSALBA SANCHEZ PERALTA</t>
  </si>
  <si>
    <t>5512138858</t>
  </si>
  <si>
    <t>ANA KAREN PERLATA SOTO</t>
  </si>
  <si>
    <t>7221474286</t>
  </si>
  <si>
    <t>PRIV DE LA CRUZ #3-SN</t>
  </si>
  <si>
    <t>San Felipe Tlalmimilolpan</t>
  </si>
  <si>
    <t>19°14'07.5"N 99°38'57.9"W</t>
  </si>
  <si>
    <t>001685</t>
  </si>
  <si>
    <t>ENZASTEGUI LEDEZMA MARIA DE LOS ANGELES</t>
  </si>
  <si>
    <t>7207884541</t>
  </si>
  <si>
    <t>mariadelosangelesenzastegui@gmail.com</t>
  </si>
  <si>
    <t>JAZMIN ENZASTEGUI</t>
  </si>
  <si>
    <t>7223922027</t>
  </si>
  <si>
    <t>NANCY LEDEZMA</t>
  </si>
  <si>
    <t>7221235341</t>
  </si>
  <si>
    <t>IRVING ARELLANO</t>
  </si>
  <si>
    <t>7228466438</t>
  </si>
  <si>
    <t>CJON REFORMA #1-SN</t>
  </si>
  <si>
    <t>19°13'30.7"N 99°40'23.5"W</t>
  </si>
  <si>
    <t>001609</t>
  </si>
  <si>
    <t>VELASCO JOSE ANTONIO</t>
  </si>
  <si>
    <t>7226431992</t>
  </si>
  <si>
    <t>antoniovelasco56@icloud.com</t>
  </si>
  <si>
    <t>FABRICACION DE ROPA CON PIEL</t>
  </si>
  <si>
    <t>2419069</t>
  </si>
  <si>
    <t>VELASCO BECERRIL HORTENCIA</t>
  </si>
  <si>
    <t>ALEJANDRO VELASCO VELASCO</t>
  </si>
  <si>
    <t>7121328986</t>
  </si>
  <si>
    <t>NOE VELASCO VELASCO</t>
  </si>
  <si>
    <t>5539078632</t>
  </si>
  <si>
    <t>NAIDELIN VELASCO VELASCO</t>
  </si>
  <si>
    <t>7204332006</t>
  </si>
  <si>
    <t>SAN ANTONIO ENCHISI #SN</t>
  </si>
  <si>
    <t>San Antonio Enchisi</t>
  </si>
  <si>
    <t>19°44'53.2"N 99°48'26.7"W</t>
  </si>
  <si>
    <t>Ver en Mapa</t>
  </si>
  <si>
    <t>001765</t>
  </si>
  <si>
    <t>CAMACHO PEDROZA LIZETH VALERIA</t>
  </si>
  <si>
    <t>7201474818</t>
  </si>
  <si>
    <t>valerializeth.campedroza@gmail.com</t>
  </si>
  <si>
    <t>CRUZ CHAVEZ LINO ARTURO</t>
  </si>
  <si>
    <t>MARIBEL PEDROZA CASTREJON</t>
  </si>
  <si>
    <t>7224658183</t>
  </si>
  <si>
    <t>ANA XIMENA CAMACHO PEDROZA</t>
  </si>
  <si>
    <t>7221315918</t>
  </si>
  <si>
    <t>FERNANDO CRUZ CHAVEZ</t>
  </si>
  <si>
    <t>7224592356</t>
  </si>
  <si>
    <t>CJON ADOLFO LOPEZ MATEOS #SN-SN</t>
  </si>
  <si>
    <t>Santa Ana Ixtlahuatzingo (Santa Ana)</t>
  </si>
  <si>
    <t>18°58'17.3"N 99°37'55.7"W</t>
  </si>
  <si>
    <t>001770</t>
  </si>
  <si>
    <t>ARROYO MORENO MARIA ALEJANDRA</t>
  </si>
  <si>
    <t>7226824469</t>
  </si>
  <si>
    <t>mariaalejandra75@gmail.com</t>
  </si>
  <si>
    <t>MARTINEZ MARTINEZ TIRSO</t>
  </si>
  <si>
    <t>JOSE MARIA MARTINEZ</t>
  </si>
  <si>
    <t>7201364638</t>
  </si>
  <si>
    <t>ADRIANA SALOME MARTINEZ</t>
  </si>
  <si>
    <t>7223127351</t>
  </si>
  <si>
    <t>ERIK BRAYAN PADILLA MARTINEZ</t>
  </si>
  <si>
    <t>7225320264</t>
  </si>
  <si>
    <t>Tepetzingo</t>
  </si>
  <si>
    <t>18°56'22.2"N 99°36'53.8"W</t>
  </si>
  <si>
    <t>001747</t>
  </si>
  <si>
    <t>ESTRADA GUADARRAMA ADAN</t>
  </si>
  <si>
    <t>7226031899</t>
  </si>
  <si>
    <t>estradaguadarramaadan@gmail.com</t>
  </si>
  <si>
    <t>AYALA LUGO MARIBEL</t>
  </si>
  <si>
    <t>JOSUE ESTRADA AYALA</t>
  </si>
  <si>
    <t>7225740332</t>
  </si>
  <si>
    <t>ADAN JESUS ESTRADA AYALA</t>
  </si>
  <si>
    <t>7226422996</t>
  </si>
  <si>
    <t>MARIA YURITZI ESTRADA AYALA</t>
  </si>
  <si>
    <t>27292944394</t>
  </si>
  <si>
    <t>Jesús Carranza</t>
  </si>
  <si>
    <t>18°56'45.7"N 99°37'43.5"W</t>
  </si>
  <si>
    <t>001073</t>
  </si>
  <si>
    <t>CAMPOS SANCHEZ VICTOR HUMBERTO</t>
  </si>
  <si>
    <t>2225315368</t>
  </si>
  <si>
    <t>vicam8@hotmail.com</t>
  </si>
  <si>
    <t>6 AND JARD 5 SUR #EDIF 12-C</t>
  </si>
  <si>
    <t>INFONAVIT Loma Bella</t>
  </si>
  <si>
    <t>Puebla</t>
  </si>
  <si>
    <t>CALL CENTER</t>
  </si>
  <si>
    <t>7227803366</t>
  </si>
  <si>
    <t>goodcaroriginal2022@gmail.com</t>
  </si>
  <si>
    <t>7224551026</t>
  </si>
  <si>
    <t>7221600931</t>
  </si>
  <si>
    <t>001759</t>
  </si>
  <si>
    <t>ARIAS GUADARRAMA SUSANA</t>
  </si>
  <si>
    <t>7224273323</t>
  </si>
  <si>
    <t>susanaarias1212@gmail.com</t>
  </si>
  <si>
    <t>NEGOCIOS RELACIONADOS CON INTERNET (U.I.F)</t>
  </si>
  <si>
    <t>9504003</t>
  </si>
  <si>
    <t>MANCILLA ESTRADA DAVID</t>
  </si>
  <si>
    <t>DAVID MANCILLA ESTRADA</t>
  </si>
  <si>
    <t>7294023533</t>
  </si>
  <si>
    <t>DAVID NOE MANCILLA ARIAS</t>
  </si>
  <si>
    <t>7294023412</t>
  </si>
  <si>
    <t>ANDRES DE JESUS MANCILLA ARIAS</t>
  </si>
  <si>
    <t>7228650495</t>
  </si>
  <si>
    <t>18°58'28.3"N 99°39'29.6"W</t>
  </si>
  <si>
    <t>cambronmejia@gmail.com</t>
  </si>
  <si>
    <t>000020</t>
  </si>
  <si>
    <t>Campos Sanchez Victor Humberto</t>
  </si>
  <si>
    <t>000079</t>
  </si>
  <si>
    <t>Gomez Campos Olga Janet</t>
  </si>
  <si>
    <t>001807</t>
  </si>
  <si>
    <t>JIMENEZ VIQUEZ ALEJANDRA</t>
  </si>
  <si>
    <t>7222950728</t>
  </si>
  <si>
    <t>alem.viq@gmail.com</t>
  </si>
  <si>
    <t>ACEVEDO GOMEZ WILVER OMAR</t>
  </si>
  <si>
    <t>GRISELDA MERIDA GARCIA</t>
  </si>
  <si>
    <t>7224239669</t>
  </si>
  <si>
    <t>INOSENTA LOPEZ VELAZCO</t>
  </si>
  <si>
    <t>7294677816</t>
  </si>
  <si>
    <t>MIGUEL LOPEZ MARTINEZ</t>
  </si>
  <si>
    <t>7224673273</t>
  </si>
  <si>
    <t>Tenancingo de Degollado Centro</t>
  </si>
  <si>
    <t>18°57'51.9"N 99°35'36.2"W</t>
  </si>
  <si>
    <t>000078</t>
  </si>
  <si>
    <t>Atilano Saucedo Fortino</t>
  </si>
  <si>
    <t>000080</t>
  </si>
  <si>
    <t>Lopez Ramirez Irving Omar</t>
  </si>
  <si>
    <t>002369</t>
  </si>
  <si>
    <t>JIMENEZ GARCIA ANGELICA MARIBEL</t>
  </si>
  <si>
    <t>7224310823</t>
  </si>
  <si>
    <t>amjg2013@gmail.com</t>
  </si>
  <si>
    <t>GARCIA MONTES FRANCISCO XAVIER</t>
  </si>
  <si>
    <t>CTO HDA EL NARDO #MZ43-LT2B</t>
  </si>
  <si>
    <t>Rinconada del Valle</t>
  </si>
  <si>
    <t>Temoaya</t>
  </si>
  <si>
    <t>7201686870</t>
  </si>
  <si>
    <t>7294761146</t>
  </si>
  <si>
    <t>amandanunezgon1983@gmail.com</t>
  </si>
  <si>
    <t>lsoto7950@gmail.com</t>
  </si>
  <si>
    <t>AV ISIDRO FABELA SUR #110</t>
  </si>
  <si>
    <t>002226</t>
  </si>
  <si>
    <t>GUADARRAMA ACACIO ALONDRA</t>
  </si>
  <si>
    <t>7298055134</t>
  </si>
  <si>
    <t>alonacacio@gmail.com</t>
  </si>
  <si>
    <t>YEIMI MARIELA MORALES</t>
  </si>
  <si>
    <t>7225575293</t>
  </si>
  <si>
    <t>TERESA DE JESUS ESTRADA</t>
  </si>
  <si>
    <t>7225036476</t>
  </si>
  <si>
    <t>MARIA EUGENIA GUADARRAMA</t>
  </si>
  <si>
    <t>18°57'33.3"N 99°38'20.9"W</t>
  </si>
  <si>
    <t>002648</t>
  </si>
  <si>
    <t>VAZQUEZ MEDINA HECTOR MANUEL</t>
  </si>
  <si>
    <t>5579074408</t>
  </si>
  <si>
    <t>hectormanuelvm@outlook.com</t>
  </si>
  <si>
    <t>MAPLE #30-6</t>
  </si>
  <si>
    <t>El Manto</t>
  </si>
  <si>
    <t>Ciudad de México</t>
  </si>
  <si>
    <t>Iztapalapa</t>
  </si>
  <si>
    <t>7218891374</t>
  </si>
  <si>
    <t>000082</t>
  </si>
  <si>
    <t>ENRIQUEZ VILCHIS MARIA ALEJANDRA</t>
  </si>
  <si>
    <t>jmad220280@hotmail.com</t>
  </si>
  <si>
    <t>GONZALEZ COLIN MARIA CONCEPCION</t>
  </si>
  <si>
    <t>5644934125</t>
  </si>
  <si>
    <t>7226923807</t>
  </si>
  <si>
    <t>armadadj@hotmail.com</t>
  </si>
  <si>
    <t>PAR</t>
  </si>
  <si>
    <t>jr4320376@gmail.com</t>
  </si>
  <si>
    <t>PIRULES #226</t>
  </si>
  <si>
    <t>Desembolso en caja</t>
  </si>
  <si>
    <t>Transferencia electrónica</t>
  </si>
  <si>
    <t>000085</t>
  </si>
  <si>
    <t>Campuzano Sanchez Humbert</t>
  </si>
  <si>
    <t>marisolespinoza885@hotmail.com</t>
  </si>
  <si>
    <t>REZA PUEBLA ALFREDO</t>
  </si>
  <si>
    <t>003324</t>
  </si>
  <si>
    <t>OLMOS PALACIOS FIDELINA</t>
  </si>
  <si>
    <t>7291838816</t>
  </si>
  <si>
    <t>filleyla94@gmail.com</t>
  </si>
  <si>
    <t>SOLIS LOPEZ EDGAR</t>
  </si>
  <si>
    <t>LAURA SOLIS LOPEZ</t>
  </si>
  <si>
    <t>7299824257</t>
  </si>
  <si>
    <t>EDGAR SOLIS LOPEZ</t>
  </si>
  <si>
    <t>PERLA DENISSE DIAZ CONSUELO</t>
  </si>
  <si>
    <t>7229422159</t>
  </si>
  <si>
    <t>HIPOLITO ORTIZ #156</t>
  </si>
  <si>
    <t>19°17'44.1"N 99°40'33.8"W</t>
  </si>
  <si>
    <t xml:space="preserve"> ZARAGOZA #7-SN</t>
  </si>
  <si>
    <t>SAN BARTOLO AMANALCO 2DA SECC #SN-SN</t>
  </si>
  <si>
    <t>LIBERTAD NORTE #SN-SN</t>
  </si>
  <si>
    <t>LOS PINOS #SN-SN</t>
  </si>
  <si>
    <t>DOM CON  #SN-SN</t>
  </si>
  <si>
    <t>CALLE CUAHUTEMOC SN #SN-SN</t>
  </si>
  <si>
    <t>EL MANANTIAL #SN-SN</t>
  </si>
  <si>
    <t>RUMBO AL ARROYO #SN-SN</t>
  </si>
  <si>
    <t>MANTO DEL RIO #SN-SN</t>
  </si>
  <si>
    <t>SAN BARTOLO DEL LLANO #SN-SN</t>
  </si>
  <si>
    <t>SAN NICOLAS AMEALCO #SN-SN</t>
  </si>
  <si>
    <t>EL TUNAL #SN-SN</t>
  </si>
  <si>
    <t>BOCA NEGRA #SN-SN</t>
  </si>
  <si>
    <t>SAN JOSE  #300-SN</t>
  </si>
  <si>
    <t>CASAS VIEJAS  #SN-SN</t>
  </si>
  <si>
    <t>LA PEÑA  #L7-SN</t>
  </si>
  <si>
    <t>PROL HIDALGO #100-SN</t>
  </si>
  <si>
    <t>RIO TULA #141-SN</t>
  </si>
  <si>
    <t>000057</t>
  </si>
  <si>
    <t>Camacho Frias Oscar Antonio</t>
  </si>
  <si>
    <t>PROL RAYON #SN-SN</t>
  </si>
  <si>
    <t>CALLE JAIME TORRES #SN-SN</t>
  </si>
  <si>
    <t>CAM EL AHUEHUETE #SN-SN</t>
  </si>
  <si>
    <t>CAMINO REAL S #SN-SN</t>
  </si>
  <si>
    <t>HEROES DEL 14 #1-SN</t>
  </si>
  <si>
    <t>BENITO JUAREZ #1-SN</t>
  </si>
  <si>
    <t>CEDROS #122-SN</t>
  </si>
  <si>
    <t>JUAN ESCUTIA #103-SN</t>
  </si>
  <si>
    <t>PASANDO EL PANTEON #SN-SN</t>
  </si>
  <si>
    <t>PROL INDEPENDENCIA #SN-SN</t>
  </si>
  <si>
    <t>VENUSTIANO C #SN-SN</t>
  </si>
  <si>
    <t>PABLO GONZALEZ CASANOVA #39-SN</t>
  </si>
  <si>
    <t>AV ATA #21-SN</t>
  </si>
  <si>
    <t>MARIPOSA MONARCA #SN-SN</t>
  </si>
  <si>
    <t>OVIEDO #27-SN</t>
  </si>
  <si>
    <t>VILLA DE LOS  ANGELES #26-SN</t>
  </si>
  <si>
    <t>ALFAREROS #5-SN</t>
  </si>
  <si>
    <t>CRUZ DE MISION  #SN-SN</t>
  </si>
  <si>
    <t>CDA  BENITO JUAREZ #SN -SN</t>
  </si>
  <si>
    <t>INDEPENCIA  #38-SN</t>
  </si>
  <si>
    <t>AHUEHUETE #SN-SN</t>
  </si>
  <si>
    <t>AV DE LAS FLORES  #SN-SN</t>
  </si>
  <si>
    <t>SAN JUAN AMANALCO 2DA SECCION  #SN-SN</t>
  </si>
  <si>
    <t>CERRADA ISIDRO FABELA EL CALVA  #SN-SN</t>
  </si>
  <si>
    <t>ALFAREROS  #129-SN</t>
  </si>
  <si>
    <t>VEGA DEL VALLE  #2311-SN</t>
  </si>
  <si>
    <t>AVENIDA JUAREZ  #SN-SN</t>
  </si>
  <si>
    <t>003414</t>
  </si>
  <si>
    <t>AGUILAR GONZALEZ CYNTHIA GUADALUPE</t>
  </si>
  <si>
    <t>Autorizado por cartera</t>
  </si>
  <si>
    <t>2228611663</t>
  </si>
  <si>
    <t>jirora@hotmail.com</t>
  </si>
  <si>
    <t>CALLE 8A #9-SN</t>
  </si>
  <si>
    <t>Bosques de San Sebastian</t>
  </si>
  <si>
    <t>LEONA VICARIO #412-SN</t>
  </si>
  <si>
    <t>CALLE LAZARO  CARDENAS SN #SN-SN</t>
  </si>
  <si>
    <t>C SIN NOMBRE  #SN-SN</t>
  </si>
  <si>
    <t>003186</t>
  </si>
  <si>
    <t>CORONA LAGUNAS CONCEPCION</t>
  </si>
  <si>
    <t>7223344062</t>
  </si>
  <si>
    <t>coronaconcepcion515@gmail.com</t>
  </si>
  <si>
    <t>ESTRADA GUADARRAMA FRANCISCO</t>
  </si>
  <si>
    <t>ANDRES CORONA LAGUNAS</t>
  </si>
  <si>
    <t>7205750865</t>
  </si>
  <si>
    <t>FRANCISCO GUADARRAMA</t>
  </si>
  <si>
    <t>7228045660</t>
  </si>
  <si>
    <t>MARTIZA CORONA</t>
  </si>
  <si>
    <t>CAM AL  AHUEHUETE #SN-SN</t>
  </si>
  <si>
    <t>18°58'21.0"N 99°34'13.4"W</t>
  </si>
  <si>
    <t>PROGRESO #SN-SN</t>
  </si>
  <si>
    <t>INDEPENDENCIA #SN-SN</t>
  </si>
  <si>
    <t>5 DE MAYO  #303-SN</t>
  </si>
  <si>
    <t>CDA DE LOS PINOS #5-SN</t>
  </si>
  <si>
    <t>C MIGUEL NEGRETE #112-SN</t>
  </si>
  <si>
    <t>CAM MALINALCO #SN-SN</t>
  </si>
  <si>
    <t>CONSTITUYENTES #233-SN</t>
  </si>
  <si>
    <t>MORELIA #218-SN</t>
  </si>
  <si>
    <t>AV TOLUCA  #203-SN</t>
  </si>
  <si>
    <t>CJON DEL MUERTO #SN-SN</t>
  </si>
  <si>
    <t>SAN SEBASTIAN CHICO 1ERA SECC #SN-SN</t>
  </si>
  <si>
    <t>AV ISIDRO FABELA SUR #110-SN</t>
  </si>
  <si>
    <t>J ARCADIO PAGAZA  #313-SN</t>
  </si>
  <si>
    <t>CRUZ VIDRIADA #SN-SN</t>
  </si>
  <si>
    <t>HIDALGO #216-SN</t>
  </si>
  <si>
    <t>PRIVADA FRAY GREGORIO #SN-SN</t>
  </si>
  <si>
    <t>FLOR DE HORTENCIA CASA  #4-SN</t>
  </si>
  <si>
    <t>CERRADA POPOCATEPETL #1-SN</t>
  </si>
  <si>
    <t>AREZZO #12-SN</t>
  </si>
  <si>
    <t>COMONFORT #11-SN</t>
  </si>
  <si>
    <t>AV FRAY GREGORIO JIMENEZ #161-SN</t>
  </si>
  <si>
    <t>SAN LUCAS #SN-SN</t>
  </si>
  <si>
    <t>LOS LAURELES #320-SN</t>
  </si>
  <si>
    <t>JACARANDAS #100-SN</t>
  </si>
  <si>
    <t>5 DE MAYO #SN-SN</t>
  </si>
  <si>
    <t>VICENTE GUERRERO #SN-SN</t>
  </si>
  <si>
    <t>GUERRERO #SN-SN</t>
  </si>
  <si>
    <t>CLL BENITO JUAREZ #2-SN</t>
  </si>
  <si>
    <t>GALEANA  #108-SN</t>
  </si>
  <si>
    <t>ALLENDE #SN-SN</t>
  </si>
  <si>
    <t>RINCON CHICO  #SN-SN</t>
  </si>
  <si>
    <t>ITURBIDE #SN-SN</t>
  </si>
  <si>
    <t>ENTRADA EL ESCOBAL #SN-SN</t>
  </si>
  <si>
    <t>SAN ANTONIO ENCHISI #SN-SN</t>
  </si>
  <si>
    <t>SIERRA TAXCO #SN-SN</t>
  </si>
  <si>
    <t>CARRET EL ARCO  #SN-SN</t>
  </si>
  <si>
    <t>HIDALGO #DPTO 3-SN</t>
  </si>
  <si>
    <t>DOMICILIO CONOCIDO #SN-SN</t>
  </si>
  <si>
    <t>ZARAGOZA #32-SN</t>
  </si>
  <si>
    <t>AV BENITO JUAREZ #420-SN</t>
  </si>
  <si>
    <t>15 DE SEPTIEMBRE #SN-SN</t>
  </si>
  <si>
    <t>MATAMOROS SN #SN-SN</t>
  </si>
  <si>
    <t>VILLA FLORENCIA  #SN-SN</t>
  </si>
  <si>
    <t>LA CANDELARIA #SN-SN</t>
  </si>
  <si>
    <t>SAN MATEO AMANALCO  #SN-SN</t>
  </si>
  <si>
    <t>CARR PRINCIPAL SN #SN-SN</t>
  </si>
  <si>
    <t>JUAN ESCUTIA #331-SN</t>
  </si>
  <si>
    <t>EJIDO RINCON DE LA CANDELARIA #SN-SN</t>
  </si>
  <si>
    <t>ZARAGOZA NTE #111-SN</t>
  </si>
  <si>
    <t>16 DE SEPTIEMBRE #SN-SN</t>
  </si>
  <si>
    <t>PROL AV TOLUCA  #SN -SN</t>
  </si>
  <si>
    <t>SAN BARTOLO AMANALCO #SN -SN</t>
  </si>
  <si>
    <t>CAMINO A LAS MONJAS #SN-SN</t>
  </si>
  <si>
    <t>CALLEJON DE LAS ANIMAS #SN-SN</t>
  </si>
  <si>
    <t>CJON MORELOS SN #SN-SN</t>
  </si>
  <si>
    <t>LA VALENCIANA #SN-SN</t>
  </si>
  <si>
    <t>INDEPENDENCIA  #123-SN</t>
  </si>
  <si>
    <t>SN BARTOLO PRIMERA SECCION  #SN -SN</t>
  </si>
  <si>
    <t>SAN FRANCISCO MIHUAL #SN -SN</t>
  </si>
  <si>
    <t>BENITO JUAREZ #203-SN</t>
  </si>
  <si>
    <t>COLORINES #SN-SN</t>
  </si>
  <si>
    <t>LAZARO CARDENAS  #SN-SN</t>
  </si>
  <si>
    <t>CALLE EL CRUCERO #SN-SN</t>
  </si>
  <si>
    <t>BENITO JUAREZ  #SN-SN</t>
  </si>
  <si>
    <t>PRL IGNACIO LOPEZ RAYON #3-SN</t>
  </si>
  <si>
    <t>PROL PORFIRIO ALCANTARA B #108-SN</t>
  </si>
  <si>
    <t>PROL OBREGON PASANDO EL PUENT #49-SN</t>
  </si>
  <si>
    <t>CAMINO VIEJO A TECOMATLAN #128-SN</t>
  </si>
  <si>
    <t>BENITO JUAREZ #SN-SN</t>
  </si>
  <si>
    <t>1 DE MAYO SN #SN-SN</t>
  </si>
  <si>
    <t>SANTA ANA LA LADERA  #SN-SN</t>
  </si>
  <si>
    <t>SAN BARTOLO AMANALCO #SN-SN</t>
  </si>
  <si>
    <t>EL LOBO SOLITARIO #SN-SN</t>
  </si>
  <si>
    <t>PRIVADA SIN NOMBRE  #SN-SN</t>
  </si>
  <si>
    <t>16 DE SEP  #504-SN</t>
  </si>
  <si>
    <t>LAZARO CARDENAS #25-SN</t>
  </si>
  <si>
    <t>CENTENARIO #120-SN</t>
  </si>
  <si>
    <t>LAS CRUCES #113-SN</t>
  </si>
  <si>
    <t>MORELOS  #109-SN</t>
  </si>
  <si>
    <t>LA FINCA  #6-SN</t>
  </si>
  <si>
    <t>16 DE SEPTIEMBRE  #SN-SN</t>
  </si>
  <si>
    <t>ALLENDE  #117-SN</t>
  </si>
  <si>
    <t>CIRCUITO LOS ENCINOS  #SN-SN</t>
  </si>
  <si>
    <t>ISIDRO FABELA  #SN-SN</t>
  </si>
  <si>
    <t>BUENAVISTA #SN-SN</t>
  </si>
  <si>
    <t>AHUEHUETE #136-SN</t>
  </si>
  <si>
    <t>CDA LAURELES  #20-SN</t>
  </si>
  <si>
    <t>CDA MELCHOR OCAMPO  #SN -SN</t>
  </si>
  <si>
    <t>PRLG 16 DE SEPTIEMBRE  #167-SN</t>
  </si>
  <si>
    <t>C NIÑOS HEROES  #961-SN</t>
  </si>
  <si>
    <t>FRANCISCO J MUJICA #239-SN</t>
  </si>
  <si>
    <t>VISTA ALEGRE #29-SN</t>
  </si>
  <si>
    <t>L VICARIO #236A-SN</t>
  </si>
  <si>
    <t>NAZARETH #75-SN</t>
  </si>
  <si>
    <t>LEONA VICARIO  #1341-SN</t>
  </si>
  <si>
    <t>LLUVIA #SN-SN</t>
  </si>
  <si>
    <t>REVOLUCION #591 C-SN</t>
  </si>
  <si>
    <t>BENIGNO BUSTAMANTE #110A-SN</t>
  </si>
  <si>
    <t>HIDALGO #368-SN</t>
  </si>
  <si>
    <t>FRANCISCO J MUJICA  #220-SN</t>
  </si>
  <si>
    <t>AV DREN CASA BLANCA #53-SN</t>
  </si>
  <si>
    <t>SAN FRANCISCO #13-SN</t>
  </si>
  <si>
    <t>PROL LEONA VICARIO #715-SN</t>
  </si>
  <si>
    <t>FRANCISCO J MUJICA #232-SN</t>
  </si>
  <si>
    <t>003639</t>
  </si>
  <si>
    <t>CORTEZ ESQUILA MARTA</t>
  </si>
  <si>
    <t>7227581787</t>
  </si>
  <si>
    <t>cosultasburo@fianancieracrediflexi.com</t>
  </si>
  <si>
    <t>POR EL PANTEON #SN-SN</t>
  </si>
  <si>
    <t>San Lorenzo Oyamel</t>
  </si>
  <si>
    <t>AV JUAREZ  #49-SN</t>
  </si>
  <si>
    <t>PROL 16 DE SEPTIEMBRE  #5-SN</t>
  </si>
  <si>
    <t>LAGO TOTOLCINGO  #110-SN</t>
  </si>
  <si>
    <t>LAGO VALENCIA #616-SN</t>
  </si>
  <si>
    <t>MORELOS PONIENTE #150-SN</t>
  </si>
  <si>
    <t>HDA PASTAJE #16C-SN</t>
  </si>
  <si>
    <t xml:space="preserve"> IGNACIO ZARAGOZA #11-SN</t>
  </si>
  <si>
    <t>PRIV JOSEFA O DE DOMINGUEZ  #1-SN</t>
  </si>
  <si>
    <t>PROL MIGUEL HIDALGO #104-SN</t>
  </si>
  <si>
    <t>JESUS DEL MONTE #47-SN</t>
  </si>
  <si>
    <t>AV MIGUEL J CLOUTHIER #256-SN</t>
  </si>
  <si>
    <t>ANDRES QUINTNAROO #122-SN</t>
  </si>
  <si>
    <t>SAN ANGEL  #SN-SN</t>
  </si>
  <si>
    <t>ALFONSO GOMEZ OROZCO #6-SN</t>
  </si>
  <si>
    <t>FRANCISCO MARQUEZ #104-SN</t>
  </si>
  <si>
    <t>NICOLAS BRAVO #192-SN</t>
  </si>
  <si>
    <t>alexiagonzalez425@gmail.com</t>
  </si>
  <si>
    <t>RIO PANUCO #SN-SN</t>
  </si>
  <si>
    <t>REPORTE DE ANTIGÜEDAD 13 DE OCTUBRE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</si>
</sst>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dd/mm/yyyy;@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Arial"/>
      <family val="2"/>
    </font>
    <font>
      <sz val="8"/>
      <color rgb="FF08000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76">
    <xf numFmtId="0" fontId="0" fillId="0" borderId="0" xfId="0"/>
    <xf numFmtId="49" fontId="0" fillId="0" borderId="0" xfId="0" applyNumberFormat="1"/>
    <xf numFmtId="164" fontId="0" fillId="0" borderId="0" xfId="0" applyNumberFormat="1"/>
    <xf numFmtId="4" fontId="0" fillId="0" borderId="0" xfId="0" applyNumberFormat="1"/>
    <xf numFmtId="3" fontId="0" fillId="0" borderId="0" xfId="0" applyNumberFormat="1"/>
    <xf numFmtId="14" fontId="0" fillId="0" borderId="0" xfId="0" applyNumberFormat="1"/>
    <xf numFmtId="0" fontId="4" fillId="0" borderId="0" xfId="0" applyFont="1"/>
    <xf numFmtId="3" fontId="5" fillId="3" borderId="0" xfId="0" applyNumberFormat="1" applyFont="1" applyFill="1" applyAlignment="1">
      <alignment horizontal="center" vertical="center"/>
    </xf>
    <xf numFmtId="4" fontId="5" fillId="4" borderId="0" xfId="0" applyNumberFormat="1" applyFont="1" applyFill="1" applyAlignment="1">
      <alignment horizontal="center" vertical="center" wrapText="1"/>
    </xf>
    <xf numFmtId="4" fontId="5" fillId="5" borderId="0" xfId="0" applyNumberFormat="1" applyFont="1" applyFill="1" applyAlignment="1">
      <alignment horizontal="center" vertical="center" wrapText="1"/>
    </xf>
    <xf numFmtId="0" fontId="6" fillId="8" borderId="0" xfId="0" applyFont="1" applyFill="1" applyAlignment="1">
      <alignment horizontal="center" wrapText="1"/>
    </xf>
    <xf numFmtId="0" fontId="4" fillId="0" borderId="0" xfId="0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 wrapText="1"/>
    </xf>
    <xf numFmtId="4" fontId="2" fillId="0" borderId="0" xfId="0" applyNumberFormat="1" applyFont="1" applyAlignment="1">
      <alignment horizontal="center" vertical="center" wrapText="1"/>
    </xf>
    <xf numFmtId="3" fontId="2" fillId="0" borderId="0" xfId="0" applyNumberFormat="1" applyFont="1" applyAlignment="1">
      <alignment horizontal="center" vertical="center" wrapText="1"/>
    </xf>
    <xf numFmtId="4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49" fontId="2" fillId="0" borderId="0" xfId="0" applyNumberFormat="1" applyFont="1" applyAlignment="1">
      <alignment horizontal="center" wrapText="1"/>
    </xf>
    <xf numFmtId="164" fontId="2" fillId="0" borderId="0" xfId="0" applyNumberFormat="1" applyFont="1" applyAlignment="1">
      <alignment horizontal="center" wrapText="1"/>
    </xf>
    <xf numFmtId="4" fontId="2" fillId="0" borderId="0" xfId="0" applyNumberFormat="1" applyFont="1" applyAlignment="1">
      <alignment horizontal="center" wrapText="1"/>
    </xf>
    <xf numFmtId="3" fontId="2" fillId="0" borderId="0" xfId="0" applyNumberFormat="1" applyFont="1" applyAlignment="1">
      <alignment horizontal="center"/>
    </xf>
    <xf numFmtId="3" fontId="2" fillId="0" borderId="0" xfId="0" applyNumberFormat="1" applyFont="1" applyAlignment="1">
      <alignment horizontal="center" wrapText="1"/>
    </xf>
    <xf numFmtId="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49" fontId="2" fillId="2" borderId="0" xfId="0" applyNumberFormat="1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 wrapText="1"/>
    </xf>
    <xf numFmtId="164" fontId="2" fillId="2" borderId="0" xfId="0" applyNumberFormat="1" applyFont="1" applyFill="1" applyAlignment="1">
      <alignment horizontal="center" vertical="center" wrapText="1"/>
    </xf>
    <xf numFmtId="4" fontId="2" fillId="2" borderId="0" xfId="0" applyNumberFormat="1" applyFont="1" applyFill="1" applyAlignment="1">
      <alignment horizontal="center" vertical="center" wrapText="1"/>
    </xf>
    <xf numFmtId="4" fontId="2" fillId="2" borderId="0" xfId="0" applyNumberFormat="1" applyFont="1" applyFill="1" applyAlignment="1">
      <alignment horizontal="center" vertical="center"/>
    </xf>
    <xf numFmtId="4" fontId="5" fillId="3" borderId="0" xfId="0" applyNumberFormat="1" applyFont="1" applyFill="1" applyAlignment="1">
      <alignment horizontal="center" vertical="center" wrapText="1"/>
    </xf>
    <xf numFmtId="49" fontId="2" fillId="6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49" fontId="2" fillId="9" borderId="0" xfId="0" applyNumberFormat="1" applyFont="1" applyFill="1" applyAlignment="1">
      <alignment horizontal="center" vertical="center"/>
    </xf>
    <xf numFmtId="49" fontId="2" fillId="9" borderId="0" xfId="0" applyNumberFormat="1" applyFont="1" applyFill="1" applyAlignment="1">
      <alignment horizontal="center" vertical="center" wrapText="1"/>
    </xf>
    <xf numFmtId="164" fontId="2" fillId="9" borderId="0" xfId="0" applyNumberFormat="1" applyFont="1" applyFill="1" applyAlignment="1">
      <alignment horizontal="center" vertical="center" wrapText="1"/>
    </xf>
    <xf numFmtId="4" fontId="2" fillId="9" borderId="0" xfId="0" applyNumberFormat="1" applyFont="1" applyFill="1" applyAlignment="1">
      <alignment horizontal="center" vertical="center" wrapText="1"/>
    </xf>
    <xf numFmtId="3" fontId="2" fillId="9" borderId="0" xfId="0" applyNumberFormat="1" applyFont="1" applyFill="1" applyAlignment="1">
      <alignment horizontal="center" vertical="center" wrapText="1"/>
    </xf>
    <xf numFmtId="4" fontId="2" fillId="9" borderId="0" xfId="0" applyNumberFormat="1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 wrapText="1"/>
    </xf>
    <xf numFmtId="0" fontId="0" fillId="9" borderId="0" xfId="0" applyFill="1" applyAlignment="1">
      <alignment vertical="center"/>
    </xf>
    <xf numFmtId="3" fontId="5" fillId="10" borderId="0" xfId="0" applyNumberFormat="1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/>
    <xf numFmtId="49" fontId="2" fillId="9" borderId="1" xfId="0" applyNumberFormat="1" applyFont="1" applyFill="1" applyBorder="1" applyAlignment="1">
      <alignment horizontal="center" vertical="center" wrapText="1"/>
    </xf>
    <xf numFmtId="49" fontId="2" fillId="9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4" fontId="0" fillId="0" borderId="1" xfId="7" applyFont="1" applyBorder="1" applyAlignment="1">
      <alignment horizontal="center" vertical="center"/>
    </xf>
    <xf numFmtId="44" fontId="0" fillId="11" borderId="1" xfId="7" applyFont="1" applyFill="1" applyBorder="1" applyAlignment="1" applyProtection="1">
      <alignment horizontal="center" vertical="center"/>
      <protection locked="0"/>
    </xf>
    <xf numFmtId="44" fontId="4" fillId="0" borderId="1" xfId="7" applyFont="1" applyBorder="1" applyAlignment="1">
      <alignment horizontal="center" vertical="center"/>
    </xf>
    <xf numFmtId="14" fontId="0" fillId="11" borderId="1" xfId="0" applyNumberFormat="1" applyFill="1" applyBorder="1" applyAlignment="1" applyProtection="1">
      <alignment horizontal="center" vertical="center"/>
      <protection locked="0"/>
    </xf>
    <xf numFmtId="49" fontId="0" fillId="11" borderId="1" xfId="7" applyNumberFormat="1" applyFont="1" applyFill="1" applyBorder="1" applyAlignment="1" applyProtection="1">
      <alignment horizontal="center" vertical="center"/>
      <protection locked="0"/>
    </xf>
    <xf numFmtId="49" fontId="5" fillId="10" borderId="1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Alignment="1">
      <alignment horizontal="center" wrapText="1"/>
    </xf>
    <xf numFmtId="2" fontId="0" fillId="0" borderId="0" xfId="0" applyNumberFormat="1"/>
    <xf numFmtId="2" fontId="2" fillId="9" borderId="0" xfId="0" applyNumberFormat="1" applyFont="1" applyFill="1" applyAlignment="1">
      <alignment horizontal="center" vertical="center" wrapText="1"/>
    </xf>
    <xf numFmtId="4" fontId="3" fillId="0" borderId="0" xfId="0" applyNumberFormat="1" applyFont="1"/>
    <xf numFmtId="0" fontId="9" fillId="0" borderId="0" xfId="8"/>
    <xf numFmtId="3" fontId="0" fillId="0" borderId="0" xfId="0" applyNumberFormat="1" applyAlignment="1">
      <alignment horizontal="right"/>
    </xf>
    <xf numFmtId="0" fontId="6" fillId="7" borderId="0" xfId="0" applyFont="1" applyFill="1" applyAlignment="1">
      <alignment horizontal="center" wrapText="1"/>
    </xf>
    <xf numFmtId="0" fontId="6" fillId="8" borderId="0" xfId="0" applyFont="1" applyFill="1" applyAlignment="1">
      <alignment horizontal="center"/>
    </xf>
    <xf numFmtId="0" fontId="6" fillId="8" borderId="0" xfId="0" applyFont="1" applyFill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4" fillId="0" borderId="1" xfId="0" applyFont="1" applyBorder="1" applyAlignment="1">
      <alignment horizontal="center"/>
    </xf>
    <xf numFmtId="4" fontId="2" fillId="12" borderId="0" xfId="0" applyNumberFormat="1" applyFont="1" applyFill="1" applyAlignment="1">
      <alignment horizontal="center" vertical="center"/>
    </xf>
    <xf numFmtId="0" fontId="0" fillId="0" borderId="0" xfId="0"/>
    <xf numFmtId="49" fontId="2" fillId="0" borderId="0" xfId="0" applyNumberFormat="1" applyFont="1" applyAlignment="1">
      <alignment horizontal="center"/>
    </xf>
    <xf numFmtId="49" fontId="0" fillId="0" borderId="0" xfId="0" applyNumberFormat="1"/>
    <xf numFmtId="164" fontId="0" fillId="0" borderId="0" xfId="0" applyNumberFormat="1"/>
    <xf numFmtId="4" fontId="0" fillId="0" borderId="0" xfId="0" applyNumberFormat="1"/>
    <xf numFmtId="3" fontId="0" fillId="0" borderId="0" xfId="0" applyNumberFormat="1"/>
    <xf numFmtId="4" fontId="3" fillId="0" borderId="0" xfId="0" applyNumberFormat="1" applyFont="1" applyAlignment="1"/>
    <xf numFmtId="0" fontId="0" fillId="0" borderId="0" xfId="0" applyAlignment="1">
      <alignment wrapText="1"/>
    </xf>
  </cellXfs>
  <cellStyles count="9">
    <cellStyle name="Hipervínculo" xfId="8" builtinId="8"/>
    <cellStyle name="Moneda" xfId="7" builtinId="4"/>
    <cellStyle name="Moneda 2" xfId="2" xr:uid="{5352FE0A-9A1A-48E9-92D2-57B1C8973585}"/>
    <cellStyle name="Moneda 2 2" xfId="4" xr:uid="{4BE3D0DA-E4B8-481F-AF93-6084E40CA46E}"/>
    <cellStyle name="Moneda 2 3" xfId="6" xr:uid="{22DF81F7-918B-48C9-B5EF-9B37DB7C5680}"/>
    <cellStyle name="Moneda 3" xfId="1" xr:uid="{619B48C4-A3FA-4B63-BC41-B99B4EF612A7}"/>
    <cellStyle name="Moneda 3 2" xfId="3" xr:uid="{ABA36C2D-B67F-42FA-B121-C2B4F9614EA3}"/>
    <cellStyle name="Moneda 3 3" xfId="5" xr:uid="{7E54C9BA-5163-42B8-9D86-01CB9FFE7376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99060</xdr:rowOff>
    </xdr:from>
    <xdr:to>
      <xdr:col>3</xdr:col>
      <xdr:colOff>358140</xdr:colOff>
      <xdr:row>3</xdr:row>
      <xdr:rowOff>30480</xdr:rowOff>
    </xdr:to>
    <xdr:sp macro="[0]!Macro_filtrar_fraude" textlink="">
      <xdr:nvSpPr>
        <xdr:cNvPr id="2" name="Rectángulo 1">
          <a:extLst>
            <a:ext uri="{FF2B5EF4-FFF2-40B4-BE49-F238E27FC236}">
              <a16:creationId xmlns:a16="http://schemas.microsoft.com/office/drawing/2014/main" id="{1A8E9E17-A1CD-4951-BBB9-BA2DDEE14608}"/>
            </a:ext>
          </a:extLst>
        </xdr:cNvPr>
        <xdr:cNvSpPr/>
      </xdr:nvSpPr>
      <xdr:spPr>
        <a:xfrm>
          <a:off x="495300" y="99060"/>
          <a:ext cx="1447800" cy="4800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2000" b="1">
              <a:solidFill>
                <a:schemeClr val="tx1"/>
              </a:solidFill>
            </a:rPr>
            <a:t>INICIAR</a:t>
          </a:r>
        </a:p>
      </xdr:txBody>
    </xdr:sp>
    <xdr:clientData/>
  </xdr:twoCellAnchor>
  <xdr:twoCellAnchor>
    <xdr:from>
      <xdr:col>4</xdr:col>
      <xdr:colOff>7620</xdr:colOff>
      <xdr:row>1</xdr:row>
      <xdr:rowOff>0</xdr:rowOff>
    </xdr:from>
    <xdr:to>
      <xdr:col>4</xdr:col>
      <xdr:colOff>632460</xdr:colOff>
      <xdr:row>3</xdr:row>
      <xdr:rowOff>68580</xdr:rowOff>
    </xdr:to>
    <xdr:sp macro="[0]!Quitar_col" textlink="">
      <xdr:nvSpPr>
        <xdr:cNvPr id="6" name="CuadroTexto 5">
          <a:extLst>
            <a:ext uri="{FF2B5EF4-FFF2-40B4-BE49-F238E27FC236}">
              <a16:creationId xmlns:a16="http://schemas.microsoft.com/office/drawing/2014/main" id="{118E5FE4-7080-94C5-3653-ED0EA6CE3D14}"/>
            </a:ext>
          </a:extLst>
        </xdr:cNvPr>
        <xdr:cNvSpPr txBox="1"/>
      </xdr:nvSpPr>
      <xdr:spPr>
        <a:xfrm>
          <a:off x="3855720" y="182880"/>
          <a:ext cx="624840" cy="434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/>
            <a:t>1</a:t>
          </a:r>
        </a:p>
      </xdr:txBody>
    </xdr:sp>
    <xdr:clientData/>
  </xdr:twoCellAnchor>
  <xdr:twoCellAnchor>
    <xdr:from>
      <xdr:col>4</xdr:col>
      <xdr:colOff>1043940</xdr:colOff>
      <xdr:row>1</xdr:row>
      <xdr:rowOff>0</xdr:rowOff>
    </xdr:from>
    <xdr:to>
      <xdr:col>4</xdr:col>
      <xdr:colOff>1668780</xdr:colOff>
      <xdr:row>3</xdr:row>
      <xdr:rowOff>68580</xdr:rowOff>
    </xdr:to>
    <xdr:sp macro="[0]!Agregar_col" textlink="">
      <xdr:nvSpPr>
        <xdr:cNvPr id="7" name="CuadroTexto 6">
          <a:extLst>
            <a:ext uri="{FF2B5EF4-FFF2-40B4-BE49-F238E27FC236}">
              <a16:creationId xmlns:a16="http://schemas.microsoft.com/office/drawing/2014/main" id="{7E514A02-A54D-43E9-A71D-F540FBA423B7}"/>
            </a:ext>
          </a:extLst>
        </xdr:cNvPr>
        <xdr:cNvSpPr txBox="1"/>
      </xdr:nvSpPr>
      <xdr:spPr>
        <a:xfrm>
          <a:off x="4892040" y="182880"/>
          <a:ext cx="624840" cy="434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/>
            <a:t>2</a:t>
          </a:r>
        </a:p>
      </xdr:txBody>
    </xdr:sp>
    <xdr:clientData/>
  </xdr:twoCellAnchor>
  <xdr:twoCellAnchor>
    <xdr:from>
      <xdr:col>4</xdr:col>
      <xdr:colOff>2065020</xdr:colOff>
      <xdr:row>1</xdr:row>
      <xdr:rowOff>7620</xdr:rowOff>
    </xdr:from>
    <xdr:to>
      <xdr:col>6</xdr:col>
      <xdr:colOff>228600</xdr:colOff>
      <xdr:row>3</xdr:row>
      <xdr:rowOff>15240</xdr:rowOff>
    </xdr:to>
    <xdr:sp macro="[0]!Limpiar" textlink="">
      <xdr:nvSpPr>
        <xdr:cNvPr id="3" name="CuadroTexto 2">
          <a:extLst>
            <a:ext uri="{FF2B5EF4-FFF2-40B4-BE49-F238E27FC236}">
              <a16:creationId xmlns:a16="http://schemas.microsoft.com/office/drawing/2014/main" id="{2BB51FAA-3EE3-D3A9-88EE-B83234DCBBD6}"/>
            </a:ext>
          </a:extLst>
        </xdr:cNvPr>
        <xdr:cNvSpPr txBox="1"/>
      </xdr:nvSpPr>
      <xdr:spPr>
        <a:xfrm>
          <a:off x="5913120" y="190500"/>
          <a:ext cx="1028700" cy="3733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/>
            <a:t>LIMPIAR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655320</xdr:colOff>
      <xdr:row>0</xdr:row>
      <xdr:rowOff>60960</xdr:rowOff>
    </xdr:from>
    <xdr:to>
      <xdr:col>2</xdr:col>
      <xdr:colOff>922020</xdr:colOff>
      <xdr:row>2</xdr:row>
      <xdr:rowOff>152400</xdr:rowOff>
    </xdr:to>
    <xdr:sp macro="[0]!FiltrarYCopiar" textlink="">
      <xdr:nvSpPr>
        <xdr:cNvPr id="3" name="Rectángulo 2">
          <a:extLst>
            <a:ext uri="{FF2B5EF4-FFF2-40B4-BE49-F238E27FC236}">
              <a16:creationId xmlns:a16="http://schemas.microsoft.com/office/drawing/2014/main" id="{95D5D7BA-6608-C91E-13F0-3E515286EFC2}"/>
            </a:ext>
          </a:extLst>
        </xdr:cNvPr>
        <xdr:cNvSpPr/>
      </xdr:nvSpPr>
      <xdr:spPr>
        <a:xfrm>
          <a:off x="655320" y="60960"/>
          <a:ext cx="1577340" cy="45720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>
              <a:solidFill>
                <a:sysClr val="windowText" lastClr="000000"/>
              </a:solidFill>
            </a:rPr>
            <a:t>FILTRAR Y COPIAR</a:t>
          </a:r>
        </a:p>
      </xdr:txBody>
    </xdr:sp>
    <xdr:clientData/>
  </xdr:twoCellAnchor>
  <xdr:twoCellAnchor>
    <xdr:from>
      <xdr:col>3</xdr:col>
      <xdr:colOff>38100</xdr:colOff>
      <xdr:row>0</xdr:row>
      <xdr:rowOff>91440</xdr:rowOff>
    </xdr:from>
    <xdr:to>
      <xdr:col>4</xdr:col>
      <xdr:colOff>541020</xdr:colOff>
      <xdr:row>3</xdr:row>
      <xdr:rowOff>0</xdr:rowOff>
    </xdr:to>
    <xdr:sp macro="[0]!Ordenar" textlink="">
      <xdr:nvSpPr>
        <xdr:cNvPr id="2" name="CuadroTexto 1">
          <a:extLst>
            <a:ext uri="{FF2B5EF4-FFF2-40B4-BE49-F238E27FC236}">
              <a16:creationId xmlns:a16="http://schemas.microsoft.com/office/drawing/2014/main" id="{C88C953A-DCFA-2292-97C2-EAD9386EC674}"/>
            </a:ext>
          </a:extLst>
        </xdr:cNvPr>
        <xdr:cNvSpPr txBox="1"/>
      </xdr:nvSpPr>
      <xdr:spPr>
        <a:xfrm>
          <a:off x="3398520" y="91440"/>
          <a:ext cx="1188720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/>
            <a:t>ORDENAR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2118000</xdr:colOff>
      <xdr:row>3</xdr:row>
      <xdr:rowOff>59178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588F7116-6E52-41D0-A8CA-564CB29F4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18000" cy="60781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2118000</xdr:colOff>
      <xdr:row>3</xdr:row>
      <xdr:rowOff>59178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117B03A-6526-4809-9B37-8BD3FCA14A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18000" cy="60781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2118000</xdr:colOff>
      <xdr:row>3</xdr:row>
      <xdr:rowOff>59178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0B7EA37-3179-40EF-8616-B5A833F4E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18000" cy="60781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2118000</xdr:colOff>
      <xdr:row>3</xdr:row>
      <xdr:rowOff>59178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D763327-371E-4373-806B-988656669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18000" cy="6078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2118000</xdr:colOff>
      <xdr:row>3</xdr:row>
      <xdr:rowOff>59178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D4D0887-0A7C-487E-AA39-20FD5295AA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18000" cy="6078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2118000</xdr:colOff>
      <xdr:row>3</xdr:row>
      <xdr:rowOff>59178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23F32318-E821-4A08-8C75-6D95925067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18000" cy="60781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2118000</xdr:colOff>
      <xdr:row>3</xdr:row>
      <xdr:rowOff>59178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651974E-2E66-4E30-A3C2-5D47D4C39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18000" cy="6078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2118000</xdr:colOff>
      <xdr:row>3</xdr:row>
      <xdr:rowOff>59178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644B1E-B124-4015-9228-55A03FAB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18000" cy="6078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2118000</xdr:colOff>
      <xdr:row>3</xdr:row>
      <xdr:rowOff>59178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3277687-ED92-47B4-AC3D-9FEC1ED73A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18000" cy="60781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2118000</xdr:colOff>
      <xdr:row>3</xdr:row>
      <xdr:rowOff>59178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7BBD21-EDB3-4DCC-B73B-69E45FEC3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18000" cy="6078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2118000</xdr:colOff>
      <xdr:row>3</xdr:row>
      <xdr:rowOff>59178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26CB4F1-291B-463A-A92E-1915068CA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18000" cy="607818"/>
        </a:xfrm>
        <a:prstGeom prst="rect">
          <a:avLst/>
        </a:prstGeom>
      </xdr:spPr>
    </xdr:pic>
    <xdr:clientData/>
  </xdr:twoCellAnchor>
  <xdr:twoCellAnchor>
    <xdr:from>
      <xdr:col>2</xdr:col>
      <xdr:colOff>1096346</xdr:colOff>
      <xdr:row>1</xdr:row>
      <xdr:rowOff>7776</xdr:rowOff>
    </xdr:from>
    <xdr:to>
      <xdr:col>3</xdr:col>
      <xdr:colOff>497633</xdr:colOff>
      <xdr:row>3</xdr:row>
      <xdr:rowOff>0</xdr:rowOff>
    </xdr:to>
    <xdr:sp macro="[0]!Quitar_Par" textlink="">
      <xdr:nvSpPr>
        <xdr:cNvPr id="5" name="CuadroTexto 4">
          <a:extLst>
            <a:ext uri="{FF2B5EF4-FFF2-40B4-BE49-F238E27FC236}">
              <a16:creationId xmlns:a16="http://schemas.microsoft.com/office/drawing/2014/main" id="{CE98FFE6-94CB-A0EA-B816-8B159A457AC7}"/>
            </a:ext>
          </a:extLst>
        </xdr:cNvPr>
        <xdr:cNvSpPr txBox="1"/>
      </xdr:nvSpPr>
      <xdr:spPr>
        <a:xfrm>
          <a:off x="4564224" y="194388"/>
          <a:ext cx="660919" cy="3654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/>
            <a:t>1</a:t>
          </a:r>
        </a:p>
      </xdr:txBody>
    </xdr:sp>
    <xdr:clientData/>
  </xdr:twoCellAnchor>
  <xdr:twoCellAnchor>
    <xdr:from>
      <xdr:col>3</xdr:col>
      <xdr:colOff>660918</xdr:colOff>
      <xdr:row>0</xdr:row>
      <xdr:rowOff>178836</xdr:rowOff>
    </xdr:from>
    <xdr:to>
      <xdr:col>4</xdr:col>
      <xdr:colOff>528735</xdr:colOff>
      <xdr:row>2</xdr:row>
      <xdr:rowOff>171061</xdr:rowOff>
    </xdr:to>
    <xdr:sp macro="[0]!CopiarMora" textlink="">
      <xdr:nvSpPr>
        <xdr:cNvPr id="7" name="CuadroTexto 6">
          <a:extLst>
            <a:ext uri="{FF2B5EF4-FFF2-40B4-BE49-F238E27FC236}">
              <a16:creationId xmlns:a16="http://schemas.microsoft.com/office/drawing/2014/main" id="{3C32DC14-6C74-4216-8769-54AD3DA8CD25}"/>
            </a:ext>
          </a:extLst>
        </xdr:cNvPr>
        <xdr:cNvSpPr txBox="1"/>
      </xdr:nvSpPr>
      <xdr:spPr>
        <a:xfrm>
          <a:off x="5388428" y="178836"/>
          <a:ext cx="660919" cy="3654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/>
            <a:t>2</a:t>
          </a:r>
        </a:p>
      </xdr:txBody>
    </xdr:sp>
    <xdr:clientData/>
  </xdr:twoCellAnchor>
  <xdr:twoCellAnchor>
    <xdr:from>
      <xdr:col>4</xdr:col>
      <xdr:colOff>762000</xdr:colOff>
      <xdr:row>1</xdr:row>
      <xdr:rowOff>23327</xdr:rowOff>
    </xdr:from>
    <xdr:to>
      <xdr:col>4</xdr:col>
      <xdr:colOff>1547327</xdr:colOff>
      <xdr:row>3</xdr:row>
      <xdr:rowOff>7775</xdr:rowOff>
    </xdr:to>
    <xdr:sp macro="[0]!Agregar_Par" textlink="">
      <xdr:nvSpPr>
        <xdr:cNvPr id="9" name="CuadroTexto 8">
          <a:extLst>
            <a:ext uri="{FF2B5EF4-FFF2-40B4-BE49-F238E27FC236}">
              <a16:creationId xmlns:a16="http://schemas.microsoft.com/office/drawing/2014/main" id="{53031BB2-2D62-143F-ED51-6B30E93C4847}"/>
            </a:ext>
          </a:extLst>
        </xdr:cNvPr>
        <xdr:cNvSpPr txBox="1"/>
      </xdr:nvSpPr>
      <xdr:spPr>
        <a:xfrm>
          <a:off x="6282612" y="209939"/>
          <a:ext cx="785327" cy="3576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/>
            <a:t>3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76200</xdr:rowOff>
    </xdr:from>
    <xdr:to>
      <xdr:col>2</xdr:col>
      <xdr:colOff>807360</xdr:colOff>
      <xdr:row>3</xdr:row>
      <xdr:rowOff>146575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15AEA51-3DA3-411F-9D87-B813E0477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200"/>
          <a:ext cx="2118000" cy="619015"/>
        </a:xfrm>
        <a:prstGeom prst="rect">
          <a:avLst/>
        </a:prstGeom>
      </xdr:spPr>
    </xdr:pic>
    <xdr:clientData/>
  </xdr:twoCellAnchor>
  <xdr:twoCellAnchor>
    <xdr:from>
      <xdr:col>3</xdr:col>
      <xdr:colOff>60960</xdr:colOff>
      <xdr:row>0</xdr:row>
      <xdr:rowOff>175260</xdr:rowOff>
    </xdr:from>
    <xdr:to>
      <xdr:col>3</xdr:col>
      <xdr:colOff>563880</xdr:colOff>
      <xdr:row>3</xdr:row>
      <xdr:rowOff>0</xdr:rowOff>
    </xdr:to>
    <xdr:sp macro="[0]!SaldoVencido" textlink="">
      <xdr:nvSpPr>
        <xdr:cNvPr id="4" name="CuadroTexto 3">
          <a:extLst>
            <a:ext uri="{FF2B5EF4-FFF2-40B4-BE49-F238E27FC236}">
              <a16:creationId xmlns:a16="http://schemas.microsoft.com/office/drawing/2014/main" id="{6C775F95-D63A-14E7-F2CE-106A9B0BDF1E}"/>
            </a:ext>
          </a:extLst>
        </xdr:cNvPr>
        <xdr:cNvSpPr txBox="1"/>
      </xdr:nvSpPr>
      <xdr:spPr>
        <a:xfrm>
          <a:off x="3116580" y="175260"/>
          <a:ext cx="502920" cy="3733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/>
            <a:t>1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152400</xdr:rowOff>
    </xdr:from>
    <xdr:to>
      <xdr:col>2</xdr:col>
      <xdr:colOff>609240</xdr:colOff>
      <xdr:row>4</xdr:row>
      <xdr:rowOff>28698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247BFB9-FA85-4802-97D5-8FDB23DC3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152400"/>
          <a:ext cx="2118000" cy="60781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5DB6B-B128-42C2-89AB-FBE3C804B816}">
  <sheetPr codeName="Hoja7"/>
  <dimension ref="A3:BM220"/>
  <sheetViews>
    <sheetView workbookViewId="0">
      <selection activeCell="A5" sqref="A5:XFD220"/>
    </sheetView>
  </sheetViews>
  <sheetFormatPr baseColWidth="10" defaultRowHeight="14.4" x14ac:dyDescent="0.3"/>
  <cols>
    <col min="2" max="2" width="19.109375" bestFit="1" customWidth="1"/>
    <col min="3" max="3" width="13.88671875" bestFit="1" customWidth="1"/>
    <col min="5" max="5" width="30.21875" bestFit="1" customWidth="1"/>
    <col min="6" max="6" width="15.33203125" bestFit="1" customWidth="1"/>
    <col min="7" max="7" width="30.21875" bestFit="1" customWidth="1"/>
    <col min="10" max="10" width="38.33203125" bestFit="1" customWidth="1"/>
    <col min="54" max="54" width="38" bestFit="1" customWidth="1"/>
    <col min="55" max="55" width="35.21875" bestFit="1" customWidth="1"/>
    <col min="56" max="56" width="31.77734375" bestFit="1" customWidth="1"/>
    <col min="58" max="58" width="20" bestFit="1" customWidth="1"/>
    <col min="59" max="59" width="32.77734375" bestFit="1" customWidth="1"/>
    <col min="60" max="60" width="32.77734375" style="68" customWidth="1"/>
    <col min="61" max="61" width="32.77734375" customWidth="1"/>
  </cols>
  <sheetData>
    <row r="3" spans="1:65" x14ac:dyDescent="0.3">
      <c r="J3" s="1" t="s">
        <v>2533</v>
      </c>
    </row>
    <row r="4" spans="1:65" ht="69.599999999999994" x14ac:dyDescent="0.3">
      <c r="A4" s="56" t="s">
        <v>6</v>
      </c>
      <c r="B4" s="18" t="s">
        <v>0</v>
      </c>
      <c r="C4" s="18" t="s">
        <v>1</v>
      </c>
      <c r="D4" s="20" t="s">
        <v>2</v>
      </c>
      <c r="E4" s="20" t="s">
        <v>3</v>
      </c>
      <c r="F4" s="20" t="s">
        <v>4</v>
      </c>
      <c r="G4" s="20" t="s">
        <v>5</v>
      </c>
      <c r="H4" s="20" t="s">
        <v>6</v>
      </c>
      <c r="I4" s="18" t="s">
        <v>7</v>
      </c>
      <c r="J4" s="18" t="s">
        <v>8</v>
      </c>
      <c r="K4" s="21" t="s">
        <v>9</v>
      </c>
      <c r="L4" s="21" t="s">
        <v>10</v>
      </c>
      <c r="M4" s="22" t="s">
        <v>11</v>
      </c>
      <c r="N4" s="22" t="s">
        <v>12</v>
      </c>
      <c r="O4" s="23" t="s">
        <v>13</v>
      </c>
      <c r="P4" s="24" t="s">
        <v>14</v>
      </c>
      <c r="Q4" s="18" t="s">
        <v>15</v>
      </c>
      <c r="R4" s="22" t="s">
        <v>16</v>
      </c>
      <c r="S4" s="22" t="s">
        <v>17</v>
      </c>
      <c r="T4" s="22" t="s">
        <v>18</v>
      </c>
      <c r="U4" s="25" t="s">
        <v>19</v>
      </c>
      <c r="V4" s="22" t="s">
        <v>20</v>
      </c>
      <c r="W4" s="22" t="s">
        <v>21</v>
      </c>
      <c r="X4" s="22" t="s">
        <v>22</v>
      </c>
      <c r="Y4" s="25" t="s">
        <v>23</v>
      </c>
      <c r="Z4" s="25" t="s">
        <v>24</v>
      </c>
      <c r="AA4" s="25" t="s">
        <v>25</v>
      </c>
      <c r="AB4" s="25" t="s">
        <v>26</v>
      </c>
      <c r="AC4" s="22" t="s">
        <v>27</v>
      </c>
      <c r="AD4" s="21" t="s">
        <v>28</v>
      </c>
      <c r="AE4" s="20" t="s">
        <v>29</v>
      </c>
      <c r="AF4" s="20" t="s">
        <v>30</v>
      </c>
      <c r="AG4" s="20" t="s">
        <v>31</v>
      </c>
      <c r="AH4" s="20" t="s">
        <v>32</v>
      </c>
      <c r="AI4" s="20" t="s">
        <v>33</v>
      </c>
      <c r="AJ4" s="20" t="s">
        <v>34</v>
      </c>
      <c r="AK4" s="20" t="s">
        <v>35</v>
      </c>
      <c r="AL4" s="20" t="s">
        <v>36</v>
      </c>
      <c r="AM4" s="18" t="s">
        <v>1005</v>
      </c>
      <c r="AN4" s="18" t="s">
        <v>1006</v>
      </c>
      <c r="AO4" s="18" t="s">
        <v>1007</v>
      </c>
      <c r="AP4" s="18" t="s">
        <v>1008</v>
      </c>
      <c r="AQ4" s="18" t="s">
        <v>1009</v>
      </c>
      <c r="AR4" s="18" t="s">
        <v>1010</v>
      </c>
      <c r="AS4" s="18" t="s">
        <v>43</v>
      </c>
      <c r="AT4" s="19" t="s">
        <v>44</v>
      </c>
      <c r="AU4" s="18" t="s">
        <v>45</v>
      </c>
      <c r="AV4" s="18" t="s">
        <v>46</v>
      </c>
      <c r="AW4" s="19" t="s">
        <v>47</v>
      </c>
      <c r="AX4" s="18" t="s">
        <v>48</v>
      </c>
      <c r="AY4" s="22" t="s">
        <v>49</v>
      </c>
      <c r="AZ4" s="22" t="s">
        <v>50</v>
      </c>
      <c r="BA4" s="20" t="s">
        <v>51</v>
      </c>
      <c r="BB4" s="20" t="s">
        <v>52</v>
      </c>
      <c r="BC4" s="18" t="s">
        <v>53</v>
      </c>
      <c r="BD4" s="18" t="s">
        <v>54</v>
      </c>
      <c r="BE4" s="20" t="s">
        <v>55</v>
      </c>
      <c r="BF4" s="18" t="s">
        <v>56</v>
      </c>
      <c r="BG4" s="18" t="s">
        <v>1011</v>
      </c>
      <c r="BH4" s="69"/>
      <c r="BI4" s="14" t="s">
        <v>57</v>
      </c>
      <c r="BJ4" s="20" t="s">
        <v>58</v>
      </c>
      <c r="BK4" s="18" t="s">
        <v>59</v>
      </c>
      <c r="BL4" s="18" t="s">
        <v>60</v>
      </c>
    </row>
    <row r="5" spans="1:65" ht="14.4" customHeight="1" x14ac:dyDescent="0.3">
      <c r="A5" s="1" t="str">
        <f t="shared" ref="A5:A32" si="0">H5</f>
        <v>001004</v>
      </c>
      <c r="B5" s="70" t="s">
        <v>61</v>
      </c>
      <c r="C5" s="70" t="s">
        <v>62</v>
      </c>
      <c r="D5" s="70" t="s">
        <v>65</v>
      </c>
      <c r="E5" s="70" t="s">
        <v>66</v>
      </c>
      <c r="F5" s="70" t="s">
        <v>2783</v>
      </c>
      <c r="G5" s="70" t="s">
        <v>2784</v>
      </c>
      <c r="H5" s="70" t="s">
        <v>78</v>
      </c>
      <c r="I5" s="70" t="s">
        <v>67</v>
      </c>
      <c r="J5" s="70" t="s">
        <v>79</v>
      </c>
      <c r="K5" s="71">
        <v>45142</v>
      </c>
      <c r="L5" s="71">
        <v>45508</v>
      </c>
      <c r="M5" s="72">
        <v>50000</v>
      </c>
      <c r="N5" s="72">
        <v>52670.39</v>
      </c>
      <c r="O5" s="73">
        <v>497</v>
      </c>
      <c r="P5" s="73">
        <v>12</v>
      </c>
      <c r="Q5" s="70" t="s">
        <v>68</v>
      </c>
      <c r="R5" s="72">
        <v>8403.93</v>
      </c>
      <c r="S5" s="72">
        <v>696</v>
      </c>
      <c r="T5" s="72">
        <v>1715.44</v>
      </c>
      <c r="U5" s="72">
        <v>0</v>
      </c>
      <c r="V5" s="72">
        <v>2.6</v>
      </c>
      <c r="W5" s="72">
        <v>18787.5</v>
      </c>
      <c r="X5" s="72">
        <v>23943.170000000002</v>
      </c>
      <c r="Y5" s="72">
        <v>18787.48</v>
      </c>
      <c r="Z5" s="72">
        <v>2512.25</v>
      </c>
      <c r="AA5" s="72">
        <v>928</v>
      </c>
      <c r="AB5" s="72">
        <v>1715.44</v>
      </c>
      <c r="AC5" s="72">
        <v>4200</v>
      </c>
      <c r="AD5" s="71">
        <v>45709</v>
      </c>
      <c r="AE5" s="70" t="s">
        <v>69</v>
      </c>
      <c r="AF5" s="70" t="s">
        <v>80</v>
      </c>
      <c r="AG5" s="70" t="s">
        <v>81</v>
      </c>
      <c r="AH5" s="68"/>
      <c r="AI5" s="70" t="s">
        <v>82</v>
      </c>
      <c r="AJ5" s="70" t="s">
        <v>83</v>
      </c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72">
        <v>23943.19</v>
      </c>
      <c r="AZ5" s="72">
        <v>0</v>
      </c>
      <c r="BA5" s="70" t="s">
        <v>67</v>
      </c>
      <c r="BB5" s="70" t="s">
        <v>77</v>
      </c>
      <c r="BC5" s="70" t="s">
        <v>84</v>
      </c>
      <c r="BD5" s="70" t="s">
        <v>85</v>
      </c>
      <c r="BE5" s="70" t="s">
        <v>74</v>
      </c>
      <c r="BF5" s="70" t="s">
        <v>75</v>
      </c>
      <c r="BG5" s="68"/>
      <c r="BI5" s="68"/>
      <c r="BJ5" s="68"/>
      <c r="BK5" s="70">
        <v>20</v>
      </c>
      <c r="BL5" s="70">
        <v>19</v>
      </c>
      <c r="BM5" s="70" t="s">
        <v>2846</v>
      </c>
    </row>
    <row r="6" spans="1:65" ht="14.4" customHeight="1" x14ac:dyDescent="0.3">
      <c r="A6" s="1" t="str">
        <f t="shared" si="0"/>
        <v>001027</v>
      </c>
      <c r="B6" s="70" t="s">
        <v>61</v>
      </c>
      <c r="C6" s="70" t="s">
        <v>62</v>
      </c>
      <c r="D6" s="70" t="s">
        <v>65</v>
      </c>
      <c r="E6" s="70" t="s">
        <v>66</v>
      </c>
      <c r="F6" s="70" t="s">
        <v>2783</v>
      </c>
      <c r="G6" s="70" t="s">
        <v>2784</v>
      </c>
      <c r="H6" s="70" t="s">
        <v>91</v>
      </c>
      <c r="I6" s="70" t="s">
        <v>67</v>
      </c>
      <c r="J6" s="70" t="s">
        <v>92</v>
      </c>
      <c r="K6" s="71">
        <v>45268</v>
      </c>
      <c r="L6" s="71">
        <v>45634</v>
      </c>
      <c r="M6" s="72">
        <v>40000</v>
      </c>
      <c r="N6" s="72">
        <v>42136.31</v>
      </c>
      <c r="O6" s="73">
        <v>491</v>
      </c>
      <c r="P6" s="73">
        <v>12</v>
      </c>
      <c r="Q6" s="70" t="s">
        <v>68</v>
      </c>
      <c r="R6" s="72">
        <v>7264.24</v>
      </c>
      <c r="S6" s="72">
        <v>696</v>
      </c>
      <c r="T6" s="72">
        <v>3480</v>
      </c>
      <c r="U6" s="72">
        <v>0</v>
      </c>
      <c r="V6" s="72">
        <v>6.8</v>
      </c>
      <c r="W6" s="72">
        <v>31607.600000000002</v>
      </c>
      <c r="X6" s="72">
        <v>53407.880000000005</v>
      </c>
      <c r="Y6" s="72">
        <v>31607.600000000002</v>
      </c>
      <c r="Z6" s="72">
        <v>17392.28</v>
      </c>
      <c r="AA6" s="72">
        <v>928</v>
      </c>
      <c r="AB6" s="72">
        <v>3480</v>
      </c>
      <c r="AC6" s="72">
        <v>1500</v>
      </c>
      <c r="AD6" s="71">
        <v>45549</v>
      </c>
      <c r="AE6" s="70" t="s">
        <v>69</v>
      </c>
      <c r="AF6" s="70" t="s">
        <v>93</v>
      </c>
      <c r="AG6" s="68"/>
      <c r="AH6" s="68"/>
      <c r="AI6" s="70" t="s">
        <v>94</v>
      </c>
      <c r="AJ6" s="70" t="s">
        <v>95</v>
      </c>
      <c r="AK6" s="68"/>
      <c r="AL6" s="68"/>
      <c r="AM6" s="68"/>
      <c r="AN6" s="68"/>
      <c r="AO6" s="68"/>
      <c r="AP6" s="68"/>
      <c r="AQ6" s="68"/>
      <c r="AR6" s="68"/>
      <c r="AS6" s="68"/>
      <c r="AT6" s="68"/>
      <c r="AU6" s="68"/>
      <c r="AV6" s="68"/>
      <c r="AW6" s="68"/>
      <c r="AX6" s="68"/>
      <c r="AY6" s="72">
        <v>53407.880000000005</v>
      </c>
      <c r="AZ6" s="72">
        <v>0</v>
      </c>
      <c r="BA6" s="70" t="s">
        <v>67</v>
      </c>
      <c r="BB6" s="70" t="s">
        <v>72</v>
      </c>
      <c r="BC6" s="70" t="s">
        <v>96</v>
      </c>
      <c r="BD6" s="70" t="s">
        <v>97</v>
      </c>
      <c r="BE6" s="70" t="s">
        <v>74</v>
      </c>
      <c r="BF6" s="70" t="s">
        <v>75</v>
      </c>
      <c r="BG6" s="68"/>
      <c r="BI6" s="68"/>
      <c r="BJ6" s="68"/>
      <c r="BK6" s="70">
        <v>19</v>
      </c>
      <c r="BL6" s="70">
        <v>19</v>
      </c>
      <c r="BM6" s="70" t="s">
        <v>2847</v>
      </c>
    </row>
    <row r="7" spans="1:65" ht="14.4" customHeight="1" x14ac:dyDescent="0.3">
      <c r="A7" s="1" t="str">
        <f t="shared" si="0"/>
        <v>001039</v>
      </c>
      <c r="B7" s="70" t="s">
        <v>61</v>
      </c>
      <c r="C7" s="70" t="s">
        <v>62</v>
      </c>
      <c r="D7" s="70" t="s">
        <v>63</v>
      </c>
      <c r="E7" s="70" t="s">
        <v>64</v>
      </c>
      <c r="F7" s="70" t="s">
        <v>2783</v>
      </c>
      <c r="G7" s="70" t="s">
        <v>2784</v>
      </c>
      <c r="H7" s="70" t="s">
        <v>109</v>
      </c>
      <c r="I7" s="70" t="s">
        <v>67</v>
      </c>
      <c r="J7" s="70" t="s">
        <v>110</v>
      </c>
      <c r="K7" s="71">
        <v>45322</v>
      </c>
      <c r="L7" s="71">
        <v>45566</v>
      </c>
      <c r="M7" s="72">
        <v>15000.01</v>
      </c>
      <c r="N7" s="72">
        <v>15801.12</v>
      </c>
      <c r="O7" s="73">
        <v>498</v>
      </c>
      <c r="P7" s="73">
        <v>8</v>
      </c>
      <c r="Q7" s="70" t="s">
        <v>68</v>
      </c>
      <c r="R7" s="72">
        <v>3393.84</v>
      </c>
      <c r="S7" s="72">
        <v>464</v>
      </c>
      <c r="T7" s="72">
        <v>3480</v>
      </c>
      <c r="U7" s="72">
        <v>0</v>
      </c>
      <c r="V7" s="72">
        <v>5</v>
      </c>
      <c r="W7" s="72">
        <v>11656.93</v>
      </c>
      <c r="X7" s="72">
        <v>21138.720000000001</v>
      </c>
      <c r="Y7" s="72">
        <v>11656.93</v>
      </c>
      <c r="Z7" s="72">
        <v>5022.2700000000004</v>
      </c>
      <c r="AA7" s="72">
        <v>979.52</v>
      </c>
      <c r="AB7" s="72">
        <v>3480</v>
      </c>
      <c r="AC7" s="72">
        <v>3400</v>
      </c>
      <c r="AD7" s="71">
        <v>45413</v>
      </c>
      <c r="AE7" s="70" t="s">
        <v>69</v>
      </c>
      <c r="AF7" s="70" t="s">
        <v>111</v>
      </c>
      <c r="AG7" s="68"/>
      <c r="AH7" s="68"/>
      <c r="AI7" s="70" t="s">
        <v>70</v>
      </c>
      <c r="AJ7" s="70" t="s">
        <v>71</v>
      </c>
      <c r="AK7" s="68"/>
      <c r="AL7" s="68"/>
      <c r="AM7" s="68"/>
      <c r="AN7" s="68"/>
      <c r="AO7" s="68"/>
      <c r="AP7" s="68"/>
      <c r="AQ7" s="68"/>
      <c r="AR7" s="68"/>
      <c r="AS7" s="68"/>
      <c r="AT7" s="68"/>
      <c r="AU7" s="68"/>
      <c r="AV7" s="68"/>
      <c r="AW7" s="68"/>
      <c r="AX7" s="68"/>
      <c r="AY7" s="72">
        <v>21138.720000000001</v>
      </c>
      <c r="AZ7" s="72">
        <v>0</v>
      </c>
      <c r="BA7" s="70" t="s">
        <v>67</v>
      </c>
      <c r="BB7" s="70" t="s">
        <v>72</v>
      </c>
      <c r="BC7" s="70" t="s">
        <v>112</v>
      </c>
      <c r="BD7" s="70" t="s">
        <v>88</v>
      </c>
      <c r="BE7" s="70" t="s">
        <v>74</v>
      </c>
      <c r="BF7" s="70" t="s">
        <v>75</v>
      </c>
      <c r="BG7" s="68"/>
      <c r="BI7" s="68"/>
      <c r="BJ7" s="68"/>
      <c r="BK7" s="70">
        <v>17</v>
      </c>
      <c r="BL7" s="70">
        <v>17</v>
      </c>
      <c r="BM7" s="70" t="s">
        <v>2846</v>
      </c>
    </row>
    <row r="8" spans="1:65" ht="14.4" customHeight="1" x14ac:dyDescent="0.3">
      <c r="A8" s="1" t="str">
        <f t="shared" si="0"/>
        <v>001037</v>
      </c>
      <c r="B8" s="70" t="s">
        <v>61</v>
      </c>
      <c r="C8" s="70" t="s">
        <v>62</v>
      </c>
      <c r="D8" s="70" t="s">
        <v>65</v>
      </c>
      <c r="E8" s="70" t="s">
        <v>66</v>
      </c>
      <c r="F8" s="70" t="s">
        <v>2783</v>
      </c>
      <c r="G8" s="70" t="s">
        <v>2784</v>
      </c>
      <c r="H8" s="70" t="s">
        <v>103</v>
      </c>
      <c r="I8" s="70" t="s">
        <v>67</v>
      </c>
      <c r="J8" s="70" t="s">
        <v>104</v>
      </c>
      <c r="K8" s="71">
        <v>45322</v>
      </c>
      <c r="L8" s="71">
        <v>45566</v>
      </c>
      <c r="M8" s="72">
        <v>20000</v>
      </c>
      <c r="N8" s="72">
        <v>21068.16</v>
      </c>
      <c r="O8" s="73">
        <v>439</v>
      </c>
      <c r="P8" s="73">
        <v>8</v>
      </c>
      <c r="Q8" s="70" t="s">
        <v>68</v>
      </c>
      <c r="R8" s="72">
        <v>4505.78</v>
      </c>
      <c r="S8" s="72">
        <v>464</v>
      </c>
      <c r="T8" s="72">
        <v>2320</v>
      </c>
      <c r="U8" s="72">
        <v>0</v>
      </c>
      <c r="V8" s="72">
        <v>3</v>
      </c>
      <c r="W8" s="72">
        <v>10454.49</v>
      </c>
      <c r="X8" s="72">
        <v>16530.25</v>
      </c>
      <c r="Y8" s="72">
        <v>10454.51</v>
      </c>
      <c r="Z8" s="72">
        <v>2888.83</v>
      </c>
      <c r="AA8" s="72">
        <v>866.91</v>
      </c>
      <c r="AB8" s="72">
        <v>2320</v>
      </c>
      <c r="AC8" s="72">
        <v>4520</v>
      </c>
      <c r="AD8" s="71">
        <v>45498</v>
      </c>
      <c r="AE8" s="70" t="s">
        <v>69</v>
      </c>
      <c r="AF8" s="70" t="s">
        <v>105</v>
      </c>
      <c r="AG8" s="68"/>
      <c r="AH8" s="68"/>
      <c r="AI8" s="70" t="s">
        <v>70</v>
      </c>
      <c r="AJ8" s="70" t="s">
        <v>71</v>
      </c>
      <c r="AK8" s="70" t="s">
        <v>106</v>
      </c>
      <c r="AL8" s="70" t="s">
        <v>107</v>
      </c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72">
        <v>16530.23</v>
      </c>
      <c r="AZ8" s="72">
        <v>0</v>
      </c>
      <c r="BA8" s="70" t="s">
        <v>67</v>
      </c>
      <c r="BB8" s="70" t="s">
        <v>72</v>
      </c>
      <c r="BC8" s="70" t="s">
        <v>108</v>
      </c>
      <c r="BD8" s="70" t="s">
        <v>73</v>
      </c>
      <c r="BE8" s="70" t="s">
        <v>74</v>
      </c>
      <c r="BF8" s="70" t="s">
        <v>75</v>
      </c>
      <c r="BG8" s="68"/>
      <c r="BI8" s="68"/>
      <c r="BJ8" s="68"/>
      <c r="BK8" s="70">
        <v>18</v>
      </c>
      <c r="BL8" s="70">
        <v>18</v>
      </c>
      <c r="BM8" s="70" t="s">
        <v>2846</v>
      </c>
    </row>
    <row r="9" spans="1:65" ht="14.4" customHeight="1" x14ac:dyDescent="0.3">
      <c r="A9" s="1" t="str">
        <f t="shared" si="0"/>
        <v>001415</v>
      </c>
      <c r="B9" s="70" t="s">
        <v>61</v>
      </c>
      <c r="C9" s="70" t="s">
        <v>62</v>
      </c>
      <c r="D9" s="70" t="s">
        <v>183</v>
      </c>
      <c r="E9" s="70" t="s">
        <v>184</v>
      </c>
      <c r="F9" s="70" t="s">
        <v>590</v>
      </c>
      <c r="G9" s="70" t="s">
        <v>2763</v>
      </c>
      <c r="H9" s="70" t="s">
        <v>1939</v>
      </c>
      <c r="I9" s="70" t="s">
        <v>67</v>
      </c>
      <c r="J9" s="70" t="s">
        <v>1222</v>
      </c>
      <c r="K9" s="71">
        <v>45827</v>
      </c>
      <c r="L9" s="71">
        <v>46163</v>
      </c>
      <c r="M9" s="72">
        <v>30000</v>
      </c>
      <c r="N9" s="72">
        <v>31602.23</v>
      </c>
      <c r="O9" s="73">
        <v>0</v>
      </c>
      <c r="P9" s="73">
        <v>48</v>
      </c>
      <c r="Q9" s="70" t="s">
        <v>469</v>
      </c>
      <c r="R9" s="72">
        <v>1245.82</v>
      </c>
      <c r="S9" s="72">
        <v>2784</v>
      </c>
      <c r="T9" s="72">
        <v>0</v>
      </c>
      <c r="U9" s="72">
        <v>16</v>
      </c>
      <c r="V9" s="72">
        <v>0</v>
      </c>
      <c r="W9" s="72">
        <v>19751.39</v>
      </c>
      <c r="X9" s="72">
        <v>0</v>
      </c>
      <c r="Y9" s="74">
        <v>0</v>
      </c>
      <c r="Z9" s="74">
        <v>0</v>
      </c>
      <c r="AA9" s="74">
        <v>0</v>
      </c>
      <c r="AB9" s="72">
        <v>0</v>
      </c>
      <c r="AC9" s="72">
        <v>1500</v>
      </c>
      <c r="AD9" s="71">
        <v>45939</v>
      </c>
      <c r="AE9" s="70" t="s">
        <v>69</v>
      </c>
      <c r="AF9" s="70" t="s">
        <v>1940</v>
      </c>
      <c r="AG9" s="70" t="s">
        <v>1940</v>
      </c>
      <c r="AH9" s="68"/>
      <c r="AI9" s="70" t="s">
        <v>1223</v>
      </c>
      <c r="AJ9" s="70" t="s">
        <v>1941</v>
      </c>
      <c r="AK9" s="68"/>
      <c r="AL9" s="68"/>
      <c r="AM9" s="70" t="s">
        <v>1224</v>
      </c>
      <c r="AN9" s="70" t="s">
        <v>1942</v>
      </c>
      <c r="AO9" s="70" t="s">
        <v>1225</v>
      </c>
      <c r="AP9" s="70" t="s">
        <v>1943</v>
      </c>
      <c r="AQ9" s="70" t="s">
        <v>1226</v>
      </c>
      <c r="AR9" s="70" t="s">
        <v>1944</v>
      </c>
      <c r="AS9" s="68"/>
      <c r="AT9" s="68"/>
      <c r="AU9" s="68"/>
      <c r="AV9" s="68"/>
      <c r="AW9" s="68"/>
      <c r="AX9" s="68"/>
      <c r="AY9" s="72">
        <v>35443.480000000003</v>
      </c>
      <c r="AZ9" s="72">
        <v>2566.8433</v>
      </c>
      <c r="BA9" s="70" t="s">
        <v>67</v>
      </c>
      <c r="BB9" s="70" t="s">
        <v>1044</v>
      </c>
      <c r="BC9" s="70" t="s">
        <v>3020</v>
      </c>
      <c r="BD9" s="70" t="s">
        <v>88</v>
      </c>
      <c r="BE9" s="70" t="s">
        <v>74</v>
      </c>
      <c r="BF9" s="70" t="s">
        <v>75</v>
      </c>
      <c r="BG9" s="70" t="s">
        <v>1227</v>
      </c>
      <c r="BH9" s="70"/>
      <c r="BI9" s="68"/>
      <c r="BJ9" s="68"/>
      <c r="BK9" s="70">
        <v>0</v>
      </c>
      <c r="BL9" s="70">
        <v>0</v>
      </c>
      <c r="BM9" s="70" t="s">
        <v>2847</v>
      </c>
    </row>
    <row r="10" spans="1:65" ht="14.4" customHeight="1" x14ac:dyDescent="0.3">
      <c r="A10" s="1" t="str">
        <f t="shared" si="0"/>
        <v>001416</v>
      </c>
      <c r="B10" s="70" t="s">
        <v>61</v>
      </c>
      <c r="C10" s="70" t="s">
        <v>62</v>
      </c>
      <c r="D10" s="70" t="s">
        <v>183</v>
      </c>
      <c r="E10" s="70" t="s">
        <v>184</v>
      </c>
      <c r="F10" s="70" t="s">
        <v>590</v>
      </c>
      <c r="G10" s="70" t="s">
        <v>2763</v>
      </c>
      <c r="H10" s="70" t="s">
        <v>1945</v>
      </c>
      <c r="I10" s="70" t="s">
        <v>67</v>
      </c>
      <c r="J10" s="70" t="s">
        <v>1228</v>
      </c>
      <c r="K10" s="71">
        <v>45827</v>
      </c>
      <c r="L10" s="71">
        <v>46192</v>
      </c>
      <c r="M10" s="72">
        <v>10000</v>
      </c>
      <c r="N10" s="72">
        <v>10534.08</v>
      </c>
      <c r="O10" s="73">
        <v>0</v>
      </c>
      <c r="P10" s="73">
        <v>12</v>
      </c>
      <c r="Q10" s="70" t="s">
        <v>68</v>
      </c>
      <c r="R10" s="72">
        <v>1702.69</v>
      </c>
      <c r="S10" s="72">
        <v>696</v>
      </c>
      <c r="T10" s="72">
        <v>0</v>
      </c>
      <c r="U10" s="72">
        <v>0</v>
      </c>
      <c r="V10" s="72">
        <v>0</v>
      </c>
      <c r="W10" s="72">
        <v>7900.56</v>
      </c>
      <c r="X10" s="72">
        <v>0</v>
      </c>
      <c r="Y10" s="72">
        <v>0</v>
      </c>
      <c r="Z10" s="72">
        <v>0</v>
      </c>
      <c r="AA10" s="74">
        <v>0</v>
      </c>
      <c r="AB10" s="72">
        <v>0</v>
      </c>
      <c r="AC10" s="72">
        <v>1703</v>
      </c>
      <c r="AD10" s="71">
        <v>45919</v>
      </c>
      <c r="AE10" s="70" t="s">
        <v>69</v>
      </c>
      <c r="AF10" s="70" t="s">
        <v>1946</v>
      </c>
      <c r="AG10" s="70" t="s">
        <v>1229</v>
      </c>
      <c r="AH10" s="68"/>
      <c r="AI10" s="70" t="s">
        <v>526</v>
      </c>
      <c r="AJ10" s="70" t="s">
        <v>527</v>
      </c>
      <c r="AK10" s="70" t="s">
        <v>1230</v>
      </c>
      <c r="AL10" s="70" t="s">
        <v>1946</v>
      </c>
      <c r="AM10" s="70" t="s">
        <v>1231</v>
      </c>
      <c r="AN10" s="70" t="s">
        <v>1947</v>
      </c>
      <c r="AO10" s="70" t="s">
        <v>1232</v>
      </c>
      <c r="AP10" s="70" t="s">
        <v>1948</v>
      </c>
      <c r="AQ10" s="70" t="s">
        <v>1233</v>
      </c>
      <c r="AR10" s="70" t="s">
        <v>1949</v>
      </c>
      <c r="AS10" s="68"/>
      <c r="AT10" s="68"/>
      <c r="AU10" s="68"/>
      <c r="AV10" s="68"/>
      <c r="AW10" s="68"/>
      <c r="AX10" s="68"/>
      <c r="AY10" s="72">
        <v>14801.61</v>
      </c>
      <c r="AZ10" s="72">
        <v>0.61471200000000004</v>
      </c>
      <c r="BA10" s="70" t="s">
        <v>67</v>
      </c>
      <c r="BB10" s="70" t="s">
        <v>1044</v>
      </c>
      <c r="BC10" s="70" t="s">
        <v>2983</v>
      </c>
      <c r="BD10" s="70" t="s">
        <v>340</v>
      </c>
      <c r="BE10" s="70" t="s">
        <v>74</v>
      </c>
      <c r="BF10" s="70" t="s">
        <v>75</v>
      </c>
      <c r="BG10" s="70" t="s">
        <v>1234</v>
      </c>
      <c r="BH10" s="70"/>
      <c r="BI10" s="68"/>
      <c r="BJ10" s="68"/>
      <c r="BK10" s="70">
        <v>0</v>
      </c>
      <c r="BL10" s="70">
        <v>0</v>
      </c>
      <c r="BM10" s="70" t="s">
        <v>2847</v>
      </c>
    </row>
    <row r="11" spans="1:65" ht="14.4" customHeight="1" x14ac:dyDescent="0.3">
      <c r="A11" s="1" t="str">
        <f t="shared" si="0"/>
        <v>001308</v>
      </c>
      <c r="B11" s="70" t="s">
        <v>61</v>
      </c>
      <c r="C11" s="70" t="s">
        <v>62</v>
      </c>
      <c r="D11" s="70" t="s">
        <v>408</v>
      </c>
      <c r="E11" s="70" t="s">
        <v>409</v>
      </c>
      <c r="F11" s="70" t="s">
        <v>590</v>
      </c>
      <c r="G11" s="70" t="s">
        <v>2763</v>
      </c>
      <c r="H11" s="70" t="s">
        <v>1883</v>
      </c>
      <c r="I11" s="70" t="s">
        <v>67</v>
      </c>
      <c r="J11" s="70" t="s">
        <v>558</v>
      </c>
      <c r="K11" s="71">
        <v>45789</v>
      </c>
      <c r="L11" s="71">
        <v>46154</v>
      </c>
      <c r="M11" s="72">
        <v>10000</v>
      </c>
      <c r="N11" s="72">
        <v>10534.08</v>
      </c>
      <c r="O11" s="73">
        <v>0</v>
      </c>
      <c r="P11" s="73">
        <v>12</v>
      </c>
      <c r="Q11" s="70" t="s">
        <v>68</v>
      </c>
      <c r="R11" s="72">
        <v>1702.69</v>
      </c>
      <c r="S11" s="72">
        <v>696</v>
      </c>
      <c r="T11" s="72">
        <v>0</v>
      </c>
      <c r="U11" s="72">
        <v>0</v>
      </c>
      <c r="V11" s="72">
        <v>0</v>
      </c>
      <c r="W11" s="72">
        <v>6144.89</v>
      </c>
      <c r="X11" s="72">
        <v>0.01</v>
      </c>
      <c r="Y11" s="72">
        <v>0.01</v>
      </c>
      <c r="Z11" s="72">
        <v>0</v>
      </c>
      <c r="AA11" s="72">
        <v>0</v>
      </c>
      <c r="AB11" s="72">
        <v>0</v>
      </c>
      <c r="AC11" s="72">
        <v>1702.69</v>
      </c>
      <c r="AD11" s="71">
        <v>45943</v>
      </c>
      <c r="AE11" s="70" t="s">
        <v>69</v>
      </c>
      <c r="AF11" s="70" t="s">
        <v>1884</v>
      </c>
      <c r="AG11" s="70" t="s">
        <v>559</v>
      </c>
      <c r="AH11" s="68"/>
      <c r="AI11" s="70" t="s">
        <v>523</v>
      </c>
      <c r="AJ11" s="70" t="s">
        <v>1879</v>
      </c>
      <c r="AK11" s="68"/>
      <c r="AL11" s="68"/>
      <c r="AM11" s="70" t="s">
        <v>739</v>
      </c>
      <c r="AN11" s="70" t="s">
        <v>1885</v>
      </c>
      <c r="AO11" s="70" t="s">
        <v>737</v>
      </c>
      <c r="AP11" s="70" t="s">
        <v>1886</v>
      </c>
      <c r="AQ11" s="70" t="s">
        <v>738</v>
      </c>
      <c r="AR11" s="70" t="s">
        <v>1887</v>
      </c>
      <c r="AS11" s="68"/>
      <c r="AT11" s="68"/>
      <c r="AU11" s="68"/>
      <c r="AV11" s="68"/>
      <c r="AW11" s="68"/>
      <c r="AX11" s="68"/>
      <c r="AY11" s="72">
        <v>11512.85</v>
      </c>
      <c r="AZ11" s="72">
        <v>0</v>
      </c>
      <c r="BA11" s="70" t="s">
        <v>67</v>
      </c>
      <c r="BB11" s="70" t="s">
        <v>1044</v>
      </c>
      <c r="BC11" s="70" t="s">
        <v>3007</v>
      </c>
      <c r="BD11" s="70" t="s">
        <v>88</v>
      </c>
      <c r="BE11" s="70" t="s">
        <v>74</v>
      </c>
      <c r="BF11" s="70" t="s">
        <v>75</v>
      </c>
      <c r="BG11" s="68"/>
      <c r="BI11" s="68"/>
      <c r="BJ11" s="68"/>
      <c r="BK11" s="70">
        <v>1</v>
      </c>
      <c r="BL11" s="70">
        <v>1</v>
      </c>
      <c r="BM11" s="70" t="s">
        <v>2847</v>
      </c>
    </row>
    <row r="12" spans="1:65" ht="14.4" customHeight="1" x14ac:dyDescent="0.3">
      <c r="A12" s="1" t="str">
        <f t="shared" si="0"/>
        <v>001429</v>
      </c>
      <c r="B12" s="70" t="s">
        <v>61</v>
      </c>
      <c r="C12" s="70" t="s">
        <v>62</v>
      </c>
      <c r="D12" s="70" t="s">
        <v>1429</v>
      </c>
      <c r="E12" s="70" t="s">
        <v>617</v>
      </c>
      <c r="F12" s="70" t="s">
        <v>590</v>
      </c>
      <c r="G12" s="70" t="s">
        <v>2763</v>
      </c>
      <c r="H12" s="70" t="s">
        <v>1961</v>
      </c>
      <c r="I12" s="70" t="s">
        <v>67</v>
      </c>
      <c r="J12" s="70" t="s">
        <v>1322</v>
      </c>
      <c r="K12" s="71">
        <v>45832</v>
      </c>
      <c r="L12" s="71">
        <v>46015</v>
      </c>
      <c r="M12" s="72">
        <v>8000</v>
      </c>
      <c r="N12" s="72">
        <v>8427.26</v>
      </c>
      <c r="O12" s="73">
        <v>0</v>
      </c>
      <c r="P12" s="73">
        <v>6</v>
      </c>
      <c r="Q12" s="70" t="s">
        <v>68</v>
      </c>
      <c r="R12" s="72">
        <v>2077.71</v>
      </c>
      <c r="S12" s="72">
        <v>348</v>
      </c>
      <c r="T12" s="72">
        <v>0</v>
      </c>
      <c r="U12" s="72">
        <v>0</v>
      </c>
      <c r="V12" s="72">
        <v>0</v>
      </c>
      <c r="W12" s="72">
        <v>4213.63</v>
      </c>
      <c r="X12" s="72">
        <v>0</v>
      </c>
      <c r="Y12" s="72">
        <v>0</v>
      </c>
      <c r="Z12" s="74">
        <v>0</v>
      </c>
      <c r="AA12" s="74">
        <v>0</v>
      </c>
      <c r="AB12" s="72">
        <v>0</v>
      </c>
      <c r="AC12" s="72">
        <v>2200</v>
      </c>
      <c r="AD12" s="71">
        <v>45922</v>
      </c>
      <c r="AE12" s="70" t="s">
        <v>69</v>
      </c>
      <c r="AF12" s="70" t="s">
        <v>1962</v>
      </c>
      <c r="AG12" s="70" t="s">
        <v>1323</v>
      </c>
      <c r="AH12" s="68"/>
      <c r="AI12" s="70" t="s">
        <v>1324</v>
      </c>
      <c r="AJ12" s="70" t="s">
        <v>1963</v>
      </c>
      <c r="AK12" s="70" t="s">
        <v>1325</v>
      </c>
      <c r="AL12" s="70" t="s">
        <v>1962</v>
      </c>
      <c r="AM12" s="70" t="s">
        <v>1326</v>
      </c>
      <c r="AN12" s="70" t="s">
        <v>1964</v>
      </c>
      <c r="AO12" s="70" t="s">
        <v>1327</v>
      </c>
      <c r="AP12" s="70" t="s">
        <v>1965</v>
      </c>
      <c r="AQ12" s="70" t="s">
        <v>1328</v>
      </c>
      <c r="AR12" s="70" t="s">
        <v>1966</v>
      </c>
      <c r="AS12" s="68"/>
      <c r="AT12" s="68"/>
      <c r="AU12" s="68"/>
      <c r="AV12" s="68"/>
      <c r="AW12" s="68"/>
      <c r="AX12" s="68"/>
      <c r="AY12" s="72">
        <v>5692.2300000000005</v>
      </c>
      <c r="AZ12" s="72">
        <v>366.88433259999999</v>
      </c>
      <c r="BA12" s="70" t="s">
        <v>67</v>
      </c>
      <c r="BB12" s="70" t="s">
        <v>1044</v>
      </c>
      <c r="BC12" s="70" t="s">
        <v>2961</v>
      </c>
      <c r="BD12" s="70" t="s">
        <v>1107</v>
      </c>
      <c r="BE12" s="70" t="s">
        <v>74</v>
      </c>
      <c r="BF12" s="70" t="s">
        <v>338</v>
      </c>
      <c r="BG12" s="70" t="s">
        <v>2591</v>
      </c>
      <c r="BH12" s="70"/>
      <c r="BI12" s="68"/>
      <c r="BJ12" s="68"/>
      <c r="BK12" s="70">
        <v>0</v>
      </c>
      <c r="BL12" s="70">
        <v>0</v>
      </c>
      <c r="BM12" s="70" t="s">
        <v>2847</v>
      </c>
    </row>
    <row r="13" spans="1:65" ht="14.4" customHeight="1" x14ac:dyDescent="0.3">
      <c r="A13" s="1" t="str">
        <f t="shared" si="0"/>
        <v>001188</v>
      </c>
      <c r="B13" s="70" t="s">
        <v>61</v>
      </c>
      <c r="C13" s="70" t="s">
        <v>62</v>
      </c>
      <c r="D13" s="70" t="s">
        <v>183</v>
      </c>
      <c r="E13" s="70" t="s">
        <v>184</v>
      </c>
      <c r="F13" s="70" t="s">
        <v>590</v>
      </c>
      <c r="G13" s="70" t="s">
        <v>2763</v>
      </c>
      <c r="H13" s="70" t="s">
        <v>1411</v>
      </c>
      <c r="I13" s="70" t="s">
        <v>67</v>
      </c>
      <c r="J13" s="70" t="s">
        <v>152</v>
      </c>
      <c r="K13" s="71">
        <v>45707</v>
      </c>
      <c r="L13" s="71">
        <v>46072</v>
      </c>
      <c r="M13" s="72">
        <v>20000</v>
      </c>
      <c r="N13" s="72">
        <v>21068.16</v>
      </c>
      <c r="O13" s="73">
        <v>0</v>
      </c>
      <c r="P13" s="73">
        <v>12</v>
      </c>
      <c r="Q13" s="70" t="s">
        <v>68</v>
      </c>
      <c r="R13" s="72">
        <v>3015.02</v>
      </c>
      <c r="S13" s="72">
        <v>696</v>
      </c>
      <c r="T13" s="72">
        <v>0</v>
      </c>
      <c r="U13" s="72">
        <v>0</v>
      </c>
      <c r="V13" s="72">
        <v>0</v>
      </c>
      <c r="W13" s="72">
        <v>11472.01</v>
      </c>
      <c r="X13" s="72">
        <v>0</v>
      </c>
      <c r="Y13" s="72">
        <v>0</v>
      </c>
      <c r="Z13" s="72">
        <v>0</v>
      </c>
      <c r="AA13" s="74">
        <v>0</v>
      </c>
      <c r="AB13" s="72">
        <v>0</v>
      </c>
      <c r="AC13" s="72">
        <v>3016</v>
      </c>
      <c r="AD13" s="71">
        <v>45919</v>
      </c>
      <c r="AE13" s="70" t="s">
        <v>69</v>
      </c>
      <c r="AF13" s="70" t="s">
        <v>1412</v>
      </c>
      <c r="AG13" s="70" t="s">
        <v>153</v>
      </c>
      <c r="AH13" s="68"/>
      <c r="AI13" s="70" t="s">
        <v>154</v>
      </c>
      <c r="AJ13" s="70" t="s">
        <v>1413</v>
      </c>
      <c r="AK13" s="68"/>
      <c r="AL13" s="68"/>
      <c r="AM13" s="70" t="s">
        <v>716</v>
      </c>
      <c r="AN13" s="70" t="s">
        <v>1414</v>
      </c>
      <c r="AO13" s="70" t="s">
        <v>714</v>
      </c>
      <c r="AP13" s="70" t="s">
        <v>1415</v>
      </c>
      <c r="AQ13" s="70" t="s">
        <v>715</v>
      </c>
      <c r="AR13" s="70" t="s">
        <v>1416</v>
      </c>
      <c r="AS13" s="70" t="s">
        <v>122</v>
      </c>
      <c r="AT13" s="68" t="s">
        <v>155</v>
      </c>
      <c r="AU13" s="70" t="s">
        <v>156</v>
      </c>
      <c r="AV13" s="70" t="s">
        <v>157</v>
      </c>
      <c r="AW13" s="75" t="s">
        <v>158</v>
      </c>
      <c r="AX13" s="70" t="s">
        <v>159</v>
      </c>
      <c r="AY13" s="72">
        <v>11449.15</v>
      </c>
      <c r="AZ13" s="72">
        <v>22.86</v>
      </c>
      <c r="BA13" s="70" t="s">
        <v>135</v>
      </c>
      <c r="BB13" s="70" t="s">
        <v>136</v>
      </c>
      <c r="BC13" s="70" t="s">
        <v>2900</v>
      </c>
      <c r="BD13" s="70" t="s">
        <v>88</v>
      </c>
      <c r="BE13" s="70" t="s">
        <v>74</v>
      </c>
      <c r="BF13" s="70" t="s">
        <v>75</v>
      </c>
      <c r="BG13" s="68"/>
      <c r="BI13" s="68"/>
      <c r="BJ13" s="68"/>
      <c r="BK13" s="70">
        <v>0</v>
      </c>
      <c r="BL13" s="70">
        <v>0</v>
      </c>
      <c r="BM13" s="70" t="s">
        <v>2847</v>
      </c>
    </row>
    <row r="14" spans="1:65" ht="14.4" customHeight="1" x14ac:dyDescent="0.3">
      <c r="A14" s="1" t="str">
        <f t="shared" si="0"/>
        <v>001347</v>
      </c>
      <c r="B14" s="70" t="s">
        <v>61</v>
      </c>
      <c r="C14" s="70" t="s">
        <v>62</v>
      </c>
      <c r="D14" s="70" t="s">
        <v>1429</v>
      </c>
      <c r="E14" s="70" t="s">
        <v>617</v>
      </c>
      <c r="F14" s="70" t="s">
        <v>590</v>
      </c>
      <c r="G14" s="70" t="s">
        <v>2763</v>
      </c>
      <c r="H14" s="70" t="s">
        <v>1967</v>
      </c>
      <c r="I14" s="70" t="s">
        <v>67</v>
      </c>
      <c r="J14" s="70" t="s">
        <v>676</v>
      </c>
      <c r="K14" s="71">
        <v>45805</v>
      </c>
      <c r="L14" s="71">
        <v>45989</v>
      </c>
      <c r="M14" s="72">
        <v>5000</v>
      </c>
      <c r="N14" s="72">
        <v>5267.04</v>
      </c>
      <c r="O14" s="73">
        <v>0</v>
      </c>
      <c r="P14" s="73">
        <v>6</v>
      </c>
      <c r="Q14" s="70" t="s">
        <v>68</v>
      </c>
      <c r="R14" s="72">
        <v>1322.42</v>
      </c>
      <c r="S14" s="72">
        <v>348</v>
      </c>
      <c r="T14" s="72">
        <v>40.67</v>
      </c>
      <c r="U14" s="72">
        <v>0</v>
      </c>
      <c r="V14" s="72">
        <v>0</v>
      </c>
      <c r="W14" s="72">
        <v>1755.68</v>
      </c>
      <c r="X14" s="72">
        <v>0</v>
      </c>
      <c r="Y14" s="72">
        <v>0</v>
      </c>
      <c r="Z14" s="72">
        <v>0</v>
      </c>
      <c r="AA14" s="74">
        <v>0</v>
      </c>
      <c r="AB14" s="72">
        <v>40.67</v>
      </c>
      <c r="AC14" s="72">
        <v>500</v>
      </c>
      <c r="AD14" s="71">
        <v>45938</v>
      </c>
      <c r="AE14" s="70" t="s">
        <v>69</v>
      </c>
      <c r="AF14" s="70" t="s">
        <v>1968</v>
      </c>
      <c r="AG14" s="70" t="s">
        <v>677</v>
      </c>
      <c r="AH14" s="68"/>
      <c r="AI14" s="70" t="s">
        <v>526</v>
      </c>
      <c r="AJ14" s="70" t="s">
        <v>527</v>
      </c>
      <c r="AK14" s="68"/>
      <c r="AL14" s="68"/>
      <c r="AM14" s="70" t="s">
        <v>777</v>
      </c>
      <c r="AN14" s="70" t="s">
        <v>1969</v>
      </c>
      <c r="AO14" s="70" t="s">
        <v>776</v>
      </c>
      <c r="AP14" s="70" t="s">
        <v>1970</v>
      </c>
      <c r="AQ14" s="70" t="s">
        <v>873</v>
      </c>
      <c r="AR14" s="70" t="s">
        <v>1971</v>
      </c>
      <c r="AS14" s="68"/>
      <c r="AT14" s="68"/>
      <c r="AU14" s="68"/>
      <c r="AV14" s="68"/>
      <c r="AW14" s="68"/>
      <c r="AX14" s="68"/>
      <c r="AY14" s="72">
        <v>2511.5</v>
      </c>
      <c r="AZ14" s="72">
        <v>17.330692266666659</v>
      </c>
      <c r="BA14" s="70" t="s">
        <v>67</v>
      </c>
      <c r="BB14" s="70" t="s">
        <v>1044</v>
      </c>
      <c r="BC14" s="70" t="s">
        <v>2985</v>
      </c>
      <c r="BD14" s="70" t="s">
        <v>97</v>
      </c>
      <c r="BE14" s="70" t="s">
        <v>74</v>
      </c>
      <c r="BF14" s="70" t="s">
        <v>75</v>
      </c>
      <c r="BG14" s="68"/>
      <c r="BI14" s="68"/>
      <c r="BJ14" s="68"/>
      <c r="BK14" s="70">
        <v>2</v>
      </c>
      <c r="BL14" s="70">
        <v>2</v>
      </c>
      <c r="BM14" s="70" t="s">
        <v>2847</v>
      </c>
    </row>
    <row r="15" spans="1:65" ht="14.4" customHeight="1" x14ac:dyDescent="0.3">
      <c r="A15" s="1" t="str">
        <f t="shared" si="0"/>
        <v>001203</v>
      </c>
      <c r="B15" s="70" t="s">
        <v>61</v>
      </c>
      <c r="C15" s="70" t="s">
        <v>62</v>
      </c>
      <c r="D15" s="70" t="s">
        <v>183</v>
      </c>
      <c r="E15" s="70" t="s">
        <v>184</v>
      </c>
      <c r="F15" s="70" t="s">
        <v>590</v>
      </c>
      <c r="G15" s="70" t="s">
        <v>2763</v>
      </c>
      <c r="H15" s="70" t="s">
        <v>1860</v>
      </c>
      <c r="I15" s="70" t="s">
        <v>67</v>
      </c>
      <c r="J15" s="70" t="s">
        <v>185</v>
      </c>
      <c r="K15" s="71">
        <v>45716</v>
      </c>
      <c r="L15" s="71">
        <v>46081</v>
      </c>
      <c r="M15" s="72">
        <v>65000</v>
      </c>
      <c r="N15" s="72">
        <v>68471.509999999995</v>
      </c>
      <c r="O15" s="73">
        <v>0</v>
      </c>
      <c r="P15" s="73">
        <v>12</v>
      </c>
      <c r="Q15" s="70" t="s">
        <v>68</v>
      </c>
      <c r="R15" s="72">
        <v>12081.41</v>
      </c>
      <c r="S15" s="72">
        <v>696</v>
      </c>
      <c r="T15" s="72">
        <v>0</v>
      </c>
      <c r="U15" s="72">
        <v>0</v>
      </c>
      <c r="V15" s="72">
        <v>0</v>
      </c>
      <c r="W15" s="72">
        <v>28530.170000000002</v>
      </c>
      <c r="X15" s="72">
        <v>0.388701527777778</v>
      </c>
      <c r="Y15" s="72">
        <v>0.37</v>
      </c>
      <c r="Z15" s="72">
        <v>0</v>
      </c>
      <c r="AA15" s="72">
        <v>0.01</v>
      </c>
      <c r="AB15" s="72">
        <v>0</v>
      </c>
      <c r="AC15" s="72">
        <v>12081.41</v>
      </c>
      <c r="AD15" s="71">
        <v>45929</v>
      </c>
      <c r="AE15" s="70" t="s">
        <v>69</v>
      </c>
      <c r="AF15" s="70" t="s">
        <v>1861</v>
      </c>
      <c r="AG15" s="70" t="s">
        <v>186</v>
      </c>
      <c r="AH15" s="68"/>
      <c r="AI15" s="70" t="s">
        <v>187</v>
      </c>
      <c r="AJ15" s="70" t="s">
        <v>1417</v>
      </c>
      <c r="AK15" s="70" t="s">
        <v>188</v>
      </c>
      <c r="AL15" s="68"/>
      <c r="AM15" s="70" t="s">
        <v>719</v>
      </c>
      <c r="AN15" s="70" t="s">
        <v>1862</v>
      </c>
      <c r="AO15" s="70" t="s">
        <v>717</v>
      </c>
      <c r="AP15" s="70" t="s">
        <v>1863</v>
      </c>
      <c r="AQ15" s="70" t="s">
        <v>718</v>
      </c>
      <c r="AR15" s="70" t="s">
        <v>1864</v>
      </c>
      <c r="AS15" s="70" t="s">
        <v>122</v>
      </c>
      <c r="AT15" s="68" t="s">
        <v>189</v>
      </c>
      <c r="AU15" s="70" t="s">
        <v>190</v>
      </c>
      <c r="AV15" s="68"/>
      <c r="AW15" s="68"/>
      <c r="AX15" s="68"/>
      <c r="AY15" s="72">
        <v>60117.42</v>
      </c>
      <c r="AZ15" s="72">
        <v>0</v>
      </c>
      <c r="BA15" s="70" t="s">
        <v>67</v>
      </c>
      <c r="BB15" s="70" t="s">
        <v>1044</v>
      </c>
      <c r="BC15" s="70" t="s">
        <v>2965</v>
      </c>
      <c r="BD15" s="70" t="s">
        <v>191</v>
      </c>
      <c r="BE15" s="70" t="s">
        <v>74</v>
      </c>
      <c r="BF15" s="70" t="s">
        <v>75</v>
      </c>
      <c r="BG15" s="68"/>
      <c r="BI15" s="68"/>
      <c r="BJ15" s="68"/>
      <c r="BK15" s="70">
        <v>1</v>
      </c>
      <c r="BL15" s="70">
        <v>1</v>
      </c>
      <c r="BM15" s="70" t="s">
        <v>2847</v>
      </c>
    </row>
    <row r="16" spans="1:65" ht="14.4" customHeight="1" x14ac:dyDescent="0.3">
      <c r="A16" s="1" t="str">
        <f t="shared" si="0"/>
        <v>001294</v>
      </c>
      <c r="B16" s="70" t="s">
        <v>61</v>
      </c>
      <c r="C16" s="70" t="s">
        <v>62</v>
      </c>
      <c r="D16" s="70" t="s">
        <v>2836</v>
      </c>
      <c r="E16" s="70" t="s">
        <v>2837</v>
      </c>
      <c r="F16" s="70" t="s">
        <v>590</v>
      </c>
      <c r="G16" s="70" t="s">
        <v>2763</v>
      </c>
      <c r="H16" s="70" t="s">
        <v>1911</v>
      </c>
      <c r="I16" s="70" t="s">
        <v>76</v>
      </c>
      <c r="J16" s="70" t="s">
        <v>525</v>
      </c>
      <c r="K16" s="71">
        <v>45912</v>
      </c>
      <c r="L16" s="71">
        <v>46080</v>
      </c>
      <c r="M16" s="72">
        <v>7000</v>
      </c>
      <c r="N16" s="72">
        <v>7373.85</v>
      </c>
      <c r="O16" s="73">
        <v>4</v>
      </c>
      <c r="P16" s="73">
        <v>12</v>
      </c>
      <c r="Q16" s="70" t="s">
        <v>496</v>
      </c>
      <c r="R16" s="72">
        <v>919.56000000000006</v>
      </c>
      <c r="S16" s="72">
        <v>696</v>
      </c>
      <c r="T16" s="72">
        <v>580</v>
      </c>
      <c r="U16" s="72">
        <v>2</v>
      </c>
      <c r="V16" s="72">
        <v>1</v>
      </c>
      <c r="W16" s="72">
        <v>6759.3600000000006</v>
      </c>
      <c r="X16" s="72">
        <v>1499.5650000000001</v>
      </c>
      <c r="Y16" s="72">
        <v>614.49</v>
      </c>
      <c r="Z16" s="72">
        <v>247.08</v>
      </c>
      <c r="AA16" s="72">
        <v>58</v>
      </c>
      <c r="AB16" s="72">
        <v>580</v>
      </c>
      <c r="AC16" s="72">
        <v>919.56000000000006</v>
      </c>
      <c r="AD16" s="71">
        <v>45926</v>
      </c>
      <c r="AE16" s="70" t="s">
        <v>69</v>
      </c>
      <c r="AF16" s="70" t="s">
        <v>1912</v>
      </c>
      <c r="AG16" s="70" t="s">
        <v>2838</v>
      </c>
      <c r="AH16" s="68"/>
      <c r="AI16" s="70" t="s">
        <v>526</v>
      </c>
      <c r="AJ16" s="70" t="s">
        <v>527</v>
      </c>
      <c r="AK16" s="70" t="s">
        <v>2839</v>
      </c>
      <c r="AL16" s="70" t="s">
        <v>1912</v>
      </c>
      <c r="AM16" s="70" t="s">
        <v>757</v>
      </c>
      <c r="AN16" s="70" t="s">
        <v>1913</v>
      </c>
      <c r="AO16" s="70" t="s">
        <v>755</v>
      </c>
      <c r="AP16" s="70" t="s">
        <v>1914</v>
      </c>
      <c r="AQ16" s="70" t="s">
        <v>756</v>
      </c>
      <c r="AR16" s="70" t="s">
        <v>2840</v>
      </c>
      <c r="AS16" s="68"/>
      <c r="AT16" s="68"/>
      <c r="AU16" s="68"/>
      <c r="AV16" s="68"/>
      <c r="AW16" s="68"/>
      <c r="AX16" s="68"/>
      <c r="AY16" s="72">
        <v>10115.17</v>
      </c>
      <c r="AZ16" s="72">
        <v>0</v>
      </c>
      <c r="BA16" s="70" t="s">
        <v>67</v>
      </c>
      <c r="BB16" s="70" t="s">
        <v>1044</v>
      </c>
      <c r="BC16" s="70" t="s">
        <v>528</v>
      </c>
      <c r="BD16" s="70" t="s">
        <v>529</v>
      </c>
      <c r="BE16" s="70" t="s">
        <v>74</v>
      </c>
      <c r="BF16" s="70" t="s">
        <v>338</v>
      </c>
      <c r="BG16" s="68"/>
      <c r="BI16" s="68"/>
      <c r="BJ16" s="68"/>
      <c r="BK16" s="70">
        <v>1</v>
      </c>
      <c r="BL16" s="70">
        <v>1</v>
      </c>
      <c r="BM16" s="70" t="s">
        <v>2847</v>
      </c>
    </row>
    <row r="17" spans="1:65" ht="14.4" customHeight="1" x14ac:dyDescent="0.3">
      <c r="A17" s="1" t="str">
        <f t="shared" si="0"/>
        <v>001260</v>
      </c>
      <c r="B17" s="70" t="s">
        <v>61</v>
      </c>
      <c r="C17" s="70" t="s">
        <v>62</v>
      </c>
      <c r="D17" s="70" t="s">
        <v>408</v>
      </c>
      <c r="E17" s="70" t="s">
        <v>409</v>
      </c>
      <c r="F17" s="70" t="s">
        <v>590</v>
      </c>
      <c r="G17" s="70" t="s">
        <v>2763</v>
      </c>
      <c r="H17" s="70" t="s">
        <v>1893</v>
      </c>
      <c r="I17" s="70" t="s">
        <v>67</v>
      </c>
      <c r="J17" s="70" t="s">
        <v>404</v>
      </c>
      <c r="K17" s="71">
        <v>45768</v>
      </c>
      <c r="L17" s="71">
        <v>46133</v>
      </c>
      <c r="M17" s="72">
        <v>20000</v>
      </c>
      <c r="N17" s="72">
        <v>21068.16</v>
      </c>
      <c r="O17" s="73">
        <v>0</v>
      </c>
      <c r="P17" s="73">
        <v>12</v>
      </c>
      <c r="Q17" s="70" t="s">
        <v>68</v>
      </c>
      <c r="R17" s="72">
        <v>2960.75</v>
      </c>
      <c r="S17" s="72">
        <v>696</v>
      </c>
      <c r="T17" s="72">
        <v>0</v>
      </c>
      <c r="U17" s="72">
        <v>0</v>
      </c>
      <c r="V17" s="72">
        <v>0</v>
      </c>
      <c r="W17" s="72">
        <v>12289.76</v>
      </c>
      <c r="X17" s="72">
        <v>0</v>
      </c>
      <c r="Y17" s="72">
        <v>0</v>
      </c>
      <c r="Z17" s="72">
        <v>0</v>
      </c>
      <c r="AA17" s="74">
        <v>0</v>
      </c>
      <c r="AB17" s="72">
        <v>0</v>
      </c>
      <c r="AC17" s="72">
        <v>2970</v>
      </c>
      <c r="AD17" s="71">
        <v>45920</v>
      </c>
      <c r="AE17" s="70" t="s">
        <v>69</v>
      </c>
      <c r="AF17" s="70" t="s">
        <v>1894</v>
      </c>
      <c r="AG17" s="70" t="s">
        <v>405</v>
      </c>
      <c r="AH17" s="68"/>
      <c r="AI17" s="70" t="s">
        <v>406</v>
      </c>
      <c r="AJ17" s="70" t="s">
        <v>1895</v>
      </c>
      <c r="AK17" s="68"/>
      <c r="AL17" s="68"/>
      <c r="AM17" s="70" t="s">
        <v>745</v>
      </c>
      <c r="AN17" s="70" t="s">
        <v>1896</v>
      </c>
      <c r="AO17" s="70" t="s">
        <v>743</v>
      </c>
      <c r="AP17" s="70" t="s">
        <v>1897</v>
      </c>
      <c r="AQ17" s="70" t="s">
        <v>744</v>
      </c>
      <c r="AR17" s="70" t="s">
        <v>1898</v>
      </c>
      <c r="AS17" s="68"/>
      <c r="AT17" s="68"/>
      <c r="AU17" s="68"/>
      <c r="AV17" s="68"/>
      <c r="AW17" s="68"/>
      <c r="AX17" s="68"/>
      <c r="AY17" s="72">
        <v>20282.04</v>
      </c>
      <c r="AZ17" s="72">
        <v>37.23236</v>
      </c>
      <c r="BA17" s="70" t="s">
        <v>67</v>
      </c>
      <c r="BB17" s="70" t="s">
        <v>1044</v>
      </c>
      <c r="BC17" s="70" t="s">
        <v>2943</v>
      </c>
      <c r="BD17" s="70" t="s">
        <v>407</v>
      </c>
      <c r="BE17" s="70" t="s">
        <v>74</v>
      </c>
      <c r="BF17" s="70" t="s">
        <v>338</v>
      </c>
      <c r="BG17" s="68"/>
      <c r="BI17" s="68"/>
      <c r="BJ17" s="68"/>
      <c r="BK17" s="70">
        <v>0</v>
      </c>
      <c r="BL17" s="70">
        <v>0</v>
      </c>
      <c r="BM17" s="70" t="s">
        <v>2847</v>
      </c>
    </row>
    <row r="18" spans="1:65" ht="14.4" customHeight="1" x14ac:dyDescent="0.3">
      <c r="A18" s="1" t="str">
        <f t="shared" si="0"/>
        <v>001378</v>
      </c>
      <c r="B18" s="70" t="s">
        <v>61</v>
      </c>
      <c r="C18" s="70" t="s">
        <v>62</v>
      </c>
      <c r="D18" s="70" t="s">
        <v>183</v>
      </c>
      <c r="E18" s="70" t="s">
        <v>184</v>
      </c>
      <c r="F18" s="70" t="s">
        <v>590</v>
      </c>
      <c r="G18" s="70" t="s">
        <v>2763</v>
      </c>
      <c r="H18" s="70" t="s">
        <v>1435</v>
      </c>
      <c r="I18" s="70" t="s">
        <v>67</v>
      </c>
      <c r="J18" s="70" t="s">
        <v>1089</v>
      </c>
      <c r="K18" s="71">
        <v>45814</v>
      </c>
      <c r="L18" s="71">
        <v>46179</v>
      </c>
      <c r="M18" s="72">
        <v>30000</v>
      </c>
      <c r="N18" s="72">
        <v>31602.23</v>
      </c>
      <c r="O18" s="73">
        <v>99</v>
      </c>
      <c r="P18" s="73">
        <v>12</v>
      </c>
      <c r="Q18" s="70" t="s">
        <v>68</v>
      </c>
      <c r="R18" s="72">
        <v>4992.07</v>
      </c>
      <c r="S18" s="72">
        <v>696</v>
      </c>
      <c r="T18" s="72">
        <v>2320</v>
      </c>
      <c r="U18" s="72">
        <v>0</v>
      </c>
      <c r="V18" s="72">
        <v>4</v>
      </c>
      <c r="W18" s="72">
        <v>31602.23</v>
      </c>
      <c r="X18" s="72">
        <v>22288.296699999999</v>
      </c>
      <c r="Y18" s="72">
        <v>10534.08</v>
      </c>
      <c r="Z18" s="72">
        <v>9202.2199999999993</v>
      </c>
      <c r="AA18" s="72">
        <v>232</v>
      </c>
      <c r="AB18" s="72">
        <v>2320</v>
      </c>
      <c r="AC18" s="68"/>
      <c r="AD18" s="68"/>
      <c r="AE18" s="70" t="s">
        <v>69</v>
      </c>
      <c r="AF18" s="70" t="s">
        <v>1404</v>
      </c>
      <c r="AG18" s="70" t="s">
        <v>1404</v>
      </c>
      <c r="AH18" s="68"/>
      <c r="AI18" s="70" t="s">
        <v>1090</v>
      </c>
      <c r="AJ18" s="70" t="s">
        <v>1436</v>
      </c>
      <c r="AK18" s="70" t="s">
        <v>342</v>
      </c>
      <c r="AL18" s="70" t="s">
        <v>1403</v>
      </c>
      <c r="AM18" s="70" t="s">
        <v>1091</v>
      </c>
      <c r="AN18" s="70" t="s">
        <v>1437</v>
      </c>
      <c r="AO18" s="70" t="s">
        <v>1092</v>
      </c>
      <c r="AP18" s="70" t="s">
        <v>1438</v>
      </c>
      <c r="AQ18" s="70" t="s">
        <v>1093</v>
      </c>
      <c r="AR18" s="70" t="s">
        <v>1439</v>
      </c>
      <c r="AS18" s="68"/>
      <c r="AT18" s="68"/>
      <c r="AU18" s="68"/>
      <c r="AV18" s="68"/>
      <c r="AW18" s="68"/>
      <c r="AX18" s="68"/>
      <c r="AY18" s="72">
        <v>61760.880000000005</v>
      </c>
      <c r="AZ18" s="72">
        <v>0</v>
      </c>
      <c r="BA18" s="70" t="s">
        <v>67</v>
      </c>
      <c r="BB18" s="70" t="s">
        <v>1044</v>
      </c>
      <c r="BC18" s="70" t="s">
        <v>2963</v>
      </c>
      <c r="BD18" s="70" t="s">
        <v>452</v>
      </c>
      <c r="BE18" s="70" t="s">
        <v>74</v>
      </c>
      <c r="BF18" s="70" t="s">
        <v>75</v>
      </c>
      <c r="BG18" s="70" t="s">
        <v>1094</v>
      </c>
      <c r="BH18" s="70"/>
      <c r="BI18" s="68"/>
      <c r="BJ18" s="68"/>
      <c r="BK18" s="70">
        <v>4</v>
      </c>
      <c r="BL18" s="70">
        <v>4</v>
      </c>
      <c r="BM18" s="70" t="s">
        <v>2847</v>
      </c>
    </row>
    <row r="19" spans="1:65" ht="14.4" customHeight="1" x14ac:dyDescent="0.3">
      <c r="A19" s="1" t="str">
        <f t="shared" si="0"/>
        <v>001380</v>
      </c>
      <c r="B19" s="70" t="s">
        <v>61</v>
      </c>
      <c r="C19" s="70" t="s">
        <v>62</v>
      </c>
      <c r="D19" s="70" t="s">
        <v>183</v>
      </c>
      <c r="E19" s="70" t="s">
        <v>184</v>
      </c>
      <c r="F19" s="70" t="s">
        <v>590</v>
      </c>
      <c r="G19" s="70" t="s">
        <v>2763</v>
      </c>
      <c r="H19" s="70" t="s">
        <v>1972</v>
      </c>
      <c r="I19" s="70" t="s">
        <v>67</v>
      </c>
      <c r="J19" s="70" t="s">
        <v>1095</v>
      </c>
      <c r="K19" s="71">
        <v>45814</v>
      </c>
      <c r="L19" s="71">
        <v>45997</v>
      </c>
      <c r="M19" s="72">
        <v>10000</v>
      </c>
      <c r="N19" s="72">
        <v>10534.08</v>
      </c>
      <c r="O19" s="73">
        <v>0</v>
      </c>
      <c r="P19" s="73">
        <v>6</v>
      </c>
      <c r="Q19" s="70" t="s">
        <v>68</v>
      </c>
      <c r="R19" s="72">
        <v>2582.63</v>
      </c>
      <c r="S19" s="72">
        <v>348</v>
      </c>
      <c r="T19" s="72">
        <v>0</v>
      </c>
      <c r="U19" s="72">
        <v>0</v>
      </c>
      <c r="V19" s="72">
        <v>0</v>
      </c>
      <c r="W19" s="72">
        <v>3511.36</v>
      </c>
      <c r="X19" s="72">
        <v>0</v>
      </c>
      <c r="Y19" s="72">
        <v>0</v>
      </c>
      <c r="Z19" s="72">
        <v>0</v>
      </c>
      <c r="AA19" s="74">
        <v>0</v>
      </c>
      <c r="AB19" s="72">
        <v>0</v>
      </c>
      <c r="AC19" s="72">
        <v>2582.63</v>
      </c>
      <c r="AD19" s="71">
        <v>45936</v>
      </c>
      <c r="AE19" s="70" t="s">
        <v>69</v>
      </c>
      <c r="AF19" s="70" t="s">
        <v>1973</v>
      </c>
      <c r="AG19" s="70" t="s">
        <v>1096</v>
      </c>
      <c r="AH19" s="68"/>
      <c r="AI19" s="70" t="s">
        <v>1174</v>
      </c>
      <c r="AJ19" s="70" t="s">
        <v>1974</v>
      </c>
      <c r="AK19" s="68"/>
      <c r="AL19" s="68"/>
      <c r="AM19" s="70" t="s">
        <v>1097</v>
      </c>
      <c r="AN19" s="70" t="s">
        <v>1975</v>
      </c>
      <c r="AO19" s="70" t="s">
        <v>1098</v>
      </c>
      <c r="AP19" s="70" t="s">
        <v>1976</v>
      </c>
      <c r="AQ19" s="70" t="s">
        <v>1099</v>
      </c>
      <c r="AR19" s="70" t="s">
        <v>1977</v>
      </c>
      <c r="AS19" s="68"/>
      <c r="AT19" s="68"/>
      <c r="AU19" s="68"/>
      <c r="AV19" s="68"/>
      <c r="AW19" s="68"/>
      <c r="AX19" s="68"/>
      <c r="AY19" s="72">
        <v>5031.91</v>
      </c>
      <c r="AZ19" s="72">
        <v>17.36</v>
      </c>
      <c r="BA19" s="70" t="s">
        <v>67</v>
      </c>
      <c r="BB19" s="70" t="s">
        <v>1044</v>
      </c>
      <c r="BC19" s="70" t="s">
        <v>2901</v>
      </c>
      <c r="BD19" s="70" t="s">
        <v>88</v>
      </c>
      <c r="BE19" s="70" t="s">
        <v>74</v>
      </c>
      <c r="BF19" s="70" t="s">
        <v>75</v>
      </c>
      <c r="BG19" s="70" t="s">
        <v>1100</v>
      </c>
      <c r="BH19" s="70"/>
      <c r="BI19" s="68"/>
      <c r="BJ19" s="68"/>
      <c r="BK19" s="70">
        <v>0</v>
      </c>
      <c r="BL19" s="70">
        <v>0</v>
      </c>
      <c r="BM19" s="70" t="s">
        <v>2847</v>
      </c>
    </row>
    <row r="20" spans="1:65" ht="14.4" customHeight="1" x14ac:dyDescent="0.3">
      <c r="A20" s="1" t="str">
        <f t="shared" si="0"/>
        <v>001376</v>
      </c>
      <c r="B20" s="70" t="s">
        <v>61</v>
      </c>
      <c r="C20" s="70" t="s">
        <v>62</v>
      </c>
      <c r="D20" s="70" t="s">
        <v>1429</v>
      </c>
      <c r="E20" s="70" t="s">
        <v>617</v>
      </c>
      <c r="F20" s="70" t="s">
        <v>590</v>
      </c>
      <c r="G20" s="70" t="s">
        <v>2763</v>
      </c>
      <c r="H20" s="70" t="s">
        <v>1978</v>
      </c>
      <c r="I20" s="70" t="s">
        <v>67</v>
      </c>
      <c r="J20" s="70" t="s">
        <v>1101</v>
      </c>
      <c r="K20" s="71">
        <v>45814</v>
      </c>
      <c r="L20" s="71">
        <v>45997</v>
      </c>
      <c r="M20" s="72">
        <v>15000</v>
      </c>
      <c r="N20" s="72">
        <v>15801.12</v>
      </c>
      <c r="O20" s="73">
        <v>0</v>
      </c>
      <c r="P20" s="73">
        <v>6</v>
      </c>
      <c r="Q20" s="70" t="s">
        <v>68</v>
      </c>
      <c r="R20" s="72">
        <v>3844.9500000000003</v>
      </c>
      <c r="S20" s="72">
        <v>348</v>
      </c>
      <c r="T20" s="72">
        <v>0</v>
      </c>
      <c r="U20" s="72">
        <v>0</v>
      </c>
      <c r="V20" s="72">
        <v>0</v>
      </c>
      <c r="W20" s="72">
        <v>5267.04</v>
      </c>
      <c r="X20" s="72">
        <v>0</v>
      </c>
      <c r="Y20" s="72">
        <v>0</v>
      </c>
      <c r="Z20" s="72">
        <v>0.01</v>
      </c>
      <c r="AA20" s="74">
        <v>0</v>
      </c>
      <c r="AB20" s="72">
        <v>0</v>
      </c>
      <c r="AC20" s="72">
        <v>3850</v>
      </c>
      <c r="AD20" s="71">
        <v>45936</v>
      </c>
      <c r="AE20" s="70" t="s">
        <v>69</v>
      </c>
      <c r="AF20" s="70" t="s">
        <v>1979</v>
      </c>
      <c r="AG20" s="70" t="s">
        <v>1102</v>
      </c>
      <c r="AH20" s="68"/>
      <c r="AI20" s="70" t="s">
        <v>336</v>
      </c>
      <c r="AJ20" s="70" t="s">
        <v>1850</v>
      </c>
      <c r="AK20" s="70" t="s">
        <v>1103</v>
      </c>
      <c r="AL20" s="70" t="s">
        <v>1979</v>
      </c>
      <c r="AM20" s="70" t="s">
        <v>1104</v>
      </c>
      <c r="AN20" s="70" t="s">
        <v>1980</v>
      </c>
      <c r="AO20" s="70" t="s">
        <v>1105</v>
      </c>
      <c r="AP20" s="70" t="s">
        <v>1981</v>
      </c>
      <c r="AQ20" s="70" t="s">
        <v>1106</v>
      </c>
      <c r="AR20" s="70" t="s">
        <v>1982</v>
      </c>
      <c r="AS20" s="68"/>
      <c r="AT20" s="68"/>
      <c r="AU20" s="68"/>
      <c r="AV20" s="68"/>
      <c r="AW20" s="68"/>
      <c r="AX20" s="68"/>
      <c r="AY20" s="72">
        <v>7569.74</v>
      </c>
      <c r="AZ20" s="72">
        <v>4.1536416000000003</v>
      </c>
      <c r="BA20" s="70" t="s">
        <v>67</v>
      </c>
      <c r="BB20" s="70" t="s">
        <v>1044</v>
      </c>
      <c r="BC20" s="70" t="s">
        <v>3013</v>
      </c>
      <c r="BD20" s="70" t="s">
        <v>1107</v>
      </c>
      <c r="BE20" s="70" t="s">
        <v>74</v>
      </c>
      <c r="BF20" s="70" t="s">
        <v>338</v>
      </c>
      <c r="BG20" s="70" t="s">
        <v>1108</v>
      </c>
      <c r="BH20" s="70"/>
      <c r="BI20" s="68"/>
      <c r="BJ20" s="68"/>
      <c r="BK20" s="70">
        <v>1</v>
      </c>
      <c r="BL20" s="70">
        <v>1</v>
      </c>
      <c r="BM20" s="70" t="s">
        <v>2847</v>
      </c>
    </row>
    <row r="21" spans="1:65" ht="14.4" customHeight="1" x14ac:dyDescent="0.3">
      <c r="A21" s="1" t="str">
        <f t="shared" si="0"/>
        <v>001433</v>
      </c>
      <c r="B21" s="70" t="s">
        <v>61</v>
      </c>
      <c r="C21" s="70" t="s">
        <v>62</v>
      </c>
      <c r="D21" s="70" t="s">
        <v>1429</v>
      </c>
      <c r="E21" s="70" t="s">
        <v>617</v>
      </c>
      <c r="F21" s="70" t="s">
        <v>590</v>
      </c>
      <c r="G21" s="70" t="s">
        <v>2763</v>
      </c>
      <c r="H21" s="70" t="s">
        <v>1983</v>
      </c>
      <c r="I21" s="70" t="s">
        <v>67</v>
      </c>
      <c r="J21" s="70" t="s">
        <v>1387</v>
      </c>
      <c r="K21" s="71">
        <v>45838</v>
      </c>
      <c r="L21" s="71">
        <v>46023</v>
      </c>
      <c r="M21" s="72">
        <v>5000</v>
      </c>
      <c r="N21" s="72">
        <v>5267.04</v>
      </c>
      <c r="O21" s="73">
        <v>13</v>
      </c>
      <c r="P21" s="73">
        <v>6</v>
      </c>
      <c r="Q21" s="70" t="s">
        <v>68</v>
      </c>
      <c r="R21" s="72">
        <v>1324.52</v>
      </c>
      <c r="S21" s="72">
        <v>348</v>
      </c>
      <c r="T21" s="72">
        <v>580</v>
      </c>
      <c r="U21" s="72">
        <v>0</v>
      </c>
      <c r="V21" s="72">
        <v>1</v>
      </c>
      <c r="W21" s="72">
        <v>3511.36</v>
      </c>
      <c r="X21" s="72">
        <v>1803.56</v>
      </c>
      <c r="Y21" s="72">
        <v>877.84</v>
      </c>
      <c r="Z21" s="72">
        <v>345.72</v>
      </c>
      <c r="AA21" s="72">
        <v>0</v>
      </c>
      <c r="AB21" s="72">
        <v>580</v>
      </c>
      <c r="AC21" s="72">
        <v>1400</v>
      </c>
      <c r="AD21" s="71">
        <v>45901</v>
      </c>
      <c r="AE21" s="70" t="s">
        <v>69</v>
      </c>
      <c r="AF21" s="70" t="s">
        <v>1984</v>
      </c>
      <c r="AG21" s="70" t="s">
        <v>1388</v>
      </c>
      <c r="AH21" s="68"/>
      <c r="AI21" s="70" t="s">
        <v>283</v>
      </c>
      <c r="AJ21" s="70" t="s">
        <v>284</v>
      </c>
      <c r="AK21" s="70" t="s">
        <v>1389</v>
      </c>
      <c r="AL21" s="70" t="s">
        <v>1984</v>
      </c>
      <c r="AM21" s="70" t="s">
        <v>1390</v>
      </c>
      <c r="AN21" s="70" t="s">
        <v>1985</v>
      </c>
      <c r="AO21" s="70" t="s">
        <v>1391</v>
      </c>
      <c r="AP21" s="70" t="s">
        <v>1986</v>
      </c>
      <c r="AQ21" s="70" t="s">
        <v>1392</v>
      </c>
      <c r="AR21" s="70" t="s">
        <v>1987</v>
      </c>
      <c r="AS21" s="68"/>
      <c r="AT21" s="68"/>
      <c r="AU21" s="68"/>
      <c r="AV21" s="68"/>
      <c r="AW21" s="68"/>
      <c r="AX21" s="68"/>
      <c r="AY21" s="72">
        <v>5603.11</v>
      </c>
      <c r="AZ21" s="72">
        <v>0</v>
      </c>
      <c r="BA21" s="70" t="s">
        <v>67</v>
      </c>
      <c r="BB21" s="70" t="s">
        <v>1044</v>
      </c>
      <c r="BC21" s="70" t="s">
        <v>2906</v>
      </c>
      <c r="BD21" s="70" t="s">
        <v>335</v>
      </c>
      <c r="BE21" s="70" t="s">
        <v>74</v>
      </c>
      <c r="BF21" s="70" t="s">
        <v>338</v>
      </c>
      <c r="BG21" s="70" t="s">
        <v>1393</v>
      </c>
      <c r="BH21" s="70"/>
      <c r="BI21" s="68"/>
      <c r="BJ21" s="68"/>
      <c r="BK21" s="70">
        <v>1</v>
      </c>
      <c r="BL21" s="70">
        <v>1</v>
      </c>
      <c r="BM21" s="70" t="s">
        <v>2847</v>
      </c>
    </row>
    <row r="22" spans="1:65" ht="14.4" customHeight="1" x14ac:dyDescent="0.3">
      <c r="A22" s="1" t="str">
        <f t="shared" si="0"/>
        <v>001558</v>
      </c>
      <c r="B22" s="70" t="s">
        <v>61</v>
      </c>
      <c r="C22" s="70" t="s">
        <v>62</v>
      </c>
      <c r="D22" s="70" t="s">
        <v>1988</v>
      </c>
      <c r="E22" s="70" t="s">
        <v>1797</v>
      </c>
      <c r="F22" s="70" t="s">
        <v>590</v>
      </c>
      <c r="G22" s="70" t="s">
        <v>2763</v>
      </c>
      <c r="H22" s="70" t="s">
        <v>1989</v>
      </c>
      <c r="I22" s="70" t="s">
        <v>67</v>
      </c>
      <c r="J22" s="70" t="s">
        <v>2534</v>
      </c>
      <c r="K22" s="71">
        <v>45863</v>
      </c>
      <c r="L22" s="71">
        <v>46228</v>
      </c>
      <c r="M22" s="72">
        <v>10000</v>
      </c>
      <c r="N22" s="72">
        <v>10534.08</v>
      </c>
      <c r="O22" s="73">
        <v>0</v>
      </c>
      <c r="P22" s="73">
        <v>12</v>
      </c>
      <c r="Q22" s="70" t="s">
        <v>68</v>
      </c>
      <c r="R22" s="72">
        <v>1702.69</v>
      </c>
      <c r="S22" s="72">
        <v>696</v>
      </c>
      <c r="T22" s="72">
        <v>0</v>
      </c>
      <c r="U22" s="72">
        <v>0</v>
      </c>
      <c r="V22" s="72">
        <v>0</v>
      </c>
      <c r="W22" s="72">
        <v>8778.4</v>
      </c>
      <c r="X22" s="72">
        <v>0</v>
      </c>
      <c r="Y22" s="72">
        <v>0</v>
      </c>
      <c r="Z22" s="72">
        <v>0</v>
      </c>
      <c r="AA22" s="74">
        <v>0</v>
      </c>
      <c r="AB22" s="72">
        <v>0</v>
      </c>
      <c r="AC22" s="72">
        <v>1750</v>
      </c>
      <c r="AD22" s="71">
        <v>45925</v>
      </c>
      <c r="AE22" s="70" t="s">
        <v>69</v>
      </c>
      <c r="AF22" s="70" t="s">
        <v>1990</v>
      </c>
      <c r="AG22" s="70" t="s">
        <v>1798</v>
      </c>
      <c r="AH22" s="68"/>
      <c r="AI22" s="70" t="s">
        <v>86</v>
      </c>
      <c r="AJ22" s="70" t="s">
        <v>87</v>
      </c>
      <c r="AK22" s="68"/>
      <c r="AL22" s="68"/>
      <c r="AM22" s="70" t="s">
        <v>1799</v>
      </c>
      <c r="AN22" s="70" t="s">
        <v>1991</v>
      </c>
      <c r="AO22" s="70" t="s">
        <v>1800</v>
      </c>
      <c r="AP22" s="70" t="s">
        <v>1992</v>
      </c>
      <c r="AQ22" s="70" t="s">
        <v>1801</v>
      </c>
      <c r="AR22" s="70" t="s">
        <v>1993</v>
      </c>
      <c r="AS22" s="68"/>
      <c r="AT22" s="68"/>
      <c r="AU22" s="68"/>
      <c r="AV22" s="68"/>
      <c r="AW22" s="68"/>
      <c r="AX22" s="68"/>
      <c r="AY22" s="72">
        <v>16392.3</v>
      </c>
      <c r="AZ22" s="72">
        <v>54.620000000000005</v>
      </c>
      <c r="BA22" s="70" t="s">
        <v>67</v>
      </c>
      <c r="BB22" s="70" t="s">
        <v>1044</v>
      </c>
      <c r="BC22" s="70" t="s">
        <v>2878</v>
      </c>
      <c r="BD22" s="70" t="s">
        <v>339</v>
      </c>
      <c r="BE22" s="70" t="s">
        <v>74</v>
      </c>
      <c r="BF22" s="70" t="s">
        <v>75</v>
      </c>
      <c r="BG22" s="70" t="s">
        <v>1802</v>
      </c>
      <c r="BH22" s="70"/>
      <c r="BI22" s="68"/>
      <c r="BJ22" s="68"/>
      <c r="BK22" s="70">
        <v>0</v>
      </c>
      <c r="BL22" s="70">
        <v>0</v>
      </c>
      <c r="BM22" s="70" t="s">
        <v>2847</v>
      </c>
    </row>
    <row r="23" spans="1:65" ht="14.4" customHeight="1" x14ac:dyDescent="0.3">
      <c r="A23" s="1" t="str">
        <f t="shared" si="0"/>
        <v>001590</v>
      </c>
      <c r="B23" s="70" t="s">
        <v>61</v>
      </c>
      <c r="C23" s="70" t="s">
        <v>62</v>
      </c>
      <c r="D23" s="70" t="s">
        <v>183</v>
      </c>
      <c r="E23" s="70" t="s">
        <v>184</v>
      </c>
      <c r="F23" s="70" t="s">
        <v>590</v>
      </c>
      <c r="G23" s="70" t="s">
        <v>2763</v>
      </c>
      <c r="H23" s="70" t="s">
        <v>1994</v>
      </c>
      <c r="I23" s="70" t="s">
        <v>67</v>
      </c>
      <c r="J23" s="70" t="s">
        <v>1803</v>
      </c>
      <c r="K23" s="71">
        <v>45866</v>
      </c>
      <c r="L23" s="71">
        <v>46235</v>
      </c>
      <c r="M23" s="72">
        <v>20000</v>
      </c>
      <c r="N23" s="72">
        <v>21068.16</v>
      </c>
      <c r="O23" s="73">
        <v>0</v>
      </c>
      <c r="P23" s="73">
        <v>12</v>
      </c>
      <c r="Q23" s="70" t="s">
        <v>68</v>
      </c>
      <c r="R23" s="72">
        <v>3364.19</v>
      </c>
      <c r="S23" s="72">
        <v>696</v>
      </c>
      <c r="T23" s="72">
        <v>0</v>
      </c>
      <c r="U23" s="72">
        <v>0</v>
      </c>
      <c r="V23" s="72">
        <v>0</v>
      </c>
      <c r="W23" s="72">
        <v>17556.8</v>
      </c>
      <c r="X23" s="72">
        <v>0</v>
      </c>
      <c r="Y23" s="72">
        <v>0</v>
      </c>
      <c r="Z23" s="72">
        <v>0</v>
      </c>
      <c r="AA23" s="74">
        <v>0</v>
      </c>
      <c r="AB23" s="72">
        <v>0</v>
      </c>
      <c r="AC23" s="72">
        <v>3364.19</v>
      </c>
      <c r="AD23" s="71">
        <v>45931</v>
      </c>
      <c r="AE23" s="70" t="s">
        <v>69</v>
      </c>
      <c r="AF23" s="70" t="s">
        <v>1995</v>
      </c>
      <c r="AG23" s="70" t="s">
        <v>1804</v>
      </c>
      <c r="AH23" s="68"/>
      <c r="AI23" s="70" t="s">
        <v>151</v>
      </c>
      <c r="AJ23" s="70" t="s">
        <v>1408</v>
      </c>
      <c r="AK23" s="70" t="s">
        <v>1805</v>
      </c>
      <c r="AL23" s="70" t="s">
        <v>1995</v>
      </c>
      <c r="AM23" s="70" t="s">
        <v>1806</v>
      </c>
      <c r="AN23" s="70" t="s">
        <v>1996</v>
      </c>
      <c r="AO23" s="70" t="s">
        <v>1807</v>
      </c>
      <c r="AP23" s="70" t="s">
        <v>1997</v>
      </c>
      <c r="AQ23" s="70" t="s">
        <v>1808</v>
      </c>
      <c r="AR23" s="70" t="s">
        <v>1998</v>
      </c>
      <c r="AS23" s="68"/>
      <c r="AT23" s="68"/>
      <c r="AU23" s="68"/>
      <c r="AV23" s="68"/>
      <c r="AW23" s="68"/>
      <c r="AX23" s="68"/>
      <c r="AY23" s="72">
        <v>33061.1</v>
      </c>
      <c r="AZ23" s="72">
        <v>0.81</v>
      </c>
      <c r="BA23" s="70" t="s">
        <v>67</v>
      </c>
      <c r="BB23" s="70" t="s">
        <v>1044</v>
      </c>
      <c r="BC23" s="70" t="s">
        <v>1809</v>
      </c>
      <c r="BD23" s="70" t="s">
        <v>339</v>
      </c>
      <c r="BE23" s="70" t="s">
        <v>74</v>
      </c>
      <c r="BF23" s="70" t="s">
        <v>75</v>
      </c>
      <c r="BG23" s="70" t="s">
        <v>1810</v>
      </c>
      <c r="BH23" s="70"/>
      <c r="BI23" s="68"/>
      <c r="BJ23" s="68"/>
      <c r="BK23" s="70">
        <v>0</v>
      </c>
      <c r="BL23" s="70">
        <v>0</v>
      </c>
      <c r="BM23" s="70" t="s">
        <v>2847</v>
      </c>
    </row>
    <row r="24" spans="1:65" ht="14.4" customHeight="1" x14ac:dyDescent="0.3">
      <c r="A24" s="1" t="str">
        <f t="shared" si="0"/>
        <v>001167</v>
      </c>
      <c r="B24" s="70" t="s">
        <v>61</v>
      </c>
      <c r="C24" s="70" t="s">
        <v>62</v>
      </c>
      <c r="D24" s="70" t="s">
        <v>183</v>
      </c>
      <c r="E24" s="70" t="s">
        <v>184</v>
      </c>
      <c r="F24" s="70" t="s">
        <v>590</v>
      </c>
      <c r="G24" s="70" t="s">
        <v>2763</v>
      </c>
      <c r="H24" s="70" t="s">
        <v>1865</v>
      </c>
      <c r="I24" s="70" t="s">
        <v>67</v>
      </c>
      <c r="J24" s="70" t="s">
        <v>160</v>
      </c>
      <c r="K24" s="71">
        <v>45684</v>
      </c>
      <c r="L24" s="71">
        <v>46049</v>
      </c>
      <c r="M24" s="72">
        <v>35000</v>
      </c>
      <c r="N24" s="72">
        <v>36869.270000000004</v>
      </c>
      <c r="O24" s="73">
        <v>15</v>
      </c>
      <c r="P24" s="73">
        <v>12</v>
      </c>
      <c r="Q24" s="70" t="s">
        <v>68</v>
      </c>
      <c r="R24" s="72">
        <v>5232.78</v>
      </c>
      <c r="S24" s="72">
        <v>696</v>
      </c>
      <c r="T24" s="72">
        <v>0</v>
      </c>
      <c r="U24" s="72">
        <v>0</v>
      </c>
      <c r="V24" s="72">
        <v>0.4</v>
      </c>
      <c r="W24" s="72">
        <v>18540.060000000001</v>
      </c>
      <c r="X24" s="72">
        <v>1811.9</v>
      </c>
      <c r="Y24" s="72">
        <v>1811.9</v>
      </c>
      <c r="Z24" s="72">
        <v>0</v>
      </c>
      <c r="AA24" s="72">
        <v>0</v>
      </c>
      <c r="AB24" s="72">
        <v>0</v>
      </c>
      <c r="AC24" s="72">
        <v>4000</v>
      </c>
      <c r="AD24" s="71">
        <v>45936</v>
      </c>
      <c r="AE24" s="70" t="s">
        <v>69</v>
      </c>
      <c r="AF24" s="70" t="s">
        <v>1866</v>
      </c>
      <c r="AG24" s="70" t="s">
        <v>161</v>
      </c>
      <c r="AH24" s="68"/>
      <c r="AI24" s="70" t="s">
        <v>162</v>
      </c>
      <c r="AJ24" s="70" t="s">
        <v>1867</v>
      </c>
      <c r="AK24" s="70" t="s">
        <v>163</v>
      </c>
      <c r="AL24" s="70" t="s">
        <v>1868</v>
      </c>
      <c r="AM24" s="70" t="s">
        <v>722</v>
      </c>
      <c r="AN24" s="70" t="s">
        <v>1869</v>
      </c>
      <c r="AO24" s="70" t="s">
        <v>720</v>
      </c>
      <c r="AP24" s="70" t="s">
        <v>1870</v>
      </c>
      <c r="AQ24" s="70" t="s">
        <v>721</v>
      </c>
      <c r="AR24" s="70" t="s">
        <v>1870</v>
      </c>
      <c r="AS24" s="70" t="s">
        <v>122</v>
      </c>
      <c r="AT24" s="68" t="s">
        <v>164</v>
      </c>
      <c r="AU24" s="70" t="s">
        <v>165</v>
      </c>
      <c r="AV24" s="68"/>
      <c r="AW24" s="68"/>
      <c r="AX24" s="68"/>
      <c r="AY24" s="72">
        <v>18540.060000000001</v>
      </c>
      <c r="AZ24" s="72">
        <v>0</v>
      </c>
      <c r="BA24" s="70" t="s">
        <v>135</v>
      </c>
      <c r="BB24" s="70" t="s">
        <v>136</v>
      </c>
      <c r="BC24" s="70" t="s">
        <v>2972</v>
      </c>
      <c r="BD24" s="70" t="s">
        <v>88</v>
      </c>
      <c r="BE24" s="70" t="s">
        <v>74</v>
      </c>
      <c r="BF24" s="70" t="s">
        <v>75</v>
      </c>
      <c r="BG24" s="68"/>
      <c r="BI24" s="68"/>
      <c r="BJ24" s="68"/>
      <c r="BK24" s="70">
        <v>3</v>
      </c>
      <c r="BL24" s="70">
        <v>2</v>
      </c>
      <c r="BM24" s="70" t="s">
        <v>2847</v>
      </c>
    </row>
    <row r="25" spans="1:65" ht="14.4" customHeight="1" x14ac:dyDescent="0.3">
      <c r="A25" s="1" t="str">
        <f t="shared" si="0"/>
        <v>001098</v>
      </c>
      <c r="B25" s="70" t="s">
        <v>61</v>
      </c>
      <c r="C25" s="70" t="s">
        <v>62</v>
      </c>
      <c r="D25" s="70" t="s">
        <v>1853</v>
      </c>
      <c r="E25" s="70" t="s">
        <v>137</v>
      </c>
      <c r="F25" s="70" t="s">
        <v>590</v>
      </c>
      <c r="G25" s="70" t="s">
        <v>2763</v>
      </c>
      <c r="H25" s="70" t="s">
        <v>1854</v>
      </c>
      <c r="I25" s="70" t="s">
        <v>67</v>
      </c>
      <c r="J25" s="70" t="s">
        <v>166</v>
      </c>
      <c r="K25" s="71">
        <v>45576</v>
      </c>
      <c r="L25" s="71">
        <v>45941</v>
      </c>
      <c r="M25" s="72">
        <v>45000</v>
      </c>
      <c r="N25" s="72">
        <v>47403.35</v>
      </c>
      <c r="O25" s="73">
        <v>1</v>
      </c>
      <c r="P25" s="73">
        <v>12</v>
      </c>
      <c r="Q25" s="70" t="s">
        <v>68</v>
      </c>
      <c r="R25" s="72">
        <v>6711.3</v>
      </c>
      <c r="S25" s="72">
        <v>696</v>
      </c>
      <c r="T25" s="72">
        <v>580</v>
      </c>
      <c r="U25" s="72">
        <v>0</v>
      </c>
      <c r="V25" s="72">
        <v>1</v>
      </c>
      <c r="W25" s="72">
        <v>6098.25</v>
      </c>
      <c r="X25" s="72">
        <v>7290</v>
      </c>
      <c r="Y25" s="72">
        <v>6098.26</v>
      </c>
      <c r="Z25" s="72">
        <v>555.04</v>
      </c>
      <c r="AA25" s="72">
        <v>56.7</v>
      </c>
      <c r="AB25" s="72">
        <v>580</v>
      </c>
      <c r="AC25" s="72">
        <v>6711</v>
      </c>
      <c r="AD25" s="71">
        <v>45911</v>
      </c>
      <c r="AE25" s="70" t="s">
        <v>69</v>
      </c>
      <c r="AF25" s="70" t="s">
        <v>1855</v>
      </c>
      <c r="AG25" s="70" t="s">
        <v>167</v>
      </c>
      <c r="AH25" s="68"/>
      <c r="AI25" s="70" t="s">
        <v>168</v>
      </c>
      <c r="AJ25" s="70" t="s">
        <v>1856</v>
      </c>
      <c r="AK25" s="70" t="s">
        <v>169</v>
      </c>
      <c r="AL25" s="68"/>
      <c r="AM25" s="70" t="s">
        <v>702</v>
      </c>
      <c r="AN25" s="70" t="s">
        <v>1857</v>
      </c>
      <c r="AO25" s="70" t="s">
        <v>700</v>
      </c>
      <c r="AP25" s="70" t="s">
        <v>1858</v>
      </c>
      <c r="AQ25" s="70" t="s">
        <v>701</v>
      </c>
      <c r="AR25" s="70" t="s">
        <v>1859</v>
      </c>
      <c r="AS25" s="70" t="s">
        <v>122</v>
      </c>
      <c r="AT25" s="68" t="s">
        <v>170</v>
      </c>
      <c r="AU25" s="70" t="s">
        <v>171</v>
      </c>
      <c r="AV25" s="68"/>
      <c r="AW25" s="68"/>
      <c r="AX25" s="68"/>
      <c r="AY25" s="72">
        <v>7289.99</v>
      </c>
      <c r="AZ25" s="72">
        <v>0</v>
      </c>
      <c r="BA25" s="70" t="s">
        <v>135</v>
      </c>
      <c r="BB25" s="70" t="s">
        <v>136</v>
      </c>
      <c r="BC25" s="70" t="s">
        <v>3015</v>
      </c>
      <c r="BD25" s="70" t="s">
        <v>172</v>
      </c>
      <c r="BE25" s="70" t="s">
        <v>74</v>
      </c>
      <c r="BF25" s="70" t="s">
        <v>75</v>
      </c>
      <c r="BG25" s="68"/>
      <c r="BI25" s="68"/>
      <c r="BJ25" s="68"/>
      <c r="BK25" s="70">
        <v>2</v>
      </c>
      <c r="BL25" s="70">
        <v>1</v>
      </c>
      <c r="BM25" s="70" t="s">
        <v>2847</v>
      </c>
    </row>
    <row r="26" spans="1:65" ht="14.4" customHeight="1" x14ac:dyDescent="0.3">
      <c r="A26" s="1" t="str">
        <f t="shared" si="0"/>
        <v>001349</v>
      </c>
      <c r="B26" s="70" t="s">
        <v>61</v>
      </c>
      <c r="C26" s="70" t="s">
        <v>62</v>
      </c>
      <c r="D26" s="70" t="s">
        <v>183</v>
      </c>
      <c r="E26" s="70" t="s">
        <v>184</v>
      </c>
      <c r="F26" s="70" t="s">
        <v>590</v>
      </c>
      <c r="G26" s="70" t="s">
        <v>2763</v>
      </c>
      <c r="H26" s="70" t="s">
        <v>1999</v>
      </c>
      <c r="I26" s="70" t="s">
        <v>67</v>
      </c>
      <c r="J26" s="70" t="s">
        <v>1032</v>
      </c>
      <c r="K26" s="71">
        <v>45810</v>
      </c>
      <c r="L26" s="71">
        <v>46146</v>
      </c>
      <c r="M26" s="72">
        <v>15000</v>
      </c>
      <c r="N26" s="72">
        <v>15801.12</v>
      </c>
      <c r="O26" s="73">
        <v>8</v>
      </c>
      <c r="P26" s="73">
        <v>24</v>
      </c>
      <c r="Q26" s="70" t="s">
        <v>496</v>
      </c>
      <c r="R26" s="72">
        <v>1245.82</v>
      </c>
      <c r="S26" s="72">
        <v>1392</v>
      </c>
      <c r="T26" s="72">
        <v>1160</v>
      </c>
      <c r="U26" s="72">
        <v>9</v>
      </c>
      <c r="V26" s="72">
        <v>1</v>
      </c>
      <c r="W26" s="72">
        <v>10534.08</v>
      </c>
      <c r="X26" s="72">
        <v>2372.41</v>
      </c>
      <c r="Y26" s="72">
        <v>658.38</v>
      </c>
      <c r="Z26" s="72">
        <v>529.45000000000005</v>
      </c>
      <c r="AA26" s="72">
        <v>24.580000000000002</v>
      </c>
      <c r="AB26" s="72">
        <v>1160</v>
      </c>
      <c r="AC26" s="72">
        <v>1250</v>
      </c>
      <c r="AD26" s="71">
        <v>45936</v>
      </c>
      <c r="AE26" s="70" t="s">
        <v>69</v>
      </c>
      <c r="AF26" s="70" t="s">
        <v>2000</v>
      </c>
      <c r="AG26" s="70" t="s">
        <v>1033</v>
      </c>
      <c r="AH26" s="68"/>
      <c r="AI26" s="70" t="s">
        <v>526</v>
      </c>
      <c r="AJ26" s="70" t="s">
        <v>527</v>
      </c>
      <c r="AK26" s="70" t="s">
        <v>1034</v>
      </c>
      <c r="AL26" s="70" t="s">
        <v>2000</v>
      </c>
      <c r="AM26" s="70" t="s">
        <v>1035</v>
      </c>
      <c r="AN26" s="70" t="s">
        <v>2001</v>
      </c>
      <c r="AO26" s="70" t="s">
        <v>1036</v>
      </c>
      <c r="AP26" s="70" t="s">
        <v>2002</v>
      </c>
      <c r="AQ26" s="70" t="s">
        <v>1037</v>
      </c>
      <c r="AR26" s="70" t="s">
        <v>2003</v>
      </c>
      <c r="AS26" s="68"/>
      <c r="AT26" s="68"/>
      <c r="AU26" s="68"/>
      <c r="AV26" s="68"/>
      <c r="AW26" s="68"/>
      <c r="AX26" s="68"/>
      <c r="AY26" s="72">
        <v>20189.75</v>
      </c>
      <c r="AZ26" s="72">
        <v>0</v>
      </c>
      <c r="BA26" s="70" t="s">
        <v>67</v>
      </c>
      <c r="BB26" s="70" t="s">
        <v>1044</v>
      </c>
      <c r="BC26" s="70" t="s">
        <v>2986</v>
      </c>
      <c r="BD26" s="70" t="s">
        <v>88</v>
      </c>
      <c r="BE26" s="70" t="s">
        <v>74</v>
      </c>
      <c r="BF26" s="70" t="s">
        <v>75</v>
      </c>
      <c r="BG26" s="68"/>
      <c r="BI26" s="68"/>
      <c r="BJ26" s="68"/>
      <c r="BK26" s="70">
        <v>3</v>
      </c>
      <c r="BL26" s="70">
        <v>2</v>
      </c>
      <c r="BM26" s="70" t="s">
        <v>2847</v>
      </c>
    </row>
    <row r="27" spans="1:65" ht="14.4" customHeight="1" x14ac:dyDescent="0.3">
      <c r="A27" s="1" t="str">
        <f t="shared" si="0"/>
        <v>001361</v>
      </c>
      <c r="B27" s="70" t="s">
        <v>61</v>
      </c>
      <c r="C27" s="70" t="s">
        <v>62</v>
      </c>
      <c r="D27" s="70" t="s">
        <v>183</v>
      </c>
      <c r="E27" s="70" t="s">
        <v>184</v>
      </c>
      <c r="F27" s="70" t="s">
        <v>590</v>
      </c>
      <c r="G27" s="70" t="s">
        <v>2763</v>
      </c>
      <c r="H27" s="70" t="s">
        <v>2004</v>
      </c>
      <c r="I27" s="70" t="s">
        <v>67</v>
      </c>
      <c r="J27" s="70" t="s">
        <v>1038</v>
      </c>
      <c r="K27" s="71">
        <v>45810</v>
      </c>
      <c r="L27" s="71">
        <v>45993</v>
      </c>
      <c r="M27" s="72">
        <v>7000</v>
      </c>
      <c r="N27" s="72">
        <v>7373.85</v>
      </c>
      <c r="O27" s="73">
        <v>0</v>
      </c>
      <c r="P27" s="73">
        <v>6</v>
      </c>
      <c r="Q27" s="70" t="s">
        <v>68</v>
      </c>
      <c r="R27" s="72">
        <v>1825.24</v>
      </c>
      <c r="S27" s="72">
        <v>348</v>
      </c>
      <c r="T27" s="72">
        <v>0</v>
      </c>
      <c r="U27" s="72">
        <v>0</v>
      </c>
      <c r="V27" s="72">
        <v>0</v>
      </c>
      <c r="W27" s="72">
        <v>2457.96</v>
      </c>
      <c r="X27" s="72">
        <v>0.01</v>
      </c>
      <c r="Y27" s="72">
        <v>0.01</v>
      </c>
      <c r="Z27" s="72">
        <v>0</v>
      </c>
      <c r="AA27" s="72">
        <v>0</v>
      </c>
      <c r="AB27" s="72">
        <v>0</v>
      </c>
      <c r="AC27" s="72">
        <v>1825.24</v>
      </c>
      <c r="AD27" s="71">
        <v>45932</v>
      </c>
      <c r="AE27" s="70" t="s">
        <v>69</v>
      </c>
      <c r="AF27" s="70" t="s">
        <v>2005</v>
      </c>
      <c r="AG27" s="70" t="s">
        <v>1039</v>
      </c>
      <c r="AH27" s="68"/>
      <c r="AI27" s="70" t="s">
        <v>86</v>
      </c>
      <c r="AJ27" s="70" t="s">
        <v>87</v>
      </c>
      <c r="AK27" s="70" t="s">
        <v>1040</v>
      </c>
      <c r="AL27" s="70" t="s">
        <v>2006</v>
      </c>
      <c r="AM27" s="70" t="s">
        <v>1041</v>
      </c>
      <c r="AN27" s="70" t="s">
        <v>2007</v>
      </c>
      <c r="AO27" s="70" t="s">
        <v>1042</v>
      </c>
      <c r="AP27" s="70" t="s">
        <v>2008</v>
      </c>
      <c r="AQ27" s="70" t="s">
        <v>1043</v>
      </c>
      <c r="AR27" s="70" t="s">
        <v>2009</v>
      </c>
      <c r="AS27" s="68"/>
      <c r="AT27" s="68"/>
      <c r="AU27" s="68"/>
      <c r="AV27" s="68"/>
      <c r="AW27" s="68"/>
      <c r="AX27" s="68"/>
      <c r="AY27" s="72">
        <v>3534.4900000000002</v>
      </c>
      <c r="AZ27" s="72">
        <v>0</v>
      </c>
      <c r="BA27" s="70" t="s">
        <v>67</v>
      </c>
      <c r="BB27" s="70" t="s">
        <v>1044</v>
      </c>
      <c r="BC27" s="70" t="s">
        <v>2879</v>
      </c>
      <c r="BD27" s="70" t="s">
        <v>341</v>
      </c>
      <c r="BE27" s="70" t="s">
        <v>74</v>
      </c>
      <c r="BF27" s="70" t="s">
        <v>75</v>
      </c>
      <c r="BG27" s="68"/>
      <c r="BI27" s="68"/>
      <c r="BJ27" s="68"/>
      <c r="BK27" s="70">
        <v>0</v>
      </c>
      <c r="BL27" s="70">
        <v>0</v>
      </c>
      <c r="BM27" s="70" t="s">
        <v>2847</v>
      </c>
    </row>
    <row r="28" spans="1:65" ht="14.4" customHeight="1" x14ac:dyDescent="0.3">
      <c r="A28" s="1" t="str">
        <f t="shared" si="0"/>
        <v>001242</v>
      </c>
      <c r="B28" s="70" t="s">
        <v>61</v>
      </c>
      <c r="C28" s="70" t="s">
        <v>62</v>
      </c>
      <c r="D28" s="70" t="s">
        <v>408</v>
      </c>
      <c r="E28" s="70" t="s">
        <v>409</v>
      </c>
      <c r="F28" s="70" t="s">
        <v>590</v>
      </c>
      <c r="G28" s="70" t="s">
        <v>2763</v>
      </c>
      <c r="H28" s="70" t="s">
        <v>1899</v>
      </c>
      <c r="I28" s="70" t="s">
        <v>67</v>
      </c>
      <c r="J28" s="70" t="s">
        <v>358</v>
      </c>
      <c r="K28" s="71">
        <v>45756</v>
      </c>
      <c r="L28" s="71">
        <v>46121</v>
      </c>
      <c r="M28" s="72">
        <v>30000</v>
      </c>
      <c r="N28" s="72">
        <v>31602.23</v>
      </c>
      <c r="O28" s="73">
        <v>5</v>
      </c>
      <c r="P28" s="73">
        <v>12</v>
      </c>
      <c r="Q28" s="70" t="s">
        <v>68</v>
      </c>
      <c r="R28" s="72">
        <v>4412.13</v>
      </c>
      <c r="S28" s="72">
        <v>696</v>
      </c>
      <c r="T28" s="72">
        <v>580</v>
      </c>
      <c r="U28" s="72">
        <v>0</v>
      </c>
      <c r="V28" s="72">
        <v>1</v>
      </c>
      <c r="W28" s="72">
        <v>18434.63</v>
      </c>
      <c r="X28" s="72">
        <v>4991.7750000000005</v>
      </c>
      <c r="Y28" s="72">
        <v>2633.52</v>
      </c>
      <c r="Z28" s="72">
        <v>1720.6100000000001</v>
      </c>
      <c r="AA28" s="72">
        <v>57.65</v>
      </c>
      <c r="AB28" s="72">
        <v>580</v>
      </c>
      <c r="AC28" s="72">
        <v>4989</v>
      </c>
      <c r="AD28" s="71">
        <v>45929</v>
      </c>
      <c r="AE28" s="70" t="s">
        <v>69</v>
      </c>
      <c r="AF28" s="70" t="s">
        <v>1900</v>
      </c>
      <c r="AG28" s="70" t="s">
        <v>2782</v>
      </c>
      <c r="AH28" s="68"/>
      <c r="AI28" s="70" t="s">
        <v>121</v>
      </c>
      <c r="AJ28" s="70" t="s">
        <v>1901</v>
      </c>
      <c r="AK28" s="70" t="s">
        <v>451</v>
      </c>
      <c r="AL28" s="70" t="s">
        <v>1900</v>
      </c>
      <c r="AM28" s="70" t="s">
        <v>748</v>
      </c>
      <c r="AN28" s="70" t="s">
        <v>1902</v>
      </c>
      <c r="AO28" s="70" t="s">
        <v>746</v>
      </c>
      <c r="AP28" s="70" t="s">
        <v>1903</v>
      </c>
      <c r="AQ28" s="70" t="s">
        <v>747</v>
      </c>
      <c r="AR28" s="70" t="s">
        <v>1904</v>
      </c>
      <c r="AS28" s="70" t="s">
        <v>122</v>
      </c>
      <c r="AT28" s="75" t="s">
        <v>359</v>
      </c>
      <c r="AU28" s="70" t="s">
        <v>360</v>
      </c>
      <c r="AV28" s="68"/>
      <c r="AW28" s="68"/>
      <c r="AX28" s="68"/>
      <c r="AY28" s="72">
        <v>31116.55</v>
      </c>
      <c r="AZ28" s="72">
        <v>0</v>
      </c>
      <c r="BA28" s="70" t="s">
        <v>67</v>
      </c>
      <c r="BB28" s="70" t="s">
        <v>1044</v>
      </c>
      <c r="BC28" s="70" t="s">
        <v>2955</v>
      </c>
      <c r="BD28" s="70" t="s">
        <v>452</v>
      </c>
      <c r="BE28" s="70" t="s">
        <v>74</v>
      </c>
      <c r="BF28" s="70" t="s">
        <v>75</v>
      </c>
      <c r="BG28" s="68"/>
      <c r="BI28" s="68"/>
      <c r="BJ28" s="68"/>
      <c r="BK28" s="70">
        <v>2</v>
      </c>
      <c r="BL28" s="70">
        <v>2</v>
      </c>
      <c r="BM28" s="70" t="s">
        <v>2847</v>
      </c>
    </row>
    <row r="29" spans="1:65" ht="14.4" customHeight="1" x14ac:dyDescent="0.3">
      <c r="A29" s="1" t="str">
        <f t="shared" si="0"/>
        <v>001464</v>
      </c>
      <c r="B29" s="70" t="s">
        <v>61</v>
      </c>
      <c r="C29" s="70" t="s">
        <v>62</v>
      </c>
      <c r="D29" s="70" t="s">
        <v>183</v>
      </c>
      <c r="E29" s="70" t="s">
        <v>184</v>
      </c>
      <c r="F29" s="70" t="s">
        <v>590</v>
      </c>
      <c r="G29" s="70" t="s">
        <v>2763</v>
      </c>
      <c r="H29" s="70" t="s">
        <v>2010</v>
      </c>
      <c r="I29" s="70" t="s">
        <v>67</v>
      </c>
      <c r="J29" s="70" t="s">
        <v>1571</v>
      </c>
      <c r="K29" s="71">
        <v>45840</v>
      </c>
      <c r="L29" s="71">
        <v>46008</v>
      </c>
      <c r="M29" s="72">
        <v>5000</v>
      </c>
      <c r="N29" s="72">
        <v>5267.04</v>
      </c>
      <c r="O29" s="73">
        <v>0</v>
      </c>
      <c r="P29" s="73">
        <v>12</v>
      </c>
      <c r="Q29" s="70" t="s">
        <v>496</v>
      </c>
      <c r="R29" s="72">
        <v>673.4</v>
      </c>
      <c r="S29" s="72">
        <v>696</v>
      </c>
      <c r="T29" s="72">
        <v>0</v>
      </c>
      <c r="U29" s="72">
        <v>7</v>
      </c>
      <c r="V29" s="72">
        <v>0</v>
      </c>
      <c r="W29" s="72">
        <v>2194.61</v>
      </c>
      <c r="X29" s="72">
        <v>0.01</v>
      </c>
      <c r="Y29" s="72">
        <v>0.01</v>
      </c>
      <c r="Z29" s="72">
        <v>0</v>
      </c>
      <c r="AA29" s="72">
        <v>0</v>
      </c>
      <c r="AB29" s="72">
        <v>0</v>
      </c>
      <c r="AC29" s="72">
        <v>673.4</v>
      </c>
      <c r="AD29" s="71">
        <v>45938</v>
      </c>
      <c r="AE29" s="70" t="s">
        <v>69</v>
      </c>
      <c r="AF29" s="70" t="s">
        <v>2011</v>
      </c>
      <c r="AG29" s="70" t="s">
        <v>3059</v>
      </c>
      <c r="AH29" s="68"/>
      <c r="AI29" s="70" t="s">
        <v>192</v>
      </c>
      <c r="AJ29" s="70" t="s">
        <v>193</v>
      </c>
      <c r="AK29" s="70" t="s">
        <v>1572</v>
      </c>
      <c r="AL29" s="70" t="s">
        <v>2011</v>
      </c>
      <c r="AM29" s="70" t="s">
        <v>1573</v>
      </c>
      <c r="AN29" s="70" t="s">
        <v>2012</v>
      </c>
      <c r="AO29" s="70" t="s">
        <v>1574</v>
      </c>
      <c r="AP29" s="70" t="s">
        <v>2013</v>
      </c>
      <c r="AQ29" s="70" t="s">
        <v>1575</v>
      </c>
      <c r="AR29" s="70" t="s">
        <v>2014</v>
      </c>
      <c r="AS29" s="68"/>
      <c r="AT29" s="68"/>
      <c r="AU29" s="68"/>
      <c r="AV29" s="68"/>
      <c r="AW29" s="68"/>
      <c r="AX29" s="68"/>
      <c r="AY29" s="72">
        <v>3077.01</v>
      </c>
      <c r="AZ29" s="72">
        <v>0</v>
      </c>
      <c r="BA29" s="70" t="s">
        <v>67</v>
      </c>
      <c r="BB29" s="70" t="s">
        <v>1044</v>
      </c>
      <c r="BC29" s="70" t="s">
        <v>2949</v>
      </c>
      <c r="BD29" s="70" t="s">
        <v>125</v>
      </c>
      <c r="BE29" s="70" t="s">
        <v>74</v>
      </c>
      <c r="BF29" s="70" t="s">
        <v>75</v>
      </c>
      <c r="BG29" s="70" t="s">
        <v>2592</v>
      </c>
      <c r="BH29" s="70"/>
      <c r="BI29" s="68"/>
      <c r="BJ29" s="68"/>
      <c r="BK29" s="70">
        <v>0</v>
      </c>
      <c r="BL29" s="70">
        <v>0</v>
      </c>
      <c r="BM29" s="70" t="s">
        <v>2847</v>
      </c>
    </row>
    <row r="30" spans="1:65" ht="14.4" customHeight="1" x14ac:dyDescent="0.3">
      <c r="A30" s="1" t="str">
        <f t="shared" si="0"/>
        <v>001625</v>
      </c>
      <c r="B30" s="70" t="s">
        <v>61</v>
      </c>
      <c r="C30" s="70" t="s">
        <v>62</v>
      </c>
      <c r="D30" s="70" t="s">
        <v>183</v>
      </c>
      <c r="E30" s="70" t="s">
        <v>184</v>
      </c>
      <c r="F30" s="70" t="s">
        <v>590</v>
      </c>
      <c r="G30" s="70" t="s">
        <v>2763</v>
      </c>
      <c r="H30" s="70" t="s">
        <v>2553</v>
      </c>
      <c r="I30" s="70" t="s">
        <v>67</v>
      </c>
      <c r="J30" s="70" t="s">
        <v>2554</v>
      </c>
      <c r="K30" s="71">
        <v>45873</v>
      </c>
      <c r="L30" s="71">
        <v>46238</v>
      </c>
      <c r="M30" s="72">
        <v>20000</v>
      </c>
      <c r="N30" s="72">
        <v>21068.16</v>
      </c>
      <c r="O30" s="73">
        <v>0</v>
      </c>
      <c r="P30" s="73">
        <v>12</v>
      </c>
      <c r="Q30" s="70" t="s">
        <v>68</v>
      </c>
      <c r="R30" s="72">
        <v>3347.38</v>
      </c>
      <c r="S30" s="72">
        <v>696</v>
      </c>
      <c r="T30" s="72">
        <v>0</v>
      </c>
      <c r="U30" s="72">
        <v>0</v>
      </c>
      <c r="V30" s="72">
        <v>0</v>
      </c>
      <c r="W30" s="72">
        <v>17556.810000000001</v>
      </c>
      <c r="X30" s="72">
        <v>0.01</v>
      </c>
      <c r="Y30" s="72">
        <v>0.01</v>
      </c>
      <c r="Z30" s="72">
        <v>0</v>
      </c>
      <c r="AA30" s="72">
        <v>0</v>
      </c>
      <c r="AB30" s="72">
        <v>0</v>
      </c>
      <c r="AC30" s="72">
        <v>3347.38</v>
      </c>
      <c r="AD30" s="71">
        <v>45933</v>
      </c>
      <c r="AE30" s="70" t="s">
        <v>69</v>
      </c>
      <c r="AF30" s="70" t="s">
        <v>2555</v>
      </c>
      <c r="AG30" s="70" t="s">
        <v>2556</v>
      </c>
      <c r="AH30" s="68"/>
      <c r="AI30" s="70" t="s">
        <v>2557</v>
      </c>
      <c r="AJ30" s="70" t="s">
        <v>2558</v>
      </c>
      <c r="AK30" s="68"/>
      <c r="AL30" s="68"/>
      <c r="AM30" s="70" t="s">
        <v>2559</v>
      </c>
      <c r="AN30" s="70" t="s">
        <v>2560</v>
      </c>
      <c r="AO30" s="70" t="s">
        <v>2561</v>
      </c>
      <c r="AP30" s="70" t="s">
        <v>2562</v>
      </c>
      <c r="AQ30" s="70" t="s">
        <v>2563</v>
      </c>
      <c r="AR30" s="70" t="s">
        <v>2564</v>
      </c>
      <c r="AS30" s="68"/>
      <c r="AT30" s="68"/>
      <c r="AU30" s="68"/>
      <c r="AV30" s="68"/>
      <c r="AW30" s="68"/>
      <c r="AX30" s="68"/>
      <c r="AY30" s="72">
        <v>32893.840000000004</v>
      </c>
      <c r="AZ30" s="72">
        <v>0</v>
      </c>
      <c r="BA30" s="70" t="s">
        <v>67</v>
      </c>
      <c r="BB30" s="70" t="s">
        <v>1044</v>
      </c>
      <c r="BC30" s="70" t="s">
        <v>2953</v>
      </c>
      <c r="BD30" s="70" t="s">
        <v>88</v>
      </c>
      <c r="BE30" s="70" t="s">
        <v>74</v>
      </c>
      <c r="BF30" s="70" t="s">
        <v>75</v>
      </c>
      <c r="BG30" s="70" t="s">
        <v>2565</v>
      </c>
      <c r="BH30" s="70"/>
      <c r="BI30" s="68"/>
      <c r="BJ30" s="68"/>
      <c r="BK30" s="70">
        <v>0</v>
      </c>
      <c r="BL30" s="70">
        <v>0</v>
      </c>
      <c r="BM30" s="70" t="s">
        <v>2847</v>
      </c>
    </row>
    <row r="31" spans="1:65" ht="14.4" customHeight="1" x14ac:dyDescent="0.3">
      <c r="A31" s="1" t="str">
        <f t="shared" si="0"/>
        <v>001459</v>
      </c>
      <c r="B31" s="70" t="s">
        <v>61</v>
      </c>
      <c r="C31" s="70" t="s">
        <v>62</v>
      </c>
      <c r="D31" s="70" t="s">
        <v>1429</v>
      </c>
      <c r="E31" s="70" t="s">
        <v>617</v>
      </c>
      <c r="F31" s="70" t="s">
        <v>590</v>
      </c>
      <c r="G31" s="70" t="s">
        <v>2763</v>
      </c>
      <c r="H31" s="70" t="s">
        <v>2020</v>
      </c>
      <c r="I31" s="70" t="s">
        <v>67</v>
      </c>
      <c r="J31" s="70" t="s">
        <v>1451</v>
      </c>
      <c r="K31" s="71">
        <v>45839</v>
      </c>
      <c r="L31" s="71">
        <v>45962</v>
      </c>
      <c r="M31" s="72">
        <v>15000</v>
      </c>
      <c r="N31" s="72">
        <v>15801.12</v>
      </c>
      <c r="O31" s="73">
        <v>0</v>
      </c>
      <c r="P31" s="73">
        <v>4</v>
      </c>
      <c r="Q31" s="70" t="s">
        <v>68</v>
      </c>
      <c r="R31" s="72">
        <v>5171.16</v>
      </c>
      <c r="S31" s="72">
        <v>232</v>
      </c>
      <c r="T31" s="72">
        <v>0</v>
      </c>
      <c r="U31" s="72">
        <v>0</v>
      </c>
      <c r="V31" s="72">
        <v>0</v>
      </c>
      <c r="W31" s="72">
        <v>3950.28</v>
      </c>
      <c r="X31" s="72">
        <v>0</v>
      </c>
      <c r="Y31" s="72">
        <v>0</v>
      </c>
      <c r="Z31" s="74">
        <v>0</v>
      </c>
      <c r="AA31" s="74">
        <v>0</v>
      </c>
      <c r="AB31" s="72">
        <v>0</v>
      </c>
      <c r="AC31" s="72">
        <v>5200</v>
      </c>
      <c r="AD31" s="71">
        <v>45931</v>
      </c>
      <c r="AE31" s="70" t="s">
        <v>69</v>
      </c>
      <c r="AF31" s="70" t="s">
        <v>2021</v>
      </c>
      <c r="AG31" s="70" t="s">
        <v>1452</v>
      </c>
      <c r="AH31" s="68"/>
      <c r="AI31" s="70" t="s">
        <v>464</v>
      </c>
      <c r="AJ31" s="70" t="s">
        <v>465</v>
      </c>
      <c r="AK31" s="68"/>
      <c r="AL31" s="68"/>
      <c r="AM31" s="70" t="s">
        <v>1453</v>
      </c>
      <c r="AN31" s="70" t="s">
        <v>2022</v>
      </c>
      <c r="AO31" s="70" t="s">
        <v>1454</v>
      </c>
      <c r="AP31" s="70" t="s">
        <v>2023</v>
      </c>
      <c r="AQ31" s="70" t="s">
        <v>1455</v>
      </c>
      <c r="AR31" s="70" t="s">
        <v>2024</v>
      </c>
      <c r="AS31" s="68"/>
      <c r="AT31" s="68"/>
      <c r="AU31" s="68"/>
      <c r="AV31" s="68"/>
      <c r="AW31" s="68"/>
      <c r="AX31" s="68"/>
      <c r="AY31" s="72">
        <v>5026.6500000000005</v>
      </c>
      <c r="AZ31" s="72">
        <v>86.51</v>
      </c>
      <c r="BA31" s="70" t="s">
        <v>67</v>
      </c>
      <c r="BB31" s="70" t="s">
        <v>1044</v>
      </c>
      <c r="BC31" s="70" t="s">
        <v>2945</v>
      </c>
      <c r="BD31" s="70" t="s">
        <v>88</v>
      </c>
      <c r="BE31" s="70" t="s">
        <v>74</v>
      </c>
      <c r="BF31" s="70" t="s">
        <v>75</v>
      </c>
      <c r="BG31" s="70" t="s">
        <v>1456</v>
      </c>
      <c r="BH31" s="70"/>
      <c r="BI31" s="68"/>
      <c r="BJ31" s="68"/>
      <c r="BK31" s="70">
        <v>0</v>
      </c>
      <c r="BL31" s="70">
        <v>0</v>
      </c>
      <c r="BM31" s="70" t="s">
        <v>2847</v>
      </c>
    </row>
    <row r="32" spans="1:65" ht="14.4" customHeight="1" x14ac:dyDescent="0.3">
      <c r="A32" s="1" t="str">
        <f t="shared" si="0"/>
        <v>001452</v>
      </c>
      <c r="B32" s="70" t="s">
        <v>61</v>
      </c>
      <c r="C32" s="70" t="s">
        <v>62</v>
      </c>
      <c r="D32" s="70" t="s">
        <v>1429</v>
      </c>
      <c r="E32" s="70" t="s">
        <v>617</v>
      </c>
      <c r="F32" s="70" t="s">
        <v>590</v>
      </c>
      <c r="G32" s="70" t="s">
        <v>2763</v>
      </c>
      <c r="H32" s="70" t="s">
        <v>2025</v>
      </c>
      <c r="I32" s="70" t="s">
        <v>67</v>
      </c>
      <c r="J32" s="70" t="s">
        <v>1379</v>
      </c>
      <c r="K32" s="71">
        <v>45839</v>
      </c>
      <c r="L32" s="71">
        <v>46023</v>
      </c>
      <c r="M32" s="72">
        <v>5000</v>
      </c>
      <c r="N32" s="72">
        <v>5267.04</v>
      </c>
      <c r="O32" s="73">
        <v>0</v>
      </c>
      <c r="P32" s="73">
        <v>6</v>
      </c>
      <c r="Q32" s="70" t="s">
        <v>68</v>
      </c>
      <c r="R32" s="72">
        <v>1322.42</v>
      </c>
      <c r="S32" s="72">
        <v>348</v>
      </c>
      <c r="T32" s="72">
        <v>0</v>
      </c>
      <c r="U32" s="72">
        <v>0</v>
      </c>
      <c r="V32" s="72">
        <v>0</v>
      </c>
      <c r="W32" s="72">
        <v>2633.52</v>
      </c>
      <c r="X32" s="72">
        <v>0</v>
      </c>
      <c r="Y32" s="72">
        <v>0</v>
      </c>
      <c r="Z32" s="72">
        <v>0</v>
      </c>
      <c r="AA32" s="74">
        <v>0</v>
      </c>
      <c r="AB32" s="72">
        <v>0</v>
      </c>
      <c r="AC32" s="72">
        <v>1322.42</v>
      </c>
      <c r="AD32" s="71">
        <v>45931</v>
      </c>
      <c r="AE32" s="70" t="s">
        <v>69</v>
      </c>
      <c r="AF32" s="70" t="s">
        <v>2026</v>
      </c>
      <c r="AG32" s="70" t="s">
        <v>1380</v>
      </c>
      <c r="AH32" s="68"/>
      <c r="AI32" s="70" t="s">
        <v>1381</v>
      </c>
      <c r="AJ32" s="70" t="s">
        <v>2027</v>
      </c>
      <c r="AK32" s="70" t="s">
        <v>1382</v>
      </c>
      <c r="AL32" s="70" t="s">
        <v>2026</v>
      </c>
      <c r="AM32" s="70" t="s">
        <v>1383</v>
      </c>
      <c r="AN32" s="70" t="s">
        <v>2028</v>
      </c>
      <c r="AO32" s="70" t="s">
        <v>1384</v>
      </c>
      <c r="AP32" s="70" t="s">
        <v>2029</v>
      </c>
      <c r="AQ32" s="70" t="s">
        <v>1385</v>
      </c>
      <c r="AR32" s="70" t="s">
        <v>2030</v>
      </c>
      <c r="AS32" s="68"/>
      <c r="AT32" s="68"/>
      <c r="AU32" s="68"/>
      <c r="AV32" s="68"/>
      <c r="AW32" s="68"/>
      <c r="AX32" s="68"/>
      <c r="AY32" s="72">
        <v>3765.66</v>
      </c>
      <c r="AZ32" s="72">
        <v>27.59</v>
      </c>
      <c r="BA32" s="70" t="s">
        <v>67</v>
      </c>
      <c r="BB32" s="70" t="s">
        <v>1044</v>
      </c>
      <c r="BC32" s="70" t="s">
        <v>3004</v>
      </c>
      <c r="BD32" s="70" t="s">
        <v>1583</v>
      </c>
      <c r="BE32" s="70" t="s">
        <v>74</v>
      </c>
      <c r="BF32" s="70" t="s">
        <v>338</v>
      </c>
      <c r="BG32" s="70" t="s">
        <v>1386</v>
      </c>
      <c r="BH32" s="70"/>
      <c r="BI32" s="68"/>
      <c r="BJ32" s="68"/>
      <c r="BK32" s="70">
        <v>0</v>
      </c>
      <c r="BL32" s="70">
        <v>0</v>
      </c>
      <c r="BM32" s="70" t="s">
        <v>2847</v>
      </c>
    </row>
    <row r="33" spans="1:65" ht="14.4" customHeight="1" x14ac:dyDescent="0.3">
      <c r="A33" s="1" t="str">
        <f t="shared" ref="A33:A86" si="1">H33</f>
        <v>001309</v>
      </c>
      <c r="B33" s="70" t="s">
        <v>61</v>
      </c>
      <c r="C33" s="70" t="s">
        <v>62</v>
      </c>
      <c r="D33" s="70" t="s">
        <v>408</v>
      </c>
      <c r="E33" s="70" t="s">
        <v>409</v>
      </c>
      <c r="F33" s="70" t="s">
        <v>590</v>
      </c>
      <c r="G33" s="70" t="s">
        <v>2763</v>
      </c>
      <c r="H33" s="70" t="s">
        <v>1905</v>
      </c>
      <c r="I33" s="70" t="s">
        <v>67</v>
      </c>
      <c r="J33" s="70" t="s">
        <v>553</v>
      </c>
      <c r="K33" s="71">
        <v>45786</v>
      </c>
      <c r="L33" s="71">
        <v>45970</v>
      </c>
      <c r="M33" s="72">
        <v>7000</v>
      </c>
      <c r="N33" s="72">
        <v>7373.85</v>
      </c>
      <c r="O33" s="73">
        <v>0</v>
      </c>
      <c r="P33" s="73">
        <v>6</v>
      </c>
      <c r="Q33" s="70" t="s">
        <v>68</v>
      </c>
      <c r="R33" s="72">
        <v>1828.18</v>
      </c>
      <c r="S33" s="72">
        <v>348</v>
      </c>
      <c r="T33" s="72">
        <v>0</v>
      </c>
      <c r="U33" s="72">
        <v>0</v>
      </c>
      <c r="V33" s="72">
        <v>0</v>
      </c>
      <c r="W33" s="72">
        <v>1228.97</v>
      </c>
      <c r="X33" s="72">
        <v>0</v>
      </c>
      <c r="Y33" s="74">
        <v>0</v>
      </c>
      <c r="Z33" s="72">
        <v>0</v>
      </c>
      <c r="AA33" s="74">
        <v>0</v>
      </c>
      <c r="AB33" s="72">
        <v>0</v>
      </c>
      <c r="AC33" s="72">
        <v>1830</v>
      </c>
      <c r="AD33" s="71">
        <v>45939</v>
      </c>
      <c r="AE33" s="70" t="s">
        <v>69</v>
      </c>
      <c r="AF33" s="70" t="s">
        <v>1906</v>
      </c>
      <c r="AG33" s="70" t="s">
        <v>554</v>
      </c>
      <c r="AH33" s="68"/>
      <c r="AI33" s="70" t="s">
        <v>565</v>
      </c>
      <c r="AJ33" s="70" t="s">
        <v>1907</v>
      </c>
      <c r="AK33" s="68"/>
      <c r="AL33" s="68"/>
      <c r="AM33" s="70" t="s">
        <v>754</v>
      </c>
      <c r="AN33" s="70" t="s">
        <v>1908</v>
      </c>
      <c r="AO33" s="70" t="s">
        <v>752</v>
      </c>
      <c r="AP33" s="70" t="s">
        <v>1909</v>
      </c>
      <c r="AQ33" s="70" t="s">
        <v>753</v>
      </c>
      <c r="AR33" s="70" t="s">
        <v>1910</v>
      </c>
      <c r="AS33" s="68"/>
      <c r="AT33" s="68"/>
      <c r="AU33" s="68"/>
      <c r="AV33" s="68"/>
      <c r="AW33" s="68"/>
      <c r="AX33" s="68"/>
      <c r="AY33" s="72">
        <v>1761.1000000000001</v>
      </c>
      <c r="AZ33" s="72">
        <v>9.0859133333333304</v>
      </c>
      <c r="BA33" s="70" t="s">
        <v>67</v>
      </c>
      <c r="BB33" s="70" t="s">
        <v>1044</v>
      </c>
      <c r="BC33" s="70" t="s">
        <v>2990</v>
      </c>
      <c r="BD33" s="70" t="s">
        <v>337</v>
      </c>
      <c r="BE33" s="70" t="s">
        <v>74</v>
      </c>
      <c r="BF33" s="70" t="s">
        <v>338</v>
      </c>
      <c r="BG33" s="68"/>
      <c r="BI33" s="68"/>
      <c r="BJ33" s="68"/>
      <c r="BK33" s="70">
        <v>0</v>
      </c>
      <c r="BL33" s="70">
        <v>0</v>
      </c>
      <c r="BM33" s="70" t="s">
        <v>2847</v>
      </c>
    </row>
    <row r="34" spans="1:65" ht="14.4" customHeight="1" x14ac:dyDescent="0.3">
      <c r="A34" s="1" t="str">
        <f t="shared" si="1"/>
        <v>001335</v>
      </c>
      <c r="B34" s="70" t="s">
        <v>61</v>
      </c>
      <c r="C34" s="70" t="s">
        <v>62</v>
      </c>
      <c r="D34" s="70" t="s">
        <v>1429</v>
      </c>
      <c r="E34" s="70" t="s">
        <v>617</v>
      </c>
      <c r="F34" s="70" t="s">
        <v>590</v>
      </c>
      <c r="G34" s="70" t="s">
        <v>2763</v>
      </c>
      <c r="H34" s="70" t="s">
        <v>2031</v>
      </c>
      <c r="I34" s="70" t="s">
        <v>67</v>
      </c>
      <c r="J34" s="70" t="s">
        <v>620</v>
      </c>
      <c r="K34" s="71">
        <v>45800</v>
      </c>
      <c r="L34" s="71">
        <v>46165</v>
      </c>
      <c r="M34" s="72">
        <v>10000</v>
      </c>
      <c r="N34" s="72">
        <v>10534.08</v>
      </c>
      <c r="O34" s="73">
        <v>0</v>
      </c>
      <c r="P34" s="73">
        <v>12</v>
      </c>
      <c r="Q34" s="70" t="s">
        <v>68</v>
      </c>
      <c r="R34" s="72">
        <v>1702.69</v>
      </c>
      <c r="S34" s="72">
        <v>696</v>
      </c>
      <c r="T34" s="72">
        <v>0</v>
      </c>
      <c r="U34" s="72">
        <v>0</v>
      </c>
      <c r="V34" s="72">
        <v>0</v>
      </c>
      <c r="W34" s="72">
        <v>7022.7300000000005</v>
      </c>
      <c r="X34" s="72">
        <v>0.01</v>
      </c>
      <c r="Y34" s="72">
        <v>0.01</v>
      </c>
      <c r="Z34" s="72">
        <v>0</v>
      </c>
      <c r="AA34" s="72">
        <v>0</v>
      </c>
      <c r="AB34" s="72">
        <v>0</v>
      </c>
      <c r="AC34" s="72">
        <v>1702.69</v>
      </c>
      <c r="AD34" s="71">
        <v>45923</v>
      </c>
      <c r="AE34" s="70" t="s">
        <v>69</v>
      </c>
      <c r="AF34" s="70" t="s">
        <v>2032</v>
      </c>
      <c r="AG34" s="70" t="s">
        <v>621</v>
      </c>
      <c r="AH34" s="68"/>
      <c r="AI34" s="70" t="s">
        <v>622</v>
      </c>
      <c r="AJ34" s="70" t="s">
        <v>2033</v>
      </c>
      <c r="AK34" s="68"/>
      <c r="AL34" s="68"/>
      <c r="AM34" s="70" t="s">
        <v>780</v>
      </c>
      <c r="AN34" s="70" t="s">
        <v>2034</v>
      </c>
      <c r="AO34" s="70" t="s">
        <v>778</v>
      </c>
      <c r="AP34" s="70" t="s">
        <v>2035</v>
      </c>
      <c r="AQ34" s="70" t="s">
        <v>779</v>
      </c>
      <c r="AR34" s="70" t="s">
        <v>2036</v>
      </c>
      <c r="AS34" s="68"/>
      <c r="AT34" s="68"/>
      <c r="AU34" s="68"/>
      <c r="AV34" s="68"/>
      <c r="AW34" s="68"/>
      <c r="AX34" s="68"/>
      <c r="AY34" s="72">
        <v>13157.54</v>
      </c>
      <c r="AZ34" s="72">
        <v>0</v>
      </c>
      <c r="BA34" s="70" t="s">
        <v>67</v>
      </c>
      <c r="BB34" s="70" t="s">
        <v>1044</v>
      </c>
      <c r="BC34" s="70" t="s">
        <v>2975</v>
      </c>
      <c r="BD34" s="70" t="s">
        <v>85</v>
      </c>
      <c r="BE34" s="70" t="s">
        <v>74</v>
      </c>
      <c r="BF34" s="70" t="s">
        <v>75</v>
      </c>
      <c r="BG34" s="68"/>
      <c r="BI34" s="68"/>
      <c r="BJ34" s="68"/>
      <c r="BK34" s="70">
        <v>0</v>
      </c>
      <c r="BL34" s="70">
        <v>0</v>
      </c>
      <c r="BM34" s="70" t="s">
        <v>2847</v>
      </c>
    </row>
    <row r="35" spans="1:65" ht="14.4" customHeight="1" x14ac:dyDescent="0.3">
      <c r="A35" s="1" t="str">
        <f t="shared" si="1"/>
        <v>001331</v>
      </c>
      <c r="B35" s="70" t="s">
        <v>61</v>
      </c>
      <c r="C35" s="70" t="s">
        <v>62</v>
      </c>
      <c r="D35" s="70" t="s">
        <v>1429</v>
      </c>
      <c r="E35" s="70" t="s">
        <v>617</v>
      </c>
      <c r="F35" s="70" t="s">
        <v>590</v>
      </c>
      <c r="G35" s="70" t="s">
        <v>2763</v>
      </c>
      <c r="H35" s="70" t="s">
        <v>2037</v>
      </c>
      <c r="I35" s="70" t="s">
        <v>67</v>
      </c>
      <c r="J35" s="70" t="s">
        <v>629</v>
      </c>
      <c r="K35" s="71">
        <v>45800</v>
      </c>
      <c r="L35" s="71">
        <v>45968</v>
      </c>
      <c r="M35" s="72">
        <v>5000</v>
      </c>
      <c r="N35" s="72">
        <v>5267.04</v>
      </c>
      <c r="O35" s="73">
        <v>46</v>
      </c>
      <c r="P35" s="73">
        <v>12</v>
      </c>
      <c r="Q35" s="70" t="s">
        <v>496</v>
      </c>
      <c r="R35" s="72">
        <v>673.4</v>
      </c>
      <c r="S35" s="72">
        <v>696</v>
      </c>
      <c r="T35" s="72">
        <v>2320</v>
      </c>
      <c r="U35" s="72">
        <v>10</v>
      </c>
      <c r="V35" s="72">
        <v>4</v>
      </c>
      <c r="W35" s="72">
        <v>2633.52</v>
      </c>
      <c r="X35" s="72">
        <v>4980.01</v>
      </c>
      <c r="Y35" s="72">
        <v>1755.68</v>
      </c>
      <c r="Z35" s="72">
        <v>705.92</v>
      </c>
      <c r="AA35" s="72">
        <v>198.41</v>
      </c>
      <c r="AB35" s="72">
        <v>2320</v>
      </c>
      <c r="AC35" s="72">
        <v>680</v>
      </c>
      <c r="AD35" s="71">
        <v>45884</v>
      </c>
      <c r="AE35" s="70" t="s">
        <v>69</v>
      </c>
      <c r="AF35" s="70" t="s">
        <v>2038</v>
      </c>
      <c r="AG35" s="70" t="s">
        <v>630</v>
      </c>
      <c r="AH35" s="68"/>
      <c r="AI35" s="70" t="s">
        <v>283</v>
      </c>
      <c r="AJ35" s="70" t="s">
        <v>284</v>
      </c>
      <c r="AK35" s="68"/>
      <c r="AL35" s="68"/>
      <c r="AM35" s="70" t="s">
        <v>783</v>
      </c>
      <c r="AN35" s="70" t="s">
        <v>2039</v>
      </c>
      <c r="AO35" s="70" t="s">
        <v>781</v>
      </c>
      <c r="AP35" s="70" t="s">
        <v>2040</v>
      </c>
      <c r="AQ35" s="70" t="s">
        <v>782</v>
      </c>
      <c r="AR35" s="70" t="s">
        <v>2041</v>
      </c>
      <c r="AS35" s="68"/>
      <c r="AT35" s="68"/>
      <c r="AU35" s="68"/>
      <c r="AV35" s="68"/>
      <c r="AW35" s="68"/>
      <c r="AX35" s="68"/>
      <c r="AY35" s="72">
        <v>6210.81</v>
      </c>
      <c r="AZ35" s="72">
        <v>0</v>
      </c>
      <c r="BA35" s="70" t="s">
        <v>67</v>
      </c>
      <c r="BB35" s="70" t="s">
        <v>1044</v>
      </c>
      <c r="BC35" s="70" t="s">
        <v>2908</v>
      </c>
      <c r="BD35" s="70" t="s">
        <v>88</v>
      </c>
      <c r="BE35" s="70" t="s">
        <v>74</v>
      </c>
      <c r="BF35" s="70" t="s">
        <v>75</v>
      </c>
      <c r="BG35" s="68"/>
      <c r="BI35" s="68"/>
      <c r="BJ35" s="68"/>
      <c r="BK35" s="70">
        <v>5</v>
      </c>
      <c r="BL35" s="70">
        <v>4</v>
      </c>
      <c r="BM35" s="70" t="s">
        <v>2847</v>
      </c>
    </row>
    <row r="36" spans="1:65" ht="14.4" customHeight="1" x14ac:dyDescent="0.3">
      <c r="A36" s="1" t="str">
        <f t="shared" si="1"/>
        <v>001296</v>
      </c>
      <c r="B36" s="70" t="s">
        <v>61</v>
      </c>
      <c r="C36" s="70" t="s">
        <v>62</v>
      </c>
      <c r="D36" s="70" t="s">
        <v>408</v>
      </c>
      <c r="E36" s="70" t="s">
        <v>409</v>
      </c>
      <c r="F36" s="70" t="s">
        <v>590</v>
      </c>
      <c r="G36" s="70" t="s">
        <v>2763</v>
      </c>
      <c r="H36" s="70" t="s">
        <v>1915</v>
      </c>
      <c r="I36" s="70" t="s">
        <v>67</v>
      </c>
      <c r="J36" s="70" t="s">
        <v>530</v>
      </c>
      <c r="K36" s="71">
        <v>45784</v>
      </c>
      <c r="L36" s="71">
        <v>46149</v>
      </c>
      <c r="M36" s="72">
        <v>10000</v>
      </c>
      <c r="N36" s="72">
        <v>10534.08</v>
      </c>
      <c r="O36" s="73">
        <v>0</v>
      </c>
      <c r="P36" s="73">
        <v>12</v>
      </c>
      <c r="Q36" s="70" t="s">
        <v>68</v>
      </c>
      <c r="R36" s="72">
        <v>1702.69</v>
      </c>
      <c r="S36" s="72">
        <v>696</v>
      </c>
      <c r="T36" s="72">
        <v>0</v>
      </c>
      <c r="U36" s="72">
        <v>0</v>
      </c>
      <c r="V36" s="72">
        <v>0</v>
      </c>
      <c r="W36" s="72">
        <v>6144.88</v>
      </c>
      <c r="X36" s="72">
        <v>0</v>
      </c>
      <c r="Y36" s="72">
        <v>0</v>
      </c>
      <c r="Z36" s="72">
        <v>0</v>
      </c>
      <c r="AA36" s="74">
        <v>0</v>
      </c>
      <c r="AB36" s="72">
        <v>0</v>
      </c>
      <c r="AC36" s="72">
        <v>1702.69</v>
      </c>
      <c r="AD36" s="71">
        <v>45936</v>
      </c>
      <c r="AE36" s="70" t="s">
        <v>69</v>
      </c>
      <c r="AF36" s="70" t="s">
        <v>1916</v>
      </c>
      <c r="AG36" s="70" t="s">
        <v>1916</v>
      </c>
      <c r="AH36" s="68"/>
      <c r="AI36" s="70" t="s">
        <v>555</v>
      </c>
      <c r="AJ36" s="70" t="s">
        <v>1917</v>
      </c>
      <c r="AK36" s="68"/>
      <c r="AL36" s="68"/>
      <c r="AM36" s="70" t="s">
        <v>760</v>
      </c>
      <c r="AN36" s="70" t="s">
        <v>1918</v>
      </c>
      <c r="AO36" s="70" t="s">
        <v>758</v>
      </c>
      <c r="AP36" s="70" t="s">
        <v>1919</v>
      </c>
      <c r="AQ36" s="70" t="s">
        <v>759</v>
      </c>
      <c r="AR36" s="70" t="s">
        <v>1920</v>
      </c>
      <c r="AS36" s="68"/>
      <c r="AT36" s="68"/>
      <c r="AU36" s="68"/>
      <c r="AV36" s="68"/>
      <c r="AW36" s="68"/>
      <c r="AX36" s="68"/>
      <c r="AY36" s="72">
        <v>11512.53</v>
      </c>
      <c r="AZ36" s="72">
        <v>0.311186666666667</v>
      </c>
      <c r="BA36" s="70" t="s">
        <v>67</v>
      </c>
      <c r="BB36" s="70" t="s">
        <v>1044</v>
      </c>
      <c r="BC36" s="70" t="s">
        <v>2941</v>
      </c>
      <c r="BD36" s="70" t="s">
        <v>88</v>
      </c>
      <c r="BE36" s="70" t="s">
        <v>74</v>
      </c>
      <c r="BF36" s="70" t="s">
        <v>75</v>
      </c>
      <c r="BG36" s="68"/>
      <c r="BI36" s="68"/>
      <c r="BJ36" s="68"/>
      <c r="BK36" s="70">
        <v>2</v>
      </c>
      <c r="BL36" s="70">
        <v>2</v>
      </c>
      <c r="BM36" s="70" t="s">
        <v>2847</v>
      </c>
    </row>
    <row r="37" spans="1:65" ht="14.4" customHeight="1" x14ac:dyDescent="0.3">
      <c r="A37" s="1" t="str">
        <f t="shared" si="1"/>
        <v>001247</v>
      </c>
      <c r="B37" s="70" t="s">
        <v>61</v>
      </c>
      <c r="C37" s="70" t="s">
        <v>62</v>
      </c>
      <c r="D37" s="70" t="s">
        <v>408</v>
      </c>
      <c r="E37" s="70" t="s">
        <v>409</v>
      </c>
      <c r="F37" s="70" t="s">
        <v>590</v>
      </c>
      <c r="G37" s="70" t="s">
        <v>2763</v>
      </c>
      <c r="H37" s="70" t="s">
        <v>1921</v>
      </c>
      <c r="I37" s="70" t="s">
        <v>67</v>
      </c>
      <c r="J37" s="70" t="s">
        <v>366</v>
      </c>
      <c r="K37" s="71">
        <v>45761</v>
      </c>
      <c r="L37" s="71">
        <v>46126</v>
      </c>
      <c r="M37" s="72">
        <v>35000</v>
      </c>
      <c r="N37" s="72">
        <v>36869.270000000004</v>
      </c>
      <c r="O37" s="73">
        <v>29</v>
      </c>
      <c r="P37" s="73">
        <v>12</v>
      </c>
      <c r="Q37" s="70" t="s">
        <v>68</v>
      </c>
      <c r="R37" s="72">
        <v>5137.82</v>
      </c>
      <c r="S37" s="72">
        <v>696</v>
      </c>
      <c r="T37" s="72">
        <v>0</v>
      </c>
      <c r="U37" s="72">
        <v>0</v>
      </c>
      <c r="V37" s="72">
        <v>1.1000000000000001</v>
      </c>
      <c r="W37" s="72">
        <v>22084.7</v>
      </c>
      <c r="X37" s="72">
        <v>5715.4450000000006</v>
      </c>
      <c r="Y37" s="72">
        <v>3650.07</v>
      </c>
      <c r="Z37" s="72">
        <v>2007.38</v>
      </c>
      <c r="AA37" s="72">
        <v>58</v>
      </c>
      <c r="AB37" s="72">
        <v>0</v>
      </c>
      <c r="AC37" s="72">
        <v>5137.82</v>
      </c>
      <c r="AD37" s="71">
        <v>45919</v>
      </c>
      <c r="AE37" s="70" t="s">
        <v>69</v>
      </c>
      <c r="AF37" s="70" t="s">
        <v>1922</v>
      </c>
      <c r="AG37" s="70" t="s">
        <v>507</v>
      </c>
      <c r="AH37" s="68"/>
      <c r="AI37" s="70" t="s">
        <v>508</v>
      </c>
      <c r="AJ37" s="70" t="s">
        <v>1923</v>
      </c>
      <c r="AK37" s="70" t="s">
        <v>367</v>
      </c>
      <c r="AL37" s="70" t="s">
        <v>1922</v>
      </c>
      <c r="AM37" s="70" t="s">
        <v>763</v>
      </c>
      <c r="AN37" s="70" t="s">
        <v>1924</v>
      </c>
      <c r="AO37" s="70" t="s">
        <v>761</v>
      </c>
      <c r="AP37" s="70" t="s">
        <v>1925</v>
      </c>
      <c r="AQ37" s="70" t="s">
        <v>762</v>
      </c>
      <c r="AR37" s="70" t="s">
        <v>1926</v>
      </c>
      <c r="AS37" s="70" t="s">
        <v>122</v>
      </c>
      <c r="AT37" s="68" t="s">
        <v>368</v>
      </c>
      <c r="AU37" s="70" t="s">
        <v>369</v>
      </c>
      <c r="AV37" s="68"/>
      <c r="AW37" s="68"/>
      <c r="AX37" s="68"/>
      <c r="AY37" s="72">
        <v>36194.35</v>
      </c>
      <c r="AZ37" s="72">
        <v>0</v>
      </c>
      <c r="BA37" s="70" t="s">
        <v>67</v>
      </c>
      <c r="BB37" s="70" t="s">
        <v>1044</v>
      </c>
      <c r="BC37" s="70" t="s">
        <v>3021</v>
      </c>
      <c r="BD37" s="70" t="s">
        <v>341</v>
      </c>
      <c r="BE37" s="70" t="s">
        <v>74</v>
      </c>
      <c r="BF37" s="70" t="s">
        <v>75</v>
      </c>
      <c r="BG37" s="68"/>
      <c r="BI37" s="68"/>
      <c r="BJ37" s="68"/>
      <c r="BK37" s="70">
        <v>3</v>
      </c>
      <c r="BL37" s="70">
        <v>2</v>
      </c>
      <c r="BM37" s="70" t="s">
        <v>2847</v>
      </c>
    </row>
    <row r="38" spans="1:65" ht="14.4" customHeight="1" x14ac:dyDescent="0.3">
      <c r="A38" s="1" t="str">
        <f t="shared" si="1"/>
        <v>001251</v>
      </c>
      <c r="B38" s="70" t="s">
        <v>61</v>
      </c>
      <c r="C38" s="70" t="s">
        <v>62</v>
      </c>
      <c r="D38" s="70" t="s">
        <v>408</v>
      </c>
      <c r="E38" s="70" t="s">
        <v>409</v>
      </c>
      <c r="F38" s="70" t="s">
        <v>590</v>
      </c>
      <c r="G38" s="70" t="s">
        <v>2763</v>
      </c>
      <c r="H38" s="70" t="s">
        <v>1423</v>
      </c>
      <c r="I38" s="70" t="s">
        <v>67</v>
      </c>
      <c r="J38" s="70" t="s">
        <v>395</v>
      </c>
      <c r="K38" s="71">
        <v>45763</v>
      </c>
      <c r="L38" s="71">
        <v>46128</v>
      </c>
      <c r="M38" s="72">
        <v>12000</v>
      </c>
      <c r="N38" s="72">
        <v>12640.89</v>
      </c>
      <c r="O38" s="73">
        <v>0</v>
      </c>
      <c r="P38" s="73">
        <v>12</v>
      </c>
      <c r="Q38" s="70" t="s">
        <v>68</v>
      </c>
      <c r="R38" s="72">
        <v>2031.63</v>
      </c>
      <c r="S38" s="72">
        <v>696</v>
      </c>
      <c r="T38" s="72">
        <v>0</v>
      </c>
      <c r="U38" s="72">
        <v>0</v>
      </c>
      <c r="V38" s="72">
        <v>0</v>
      </c>
      <c r="W38" s="72">
        <v>7373.85</v>
      </c>
      <c r="X38" s="72">
        <v>0</v>
      </c>
      <c r="Y38" s="72">
        <v>0</v>
      </c>
      <c r="Z38" s="72">
        <v>0</v>
      </c>
      <c r="AA38" s="74">
        <v>0</v>
      </c>
      <c r="AB38" s="72">
        <v>0</v>
      </c>
      <c r="AC38" s="72">
        <v>2612</v>
      </c>
      <c r="AD38" s="71">
        <v>45930</v>
      </c>
      <c r="AE38" s="70" t="s">
        <v>69</v>
      </c>
      <c r="AF38" s="70" t="s">
        <v>1424</v>
      </c>
      <c r="AG38" s="70" t="s">
        <v>396</v>
      </c>
      <c r="AH38" s="68"/>
      <c r="AI38" s="70" t="s">
        <v>397</v>
      </c>
      <c r="AJ38" s="70" t="s">
        <v>1425</v>
      </c>
      <c r="AK38" s="68"/>
      <c r="AL38" s="68"/>
      <c r="AM38" s="70" t="s">
        <v>766</v>
      </c>
      <c r="AN38" s="70" t="s">
        <v>1426</v>
      </c>
      <c r="AO38" s="70" t="s">
        <v>764</v>
      </c>
      <c r="AP38" s="70" t="s">
        <v>1427</v>
      </c>
      <c r="AQ38" s="70" t="s">
        <v>765</v>
      </c>
      <c r="AR38" s="70" t="s">
        <v>1428</v>
      </c>
      <c r="AS38" s="68"/>
      <c r="AT38" s="68"/>
      <c r="AU38" s="68"/>
      <c r="AV38" s="68"/>
      <c r="AW38" s="68"/>
      <c r="AX38" s="68"/>
      <c r="AY38" s="72">
        <v>13811.550000000001</v>
      </c>
      <c r="AZ38" s="72">
        <v>3.8541079166666701</v>
      </c>
      <c r="BA38" s="70" t="s">
        <v>67</v>
      </c>
      <c r="BB38" s="70" t="s">
        <v>1044</v>
      </c>
      <c r="BC38" s="70" t="s">
        <v>2905</v>
      </c>
      <c r="BD38" s="70" t="s">
        <v>97</v>
      </c>
      <c r="BE38" s="70" t="s">
        <v>74</v>
      </c>
      <c r="BF38" s="70" t="s">
        <v>75</v>
      </c>
      <c r="BG38" s="68"/>
      <c r="BI38" s="68"/>
      <c r="BJ38" s="68"/>
      <c r="BK38" s="70">
        <v>5</v>
      </c>
      <c r="BL38" s="70">
        <v>5</v>
      </c>
      <c r="BM38" s="70" t="s">
        <v>2847</v>
      </c>
    </row>
    <row r="39" spans="1:65" ht="14.4" customHeight="1" x14ac:dyDescent="0.3">
      <c r="A39" s="1" t="str">
        <f t="shared" si="1"/>
        <v>001258</v>
      </c>
      <c r="B39" s="70" t="s">
        <v>61</v>
      </c>
      <c r="C39" s="70" t="s">
        <v>62</v>
      </c>
      <c r="D39" s="70" t="s">
        <v>408</v>
      </c>
      <c r="E39" s="70" t="s">
        <v>409</v>
      </c>
      <c r="F39" s="70" t="s">
        <v>590</v>
      </c>
      <c r="G39" s="70" t="s">
        <v>2763</v>
      </c>
      <c r="H39" s="70" t="s">
        <v>1927</v>
      </c>
      <c r="I39" s="70" t="s">
        <v>67</v>
      </c>
      <c r="J39" s="70" t="s">
        <v>421</v>
      </c>
      <c r="K39" s="71">
        <v>45772</v>
      </c>
      <c r="L39" s="71">
        <v>46137</v>
      </c>
      <c r="M39" s="72">
        <v>10000</v>
      </c>
      <c r="N39" s="72">
        <v>10534.08</v>
      </c>
      <c r="O39" s="73">
        <v>0</v>
      </c>
      <c r="P39" s="73">
        <v>12</v>
      </c>
      <c r="Q39" s="70" t="s">
        <v>68</v>
      </c>
      <c r="R39" s="72">
        <v>1702.69</v>
      </c>
      <c r="S39" s="72">
        <v>696</v>
      </c>
      <c r="T39" s="72">
        <v>0</v>
      </c>
      <c r="U39" s="72">
        <v>0</v>
      </c>
      <c r="V39" s="72">
        <v>0</v>
      </c>
      <c r="W39" s="72">
        <v>6144.89</v>
      </c>
      <c r="X39" s="72">
        <v>0.01</v>
      </c>
      <c r="Y39" s="72">
        <v>0.01</v>
      </c>
      <c r="Z39" s="72">
        <v>0</v>
      </c>
      <c r="AA39" s="72">
        <v>0</v>
      </c>
      <c r="AB39" s="72">
        <v>0</v>
      </c>
      <c r="AC39" s="72">
        <v>1702.69</v>
      </c>
      <c r="AD39" s="71">
        <v>45925</v>
      </c>
      <c r="AE39" s="70" t="s">
        <v>69</v>
      </c>
      <c r="AF39" s="70" t="s">
        <v>1928</v>
      </c>
      <c r="AG39" s="70" t="s">
        <v>422</v>
      </c>
      <c r="AH39" s="68"/>
      <c r="AI39" s="70" t="s">
        <v>454</v>
      </c>
      <c r="AJ39" s="70" t="s">
        <v>1929</v>
      </c>
      <c r="AK39" s="70" t="s">
        <v>423</v>
      </c>
      <c r="AL39" s="70" t="s">
        <v>1930</v>
      </c>
      <c r="AM39" s="70" t="s">
        <v>769</v>
      </c>
      <c r="AN39" s="70" t="s">
        <v>1931</v>
      </c>
      <c r="AO39" s="70" t="s">
        <v>767</v>
      </c>
      <c r="AP39" s="70" t="s">
        <v>1932</v>
      </c>
      <c r="AQ39" s="70" t="s">
        <v>768</v>
      </c>
      <c r="AR39" s="70" t="s">
        <v>1933</v>
      </c>
      <c r="AS39" s="68"/>
      <c r="AT39" s="68"/>
      <c r="AU39" s="68"/>
      <c r="AV39" s="68"/>
      <c r="AW39" s="68"/>
      <c r="AX39" s="68"/>
      <c r="AY39" s="72">
        <v>11512.85</v>
      </c>
      <c r="AZ39" s="72">
        <v>0</v>
      </c>
      <c r="BA39" s="70" t="s">
        <v>67</v>
      </c>
      <c r="BB39" s="70" t="s">
        <v>1044</v>
      </c>
      <c r="BC39" s="70" t="s">
        <v>2977</v>
      </c>
      <c r="BD39" s="70" t="s">
        <v>424</v>
      </c>
      <c r="BE39" s="70" t="s">
        <v>74</v>
      </c>
      <c r="BF39" s="70" t="s">
        <v>338</v>
      </c>
      <c r="BG39" s="68"/>
      <c r="BI39" s="68"/>
      <c r="BJ39" s="68"/>
      <c r="BK39" s="70">
        <v>0</v>
      </c>
      <c r="BL39" s="70">
        <v>0</v>
      </c>
      <c r="BM39" s="70" t="s">
        <v>2847</v>
      </c>
    </row>
    <row r="40" spans="1:65" ht="14.4" customHeight="1" x14ac:dyDescent="0.3">
      <c r="A40" s="1" t="str">
        <f t="shared" si="1"/>
        <v>001238</v>
      </c>
      <c r="B40" s="70" t="s">
        <v>61</v>
      </c>
      <c r="C40" s="70" t="s">
        <v>62</v>
      </c>
      <c r="D40" s="70" t="s">
        <v>408</v>
      </c>
      <c r="E40" s="70" t="s">
        <v>409</v>
      </c>
      <c r="F40" s="70" t="s">
        <v>590</v>
      </c>
      <c r="G40" s="70" t="s">
        <v>2763</v>
      </c>
      <c r="H40" s="70" t="s">
        <v>1934</v>
      </c>
      <c r="I40" s="70" t="s">
        <v>67</v>
      </c>
      <c r="J40" s="70" t="s">
        <v>370</v>
      </c>
      <c r="K40" s="71">
        <v>45757</v>
      </c>
      <c r="L40" s="71">
        <v>46122</v>
      </c>
      <c r="M40" s="72">
        <v>15000</v>
      </c>
      <c r="N40" s="72">
        <v>15801.12</v>
      </c>
      <c r="O40" s="73">
        <v>34</v>
      </c>
      <c r="P40" s="73">
        <v>12</v>
      </c>
      <c r="Q40" s="70" t="s">
        <v>68</v>
      </c>
      <c r="R40" s="72">
        <v>2235.0700000000002</v>
      </c>
      <c r="S40" s="72">
        <v>696</v>
      </c>
      <c r="T40" s="72">
        <v>580</v>
      </c>
      <c r="U40" s="72">
        <v>0</v>
      </c>
      <c r="V40" s="72">
        <v>1.3</v>
      </c>
      <c r="W40" s="72">
        <v>9797.3000000000011</v>
      </c>
      <c r="X40" s="72">
        <v>3395.040876</v>
      </c>
      <c r="Y40" s="72">
        <v>1896.74</v>
      </c>
      <c r="Z40" s="72">
        <v>860.30000000000007</v>
      </c>
      <c r="AA40" s="72">
        <v>58</v>
      </c>
      <c r="AB40" s="72">
        <v>580</v>
      </c>
      <c r="AC40" s="72">
        <v>2235.0700000000002</v>
      </c>
      <c r="AD40" s="71">
        <v>45911</v>
      </c>
      <c r="AE40" s="70" t="s">
        <v>69</v>
      </c>
      <c r="AF40" s="70" t="s">
        <v>1935</v>
      </c>
      <c r="AG40" s="70" t="s">
        <v>371</v>
      </c>
      <c r="AH40" s="68"/>
      <c r="AI40" s="70" t="s">
        <v>100</v>
      </c>
      <c r="AJ40" s="70" t="s">
        <v>101</v>
      </c>
      <c r="AK40" s="70" t="s">
        <v>372</v>
      </c>
      <c r="AL40" s="70" t="s">
        <v>1936</v>
      </c>
      <c r="AM40" s="70" t="s">
        <v>772</v>
      </c>
      <c r="AN40" s="70" t="s">
        <v>1937</v>
      </c>
      <c r="AO40" s="70" t="s">
        <v>770</v>
      </c>
      <c r="AP40" s="70" t="s">
        <v>1938</v>
      </c>
      <c r="AQ40" s="70" t="s">
        <v>771</v>
      </c>
      <c r="AR40" s="70" t="s">
        <v>1938</v>
      </c>
      <c r="AS40" s="70" t="s">
        <v>122</v>
      </c>
      <c r="AT40" s="68" t="s">
        <v>373</v>
      </c>
      <c r="AU40" s="70" t="s">
        <v>374</v>
      </c>
      <c r="AV40" s="68"/>
      <c r="AW40" s="68"/>
      <c r="AX40" s="68"/>
      <c r="AY40" s="72">
        <v>16457.43</v>
      </c>
      <c r="AZ40" s="72">
        <v>0</v>
      </c>
      <c r="BA40" s="70" t="s">
        <v>67</v>
      </c>
      <c r="BB40" s="70" t="s">
        <v>1044</v>
      </c>
      <c r="BC40" s="70" t="s">
        <v>2968</v>
      </c>
      <c r="BD40" s="70" t="s">
        <v>172</v>
      </c>
      <c r="BE40" s="70" t="s">
        <v>74</v>
      </c>
      <c r="BF40" s="70" t="s">
        <v>75</v>
      </c>
      <c r="BG40" s="68"/>
      <c r="BI40" s="68"/>
      <c r="BJ40" s="68"/>
      <c r="BK40" s="70">
        <v>2</v>
      </c>
      <c r="BL40" s="70">
        <v>2</v>
      </c>
      <c r="BM40" s="70" t="s">
        <v>2847</v>
      </c>
    </row>
    <row r="41" spans="1:65" ht="14.4" customHeight="1" x14ac:dyDescent="0.3">
      <c r="A41" s="1" t="str">
        <f t="shared" si="1"/>
        <v>001480</v>
      </c>
      <c r="B41" s="70" t="s">
        <v>61</v>
      </c>
      <c r="C41" s="70" t="s">
        <v>62</v>
      </c>
      <c r="D41" s="70" t="s">
        <v>1429</v>
      </c>
      <c r="E41" s="70" t="s">
        <v>617</v>
      </c>
      <c r="F41" s="70" t="s">
        <v>590</v>
      </c>
      <c r="G41" s="70" t="s">
        <v>2763</v>
      </c>
      <c r="H41" s="70" t="s">
        <v>2047</v>
      </c>
      <c r="I41" s="70" t="s">
        <v>67</v>
      </c>
      <c r="J41" s="70" t="s">
        <v>1690</v>
      </c>
      <c r="K41" s="71">
        <v>45856</v>
      </c>
      <c r="L41" s="71">
        <v>46024</v>
      </c>
      <c r="M41" s="72">
        <v>5000</v>
      </c>
      <c r="N41" s="72">
        <v>5267.04</v>
      </c>
      <c r="O41" s="73">
        <v>0</v>
      </c>
      <c r="P41" s="73">
        <v>12</v>
      </c>
      <c r="Q41" s="70" t="s">
        <v>496</v>
      </c>
      <c r="R41" s="72">
        <v>673.4</v>
      </c>
      <c r="S41" s="72">
        <v>696</v>
      </c>
      <c r="T41" s="72">
        <v>0</v>
      </c>
      <c r="U41" s="72">
        <v>6</v>
      </c>
      <c r="V41" s="72">
        <v>0</v>
      </c>
      <c r="W41" s="72">
        <v>2633.53</v>
      </c>
      <c r="X41" s="72">
        <v>0.01</v>
      </c>
      <c r="Y41" s="72">
        <v>0.01</v>
      </c>
      <c r="Z41" s="72">
        <v>0</v>
      </c>
      <c r="AA41" s="72">
        <v>0</v>
      </c>
      <c r="AB41" s="72">
        <v>0</v>
      </c>
      <c r="AC41" s="72">
        <v>673.4</v>
      </c>
      <c r="AD41" s="71">
        <v>45940</v>
      </c>
      <c r="AE41" s="70" t="s">
        <v>69</v>
      </c>
      <c r="AF41" s="70" t="s">
        <v>2048</v>
      </c>
      <c r="AG41" s="70" t="s">
        <v>1691</v>
      </c>
      <c r="AH41" s="68"/>
      <c r="AI41" s="70" t="s">
        <v>1201</v>
      </c>
      <c r="AJ41" s="70" t="s">
        <v>2049</v>
      </c>
      <c r="AK41" s="70" t="s">
        <v>1692</v>
      </c>
      <c r="AL41" s="70" t="s">
        <v>2048</v>
      </c>
      <c r="AM41" s="70" t="s">
        <v>1693</v>
      </c>
      <c r="AN41" s="70" t="s">
        <v>2050</v>
      </c>
      <c r="AO41" s="70" t="s">
        <v>1694</v>
      </c>
      <c r="AP41" s="70" t="s">
        <v>2051</v>
      </c>
      <c r="AQ41" s="70" t="s">
        <v>1695</v>
      </c>
      <c r="AR41" s="70" t="s">
        <v>2052</v>
      </c>
      <c r="AS41" s="68"/>
      <c r="AT41" s="68"/>
      <c r="AU41" s="68"/>
      <c r="AV41" s="68"/>
      <c r="AW41" s="68"/>
      <c r="AX41" s="68"/>
      <c r="AY41" s="72">
        <v>3692.41</v>
      </c>
      <c r="AZ41" s="72">
        <v>0</v>
      </c>
      <c r="BA41" s="70" t="s">
        <v>67</v>
      </c>
      <c r="BB41" s="70" t="s">
        <v>1044</v>
      </c>
      <c r="BC41" s="70" t="s">
        <v>2902</v>
      </c>
      <c r="BD41" s="70" t="s">
        <v>1696</v>
      </c>
      <c r="BE41" s="70" t="s">
        <v>74</v>
      </c>
      <c r="BF41" s="70" t="s">
        <v>75</v>
      </c>
      <c r="BG41" s="70" t="s">
        <v>1334</v>
      </c>
      <c r="BH41" s="70"/>
      <c r="BI41" s="68"/>
      <c r="BJ41" s="68"/>
      <c r="BK41" s="70">
        <v>0</v>
      </c>
      <c r="BL41" s="70">
        <v>0</v>
      </c>
      <c r="BM41" s="70" t="s">
        <v>2847</v>
      </c>
    </row>
    <row r="42" spans="1:65" ht="14.4" customHeight="1" x14ac:dyDescent="0.3">
      <c r="A42" s="1" t="str">
        <f t="shared" si="1"/>
        <v>001551</v>
      </c>
      <c r="B42" s="70" t="s">
        <v>61</v>
      </c>
      <c r="C42" s="70" t="s">
        <v>62</v>
      </c>
      <c r="D42" s="70" t="s">
        <v>183</v>
      </c>
      <c r="E42" s="70" t="s">
        <v>184</v>
      </c>
      <c r="F42" s="70" t="s">
        <v>590</v>
      </c>
      <c r="G42" s="70" t="s">
        <v>2763</v>
      </c>
      <c r="H42" s="70" t="s">
        <v>2053</v>
      </c>
      <c r="I42" s="70" t="s">
        <v>67</v>
      </c>
      <c r="J42" s="70" t="s">
        <v>1697</v>
      </c>
      <c r="K42" s="71">
        <v>45856</v>
      </c>
      <c r="L42" s="71">
        <v>46221</v>
      </c>
      <c r="M42" s="72">
        <v>10000</v>
      </c>
      <c r="N42" s="72">
        <v>10534.08</v>
      </c>
      <c r="O42" s="73">
        <v>0</v>
      </c>
      <c r="P42" s="73">
        <v>12</v>
      </c>
      <c r="Q42" s="70" t="s">
        <v>68</v>
      </c>
      <c r="R42" s="72">
        <v>1702.69</v>
      </c>
      <c r="S42" s="72">
        <v>696</v>
      </c>
      <c r="T42" s="72">
        <v>0</v>
      </c>
      <c r="U42" s="72">
        <v>0</v>
      </c>
      <c r="V42" s="72">
        <v>0</v>
      </c>
      <c r="W42" s="72">
        <v>8778.4</v>
      </c>
      <c r="X42" s="72">
        <v>0</v>
      </c>
      <c r="Y42" s="72">
        <v>0</v>
      </c>
      <c r="Z42" s="72">
        <v>0</v>
      </c>
      <c r="AA42" s="74">
        <v>0</v>
      </c>
      <c r="AB42" s="72">
        <v>0</v>
      </c>
      <c r="AC42" s="72">
        <v>1702.69</v>
      </c>
      <c r="AD42" s="71">
        <v>45918</v>
      </c>
      <c r="AE42" s="70" t="s">
        <v>69</v>
      </c>
      <c r="AF42" s="70" t="s">
        <v>2054</v>
      </c>
      <c r="AG42" s="70" t="s">
        <v>1698</v>
      </c>
      <c r="AH42" s="68"/>
      <c r="AI42" s="70" t="s">
        <v>283</v>
      </c>
      <c r="AJ42" s="70" t="s">
        <v>284</v>
      </c>
      <c r="AK42" s="70" t="s">
        <v>1699</v>
      </c>
      <c r="AL42" s="70" t="s">
        <v>2054</v>
      </c>
      <c r="AM42" s="70" t="s">
        <v>1700</v>
      </c>
      <c r="AN42" s="70" t="s">
        <v>2055</v>
      </c>
      <c r="AO42" s="70" t="s">
        <v>1701</v>
      </c>
      <c r="AP42" s="70" t="s">
        <v>2056</v>
      </c>
      <c r="AQ42" s="70" t="s">
        <v>1702</v>
      </c>
      <c r="AR42" s="70" t="s">
        <v>2057</v>
      </c>
      <c r="AS42" s="68"/>
      <c r="AT42" s="68"/>
      <c r="AU42" s="68"/>
      <c r="AV42" s="68"/>
      <c r="AW42" s="68"/>
      <c r="AX42" s="68"/>
      <c r="AY42" s="72">
        <v>16446.61</v>
      </c>
      <c r="AZ42" s="72">
        <v>0.31</v>
      </c>
      <c r="BA42" s="70" t="s">
        <v>67</v>
      </c>
      <c r="BB42" s="70" t="s">
        <v>1044</v>
      </c>
      <c r="BC42" s="70" t="s">
        <v>2910</v>
      </c>
      <c r="BD42" s="70" t="s">
        <v>88</v>
      </c>
      <c r="BE42" s="70" t="s">
        <v>74</v>
      </c>
      <c r="BF42" s="70" t="s">
        <v>75</v>
      </c>
      <c r="BG42" s="70" t="s">
        <v>1703</v>
      </c>
      <c r="BH42" s="70"/>
      <c r="BI42" s="68"/>
      <c r="BJ42" s="68"/>
      <c r="BK42" s="70">
        <v>0</v>
      </c>
      <c r="BL42" s="70">
        <v>0</v>
      </c>
      <c r="BM42" s="70" t="s">
        <v>2847</v>
      </c>
    </row>
    <row r="43" spans="1:65" ht="14.4" customHeight="1" x14ac:dyDescent="0.3">
      <c r="A43" s="1" t="str">
        <f t="shared" si="1"/>
        <v>001562</v>
      </c>
      <c r="B43" s="70" t="s">
        <v>61</v>
      </c>
      <c r="C43" s="70" t="s">
        <v>62</v>
      </c>
      <c r="D43" s="70" t="s">
        <v>1429</v>
      </c>
      <c r="E43" s="70" t="s">
        <v>617</v>
      </c>
      <c r="F43" s="70" t="s">
        <v>590</v>
      </c>
      <c r="G43" s="70" t="s">
        <v>2763</v>
      </c>
      <c r="H43" s="70" t="s">
        <v>2058</v>
      </c>
      <c r="I43" s="70" t="s">
        <v>67</v>
      </c>
      <c r="J43" s="70" t="s">
        <v>1704</v>
      </c>
      <c r="K43" s="71">
        <v>45856</v>
      </c>
      <c r="L43" s="71">
        <v>45968</v>
      </c>
      <c r="M43" s="72">
        <v>10000</v>
      </c>
      <c r="N43" s="72">
        <v>10534.08</v>
      </c>
      <c r="O43" s="73">
        <v>4</v>
      </c>
      <c r="P43" s="73">
        <v>16</v>
      </c>
      <c r="Q43" s="70" t="s">
        <v>469</v>
      </c>
      <c r="R43" s="72">
        <v>892.86</v>
      </c>
      <c r="S43" s="72">
        <v>928</v>
      </c>
      <c r="T43" s="72">
        <v>580</v>
      </c>
      <c r="U43" s="72">
        <v>12</v>
      </c>
      <c r="V43" s="72">
        <v>1</v>
      </c>
      <c r="W43" s="72">
        <v>3291.9</v>
      </c>
      <c r="X43" s="72">
        <v>1471.4714432000001</v>
      </c>
      <c r="Y43" s="72">
        <v>658.38</v>
      </c>
      <c r="Z43" s="72">
        <v>176.48</v>
      </c>
      <c r="AA43" s="72">
        <v>56.61</v>
      </c>
      <c r="AB43" s="72">
        <v>580</v>
      </c>
      <c r="AC43" s="72">
        <v>893</v>
      </c>
      <c r="AD43" s="71">
        <v>45933</v>
      </c>
      <c r="AE43" s="70" t="s">
        <v>69</v>
      </c>
      <c r="AF43" s="70" t="s">
        <v>2059</v>
      </c>
      <c r="AG43" s="70" t="s">
        <v>1705</v>
      </c>
      <c r="AH43" s="68"/>
      <c r="AI43" s="70" t="s">
        <v>565</v>
      </c>
      <c r="AJ43" s="70" t="s">
        <v>1907</v>
      </c>
      <c r="AK43" s="70" t="s">
        <v>1706</v>
      </c>
      <c r="AL43" s="70" t="s">
        <v>2059</v>
      </c>
      <c r="AM43" s="70" t="s">
        <v>1707</v>
      </c>
      <c r="AN43" s="70" t="s">
        <v>2060</v>
      </c>
      <c r="AO43" s="70" t="s">
        <v>1708</v>
      </c>
      <c r="AP43" s="70" t="s">
        <v>2061</v>
      </c>
      <c r="AQ43" s="70" t="s">
        <v>1709</v>
      </c>
      <c r="AR43" s="70" t="s">
        <v>2062</v>
      </c>
      <c r="AS43" s="68"/>
      <c r="AT43" s="68"/>
      <c r="AU43" s="68"/>
      <c r="AV43" s="68"/>
      <c r="AW43" s="68"/>
      <c r="AX43" s="68"/>
      <c r="AY43" s="72">
        <v>4810.92</v>
      </c>
      <c r="AZ43" s="72">
        <v>0</v>
      </c>
      <c r="BA43" s="70" t="s">
        <v>67</v>
      </c>
      <c r="BB43" s="70" t="s">
        <v>1044</v>
      </c>
      <c r="BC43" s="70" t="s">
        <v>2991</v>
      </c>
      <c r="BD43" s="70" t="s">
        <v>1711</v>
      </c>
      <c r="BE43" s="70" t="s">
        <v>74</v>
      </c>
      <c r="BF43" s="70" t="s">
        <v>1402</v>
      </c>
      <c r="BG43" s="70" t="s">
        <v>1712</v>
      </c>
      <c r="BH43" s="70"/>
      <c r="BI43" s="68"/>
      <c r="BJ43" s="68"/>
      <c r="BK43" s="70">
        <v>1</v>
      </c>
      <c r="BL43" s="70">
        <v>1</v>
      </c>
      <c r="BM43" s="70" t="s">
        <v>2847</v>
      </c>
    </row>
    <row r="44" spans="1:65" ht="14.4" customHeight="1" x14ac:dyDescent="0.3">
      <c r="A44" s="1" t="str">
        <f t="shared" si="1"/>
        <v>001035</v>
      </c>
      <c r="B44" s="70" t="s">
        <v>61</v>
      </c>
      <c r="C44" s="70" t="s">
        <v>62</v>
      </c>
      <c r="D44" s="70" t="s">
        <v>113</v>
      </c>
      <c r="E44" s="70" t="s">
        <v>114</v>
      </c>
      <c r="F44" s="70" t="s">
        <v>2848</v>
      </c>
      <c r="G44" s="70" t="s">
        <v>2849</v>
      </c>
      <c r="H44" s="70" t="s">
        <v>115</v>
      </c>
      <c r="I44" s="70" t="s">
        <v>76</v>
      </c>
      <c r="J44" s="70" t="s">
        <v>116</v>
      </c>
      <c r="K44" s="71">
        <v>45492</v>
      </c>
      <c r="L44" s="71">
        <v>45857</v>
      </c>
      <c r="M44" s="72">
        <v>40000</v>
      </c>
      <c r="N44" s="72">
        <v>42136.31</v>
      </c>
      <c r="O44" s="73">
        <v>209</v>
      </c>
      <c r="P44" s="73">
        <v>12</v>
      </c>
      <c r="Q44" s="70" t="s">
        <v>68</v>
      </c>
      <c r="R44" s="72">
        <v>6476.17</v>
      </c>
      <c r="S44" s="72">
        <v>696</v>
      </c>
      <c r="T44" s="72">
        <v>2900</v>
      </c>
      <c r="U44" s="72">
        <v>0</v>
      </c>
      <c r="V44" s="72">
        <v>4.9000000000000004</v>
      </c>
      <c r="W44" s="72">
        <v>23860.74</v>
      </c>
      <c r="X44" s="72">
        <v>34611.040000000001</v>
      </c>
      <c r="Y44" s="72">
        <v>23860.73</v>
      </c>
      <c r="Z44" s="72">
        <v>7502.31</v>
      </c>
      <c r="AA44" s="72">
        <v>348</v>
      </c>
      <c r="AB44" s="72">
        <v>2900</v>
      </c>
      <c r="AC44" s="72">
        <v>1000</v>
      </c>
      <c r="AD44" s="71">
        <v>45771</v>
      </c>
      <c r="AE44" s="70" t="s">
        <v>69</v>
      </c>
      <c r="AF44" s="70" t="s">
        <v>117</v>
      </c>
      <c r="AG44" s="70" t="s">
        <v>118</v>
      </c>
      <c r="AH44" s="68"/>
      <c r="AI44" s="70" t="s">
        <v>86</v>
      </c>
      <c r="AJ44" s="70" t="s">
        <v>87</v>
      </c>
      <c r="AK44" s="70" t="s">
        <v>119</v>
      </c>
      <c r="AL44" s="70" t="s">
        <v>120</v>
      </c>
      <c r="AM44" s="70" t="s">
        <v>695</v>
      </c>
      <c r="AN44" s="70" t="s">
        <v>1242</v>
      </c>
      <c r="AO44" s="70" t="s">
        <v>692</v>
      </c>
      <c r="AP44" s="70" t="s">
        <v>693</v>
      </c>
      <c r="AQ44" s="70" t="s">
        <v>694</v>
      </c>
      <c r="AR44" s="70" t="s">
        <v>1243</v>
      </c>
      <c r="AS44" s="68"/>
      <c r="AT44" s="68"/>
      <c r="AU44" s="68"/>
      <c r="AV44" s="68"/>
      <c r="AW44" s="68"/>
      <c r="AX44" s="68"/>
      <c r="AY44" s="72">
        <v>34611.050000000003</v>
      </c>
      <c r="AZ44" s="72">
        <v>0</v>
      </c>
      <c r="BA44" s="70" t="s">
        <v>67</v>
      </c>
      <c r="BB44" s="70" t="s">
        <v>72</v>
      </c>
      <c r="BC44" s="70" t="s">
        <v>2877</v>
      </c>
      <c r="BD44" s="70" t="s">
        <v>88</v>
      </c>
      <c r="BE44" s="70" t="s">
        <v>74</v>
      </c>
      <c r="BF44" s="70" t="s">
        <v>75</v>
      </c>
      <c r="BG44" s="68"/>
      <c r="BI44" s="68"/>
      <c r="BJ44" s="68"/>
      <c r="BK44" s="70">
        <v>14</v>
      </c>
      <c r="BL44" s="70">
        <v>14</v>
      </c>
      <c r="BM44" s="70" t="s">
        <v>2847</v>
      </c>
    </row>
    <row r="45" spans="1:65" ht="14.4" customHeight="1" x14ac:dyDescent="0.3">
      <c r="A45" s="1" t="str">
        <f t="shared" si="1"/>
        <v>001194</v>
      </c>
      <c r="B45" s="70" t="s">
        <v>61</v>
      </c>
      <c r="C45" s="70" t="s">
        <v>62</v>
      </c>
      <c r="D45" s="70" t="s">
        <v>183</v>
      </c>
      <c r="E45" s="70" t="s">
        <v>184</v>
      </c>
      <c r="F45" s="70" t="s">
        <v>2848</v>
      </c>
      <c r="G45" s="70" t="s">
        <v>2849</v>
      </c>
      <c r="H45" s="70" t="s">
        <v>138</v>
      </c>
      <c r="I45" s="70" t="s">
        <v>67</v>
      </c>
      <c r="J45" s="70" t="s">
        <v>139</v>
      </c>
      <c r="K45" s="71">
        <v>45714</v>
      </c>
      <c r="L45" s="71">
        <v>46079</v>
      </c>
      <c r="M45" s="72">
        <v>35000</v>
      </c>
      <c r="N45" s="72">
        <v>36869.270000000004</v>
      </c>
      <c r="O45" s="73">
        <v>49</v>
      </c>
      <c r="P45" s="73">
        <v>12</v>
      </c>
      <c r="Q45" s="70" t="s">
        <v>68</v>
      </c>
      <c r="R45" s="72">
        <v>6532.14</v>
      </c>
      <c r="S45" s="72">
        <v>696</v>
      </c>
      <c r="T45" s="72">
        <v>580</v>
      </c>
      <c r="U45" s="72">
        <v>0</v>
      </c>
      <c r="V45" s="72">
        <v>2</v>
      </c>
      <c r="W45" s="72">
        <v>21507.07</v>
      </c>
      <c r="X45" s="72">
        <v>13416.4342</v>
      </c>
      <c r="Y45" s="72">
        <v>6144.87</v>
      </c>
      <c r="Z45" s="72">
        <v>6633.56</v>
      </c>
      <c r="AA45" s="72">
        <v>58</v>
      </c>
      <c r="AB45" s="72">
        <v>580</v>
      </c>
      <c r="AC45" s="72">
        <v>3500</v>
      </c>
      <c r="AD45" s="71">
        <v>45926</v>
      </c>
      <c r="AE45" s="70" t="s">
        <v>69</v>
      </c>
      <c r="AF45" s="70" t="s">
        <v>140</v>
      </c>
      <c r="AG45" s="70" t="s">
        <v>141</v>
      </c>
      <c r="AH45" s="68"/>
      <c r="AI45" s="70" t="s">
        <v>142</v>
      </c>
      <c r="AJ45" s="70" t="s">
        <v>143</v>
      </c>
      <c r="AK45" s="70" t="s">
        <v>144</v>
      </c>
      <c r="AL45" s="68"/>
      <c r="AM45" s="70" t="s">
        <v>706</v>
      </c>
      <c r="AN45" s="70" t="s">
        <v>1246</v>
      </c>
      <c r="AO45" s="70" t="s">
        <v>703</v>
      </c>
      <c r="AP45" s="70" t="s">
        <v>704</v>
      </c>
      <c r="AQ45" s="70" t="s">
        <v>705</v>
      </c>
      <c r="AR45" s="70" t="s">
        <v>705</v>
      </c>
      <c r="AS45" s="70" t="s">
        <v>122</v>
      </c>
      <c r="AT45" s="68" t="s">
        <v>145</v>
      </c>
      <c r="AU45" s="70" t="s">
        <v>146</v>
      </c>
      <c r="AV45" s="70" t="s">
        <v>122</v>
      </c>
      <c r="AW45" s="68" t="s">
        <v>147</v>
      </c>
      <c r="AX45" s="70" t="s">
        <v>148</v>
      </c>
      <c r="AY45" s="72">
        <v>45787.14</v>
      </c>
      <c r="AZ45" s="72">
        <v>0</v>
      </c>
      <c r="BA45" s="70" t="s">
        <v>67</v>
      </c>
      <c r="BB45" s="70" t="s">
        <v>1044</v>
      </c>
      <c r="BC45" s="70" t="s">
        <v>3005</v>
      </c>
      <c r="BD45" s="70" t="s">
        <v>97</v>
      </c>
      <c r="BE45" s="70" t="s">
        <v>74</v>
      </c>
      <c r="BF45" s="70" t="s">
        <v>75</v>
      </c>
      <c r="BG45" s="68"/>
      <c r="BI45" s="68"/>
      <c r="BJ45" s="68"/>
      <c r="BK45" s="70">
        <v>5</v>
      </c>
      <c r="BL45" s="70">
        <v>5</v>
      </c>
      <c r="BM45" s="70" t="s">
        <v>2847</v>
      </c>
    </row>
    <row r="46" spans="1:65" ht="14.4" customHeight="1" x14ac:dyDescent="0.3">
      <c r="A46" s="1" t="str">
        <f t="shared" si="1"/>
        <v>001295</v>
      </c>
      <c r="B46" s="70" t="s">
        <v>61</v>
      </c>
      <c r="C46" s="70" t="s">
        <v>62</v>
      </c>
      <c r="D46" s="70" t="s">
        <v>408</v>
      </c>
      <c r="E46" s="70" t="s">
        <v>409</v>
      </c>
      <c r="F46" s="70" t="s">
        <v>2848</v>
      </c>
      <c r="G46" s="70" t="s">
        <v>2849</v>
      </c>
      <c r="H46" s="70" t="s">
        <v>516</v>
      </c>
      <c r="I46" s="70" t="s">
        <v>67</v>
      </c>
      <c r="J46" s="70" t="s">
        <v>517</v>
      </c>
      <c r="K46" s="71">
        <v>45784</v>
      </c>
      <c r="L46" s="71">
        <v>45968</v>
      </c>
      <c r="M46" s="72">
        <v>5000</v>
      </c>
      <c r="N46" s="72">
        <v>5267.04</v>
      </c>
      <c r="O46" s="73">
        <v>127</v>
      </c>
      <c r="P46" s="73">
        <v>6</v>
      </c>
      <c r="Q46" s="70" t="s">
        <v>68</v>
      </c>
      <c r="R46" s="72">
        <v>1322.42</v>
      </c>
      <c r="S46" s="72">
        <v>348</v>
      </c>
      <c r="T46" s="72">
        <v>2320</v>
      </c>
      <c r="U46" s="72">
        <v>0</v>
      </c>
      <c r="V46" s="72">
        <v>4.6000000000000014</v>
      </c>
      <c r="W46" s="72">
        <v>5091.62</v>
      </c>
      <c r="X46" s="72">
        <v>8312.09</v>
      </c>
      <c r="Y46" s="72">
        <v>4213.78</v>
      </c>
      <c r="Z46" s="72">
        <v>1546.31</v>
      </c>
      <c r="AA46" s="72">
        <v>232</v>
      </c>
      <c r="AB46" s="72">
        <v>2320</v>
      </c>
      <c r="AC46" s="72">
        <v>1200</v>
      </c>
      <c r="AD46" s="71">
        <v>45826</v>
      </c>
      <c r="AE46" s="70" t="s">
        <v>69</v>
      </c>
      <c r="AF46" s="70" t="s">
        <v>518</v>
      </c>
      <c r="AG46" s="70" t="s">
        <v>519</v>
      </c>
      <c r="AH46" s="68"/>
      <c r="AI46" s="70" t="s">
        <v>379</v>
      </c>
      <c r="AJ46" s="70" t="s">
        <v>380</v>
      </c>
      <c r="AK46" s="68"/>
      <c r="AL46" s="68"/>
      <c r="AM46" s="70" t="s">
        <v>733</v>
      </c>
      <c r="AN46" s="70" t="s">
        <v>1251</v>
      </c>
      <c r="AO46" s="70" t="s">
        <v>730</v>
      </c>
      <c r="AP46" s="70" t="s">
        <v>731</v>
      </c>
      <c r="AQ46" s="70" t="s">
        <v>732</v>
      </c>
      <c r="AR46" s="70" t="s">
        <v>1252</v>
      </c>
      <c r="AS46" s="68"/>
      <c r="AT46" s="68"/>
      <c r="AU46" s="68"/>
      <c r="AV46" s="68"/>
      <c r="AW46" s="68"/>
      <c r="AX46" s="68"/>
      <c r="AY46" s="72">
        <v>9576.5</v>
      </c>
      <c r="AZ46" s="72">
        <v>0</v>
      </c>
      <c r="BA46" s="70" t="s">
        <v>67</v>
      </c>
      <c r="BB46" s="70" t="s">
        <v>1044</v>
      </c>
      <c r="BC46" s="70" t="s">
        <v>520</v>
      </c>
      <c r="BD46" s="70" t="s">
        <v>424</v>
      </c>
      <c r="BE46" s="70" t="s">
        <v>74</v>
      </c>
      <c r="BF46" s="70" t="s">
        <v>338</v>
      </c>
      <c r="BG46" s="68"/>
      <c r="BI46" s="68"/>
      <c r="BJ46" s="68"/>
      <c r="BK46" s="70">
        <v>5</v>
      </c>
      <c r="BL46" s="70">
        <v>5</v>
      </c>
      <c r="BM46" s="70" t="s">
        <v>2847</v>
      </c>
    </row>
    <row r="47" spans="1:65" ht="14.4" customHeight="1" x14ac:dyDescent="0.3">
      <c r="A47" s="1" t="str">
        <f t="shared" si="1"/>
        <v>001176</v>
      </c>
      <c r="B47" s="70" t="s">
        <v>61</v>
      </c>
      <c r="C47" s="70" t="s">
        <v>62</v>
      </c>
      <c r="D47" s="70" t="s">
        <v>408</v>
      </c>
      <c r="E47" s="70" t="s">
        <v>409</v>
      </c>
      <c r="F47" s="70" t="s">
        <v>2848</v>
      </c>
      <c r="G47" s="70" t="s">
        <v>2849</v>
      </c>
      <c r="H47" s="70" t="s">
        <v>1877</v>
      </c>
      <c r="I47" s="70" t="s">
        <v>67</v>
      </c>
      <c r="J47" s="70" t="s">
        <v>521</v>
      </c>
      <c r="K47" s="71">
        <v>45784</v>
      </c>
      <c r="L47" s="71">
        <v>46149</v>
      </c>
      <c r="M47" s="72">
        <v>15000</v>
      </c>
      <c r="N47" s="72">
        <v>15801.12</v>
      </c>
      <c r="O47" s="73">
        <v>7</v>
      </c>
      <c r="P47" s="73">
        <v>12</v>
      </c>
      <c r="Q47" s="70" t="s">
        <v>68</v>
      </c>
      <c r="R47" s="72">
        <v>2525.04</v>
      </c>
      <c r="S47" s="72">
        <v>696</v>
      </c>
      <c r="T47" s="72">
        <v>560</v>
      </c>
      <c r="U47" s="72">
        <v>0</v>
      </c>
      <c r="V47" s="72">
        <v>0.5</v>
      </c>
      <c r="W47" s="72">
        <v>10406.51</v>
      </c>
      <c r="X47" s="72">
        <v>1749.19</v>
      </c>
      <c r="Y47" s="72">
        <v>1189.19</v>
      </c>
      <c r="Z47" s="72">
        <v>0</v>
      </c>
      <c r="AA47" s="72">
        <v>0</v>
      </c>
      <c r="AB47" s="72">
        <v>560</v>
      </c>
      <c r="AC47" s="72">
        <v>20</v>
      </c>
      <c r="AD47" s="71">
        <v>45939</v>
      </c>
      <c r="AE47" s="70" t="s">
        <v>69</v>
      </c>
      <c r="AF47" s="70" t="s">
        <v>1878</v>
      </c>
      <c r="AG47" s="70" t="s">
        <v>522</v>
      </c>
      <c r="AH47" s="68"/>
      <c r="AI47" s="70" t="s">
        <v>523</v>
      </c>
      <c r="AJ47" s="70" t="s">
        <v>1879</v>
      </c>
      <c r="AK47" s="68"/>
      <c r="AL47" s="68"/>
      <c r="AM47" s="70" t="s">
        <v>736</v>
      </c>
      <c r="AN47" s="70" t="s">
        <v>1880</v>
      </c>
      <c r="AO47" s="70" t="s">
        <v>734</v>
      </c>
      <c r="AP47" s="70" t="s">
        <v>1881</v>
      </c>
      <c r="AQ47" s="70" t="s">
        <v>735</v>
      </c>
      <c r="AR47" s="70" t="s">
        <v>1882</v>
      </c>
      <c r="AS47" s="68"/>
      <c r="AT47" s="68"/>
      <c r="AU47" s="68"/>
      <c r="AV47" s="68"/>
      <c r="AW47" s="68"/>
      <c r="AX47" s="68"/>
      <c r="AY47" s="72">
        <v>19018.45</v>
      </c>
      <c r="AZ47" s="72">
        <v>0</v>
      </c>
      <c r="BA47" s="70" t="s">
        <v>67</v>
      </c>
      <c r="BB47" s="70" t="s">
        <v>1044</v>
      </c>
      <c r="BC47" s="70" t="s">
        <v>524</v>
      </c>
      <c r="BD47" s="70" t="s">
        <v>172</v>
      </c>
      <c r="BE47" s="70" t="s">
        <v>74</v>
      </c>
      <c r="BF47" s="70" t="s">
        <v>75</v>
      </c>
      <c r="BG47" s="68"/>
      <c r="BI47" s="68"/>
      <c r="BJ47" s="68"/>
      <c r="BK47" s="70">
        <v>5</v>
      </c>
      <c r="BL47" s="70">
        <v>5</v>
      </c>
      <c r="BM47" s="70" t="s">
        <v>2847</v>
      </c>
    </row>
    <row r="48" spans="1:65" ht="14.4" customHeight="1" x14ac:dyDescent="0.3">
      <c r="A48" s="1" t="str">
        <f t="shared" si="1"/>
        <v>001330</v>
      </c>
      <c r="B48" s="70" t="s">
        <v>61</v>
      </c>
      <c r="C48" s="70" t="s">
        <v>62</v>
      </c>
      <c r="D48" s="70" t="s">
        <v>1429</v>
      </c>
      <c r="E48" s="70" t="s">
        <v>617</v>
      </c>
      <c r="F48" s="70" t="s">
        <v>2848</v>
      </c>
      <c r="G48" s="70" t="s">
        <v>2849</v>
      </c>
      <c r="H48" s="70" t="s">
        <v>1950</v>
      </c>
      <c r="I48" s="70" t="s">
        <v>67</v>
      </c>
      <c r="J48" s="70" t="s">
        <v>618</v>
      </c>
      <c r="K48" s="71">
        <v>45798</v>
      </c>
      <c r="L48" s="71">
        <v>46163</v>
      </c>
      <c r="M48" s="72">
        <v>10000</v>
      </c>
      <c r="N48" s="72">
        <v>10534.08</v>
      </c>
      <c r="O48" s="73">
        <v>22</v>
      </c>
      <c r="P48" s="73">
        <v>12</v>
      </c>
      <c r="Q48" s="70" t="s">
        <v>68</v>
      </c>
      <c r="R48" s="72">
        <v>1702.69</v>
      </c>
      <c r="S48" s="72">
        <v>696</v>
      </c>
      <c r="T48" s="72">
        <v>0</v>
      </c>
      <c r="U48" s="72">
        <v>0</v>
      </c>
      <c r="V48" s="72">
        <v>0.3</v>
      </c>
      <c r="W48" s="72">
        <v>7595.41</v>
      </c>
      <c r="X48" s="72">
        <v>572.69000000000005</v>
      </c>
      <c r="Y48" s="72">
        <v>572.69000000000005</v>
      </c>
      <c r="Z48" s="72">
        <v>0</v>
      </c>
      <c r="AA48" s="72">
        <v>0</v>
      </c>
      <c r="AB48" s="72">
        <v>0</v>
      </c>
      <c r="AC48" s="72">
        <v>1710</v>
      </c>
      <c r="AD48" s="71">
        <v>45933</v>
      </c>
      <c r="AE48" s="70" t="s">
        <v>69</v>
      </c>
      <c r="AF48" s="70" t="s">
        <v>1951</v>
      </c>
      <c r="AG48" s="70" t="s">
        <v>619</v>
      </c>
      <c r="AH48" s="68"/>
      <c r="AI48" s="70" t="s">
        <v>393</v>
      </c>
      <c r="AJ48" s="70" t="s">
        <v>394</v>
      </c>
      <c r="AK48" s="68"/>
      <c r="AL48" s="68"/>
      <c r="AM48" s="70" t="s">
        <v>775</v>
      </c>
      <c r="AN48" s="70" t="s">
        <v>1952</v>
      </c>
      <c r="AO48" s="70" t="s">
        <v>773</v>
      </c>
      <c r="AP48" s="70" t="s">
        <v>1953</v>
      </c>
      <c r="AQ48" s="70" t="s">
        <v>774</v>
      </c>
      <c r="AR48" s="70" t="s">
        <v>1954</v>
      </c>
      <c r="AS48" s="68"/>
      <c r="AT48" s="68"/>
      <c r="AU48" s="68"/>
      <c r="AV48" s="68"/>
      <c r="AW48" s="68"/>
      <c r="AX48" s="68"/>
      <c r="AY48" s="72">
        <v>13730.220000000001</v>
      </c>
      <c r="AZ48" s="72">
        <v>0</v>
      </c>
      <c r="BA48" s="70" t="s">
        <v>67</v>
      </c>
      <c r="BB48" s="70" t="s">
        <v>1044</v>
      </c>
      <c r="BC48" s="70" t="s">
        <v>2865</v>
      </c>
      <c r="BD48" s="70" t="s">
        <v>337</v>
      </c>
      <c r="BE48" s="70" t="s">
        <v>74</v>
      </c>
      <c r="BF48" s="70" t="s">
        <v>338</v>
      </c>
      <c r="BG48" s="68"/>
      <c r="BI48" s="68"/>
      <c r="BJ48" s="68"/>
      <c r="BK48" s="70">
        <v>2</v>
      </c>
      <c r="BL48" s="70">
        <v>2</v>
      </c>
      <c r="BM48" s="70" t="s">
        <v>2847</v>
      </c>
    </row>
    <row r="49" spans="1:65" ht="14.4" customHeight="1" x14ac:dyDescent="0.3">
      <c r="A49" s="1" t="str">
        <f t="shared" si="1"/>
        <v>001224</v>
      </c>
      <c r="B49" s="70" t="s">
        <v>61</v>
      </c>
      <c r="C49" s="70" t="s">
        <v>62</v>
      </c>
      <c r="D49" s="70" t="s">
        <v>183</v>
      </c>
      <c r="E49" s="70" t="s">
        <v>184</v>
      </c>
      <c r="F49" s="70" t="s">
        <v>2848</v>
      </c>
      <c r="G49" s="70" t="s">
        <v>2849</v>
      </c>
      <c r="H49" s="70" t="s">
        <v>351</v>
      </c>
      <c r="I49" s="70" t="s">
        <v>67</v>
      </c>
      <c r="J49" s="70" t="s">
        <v>352</v>
      </c>
      <c r="K49" s="71">
        <v>45740</v>
      </c>
      <c r="L49" s="71">
        <v>46105</v>
      </c>
      <c r="M49" s="72">
        <v>30000</v>
      </c>
      <c r="N49" s="72">
        <v>31602.23</v>
      </c>
      <c r="O49" s="73">
        <v>0</v>
      </c>
      <c r="P49" s="73">
        <v>12</v>
      </c>
      <c r="Q49" s="70" t="s">
        <v>68</v>
      </c>
      <c r="R49" s="72">
        <v>4412.13</v>
      </c>
      <c r="S49" s="72">
        <v>696</v>
      </c>
      <c r="T49" s="72">
        <v>0.01</v>
      </c>
      <c r="U49" s="72">
        <v>0</v>
      </c>
      <c r="V49" s="72">
        <v>0</v>
      </c>
      <c r="W49" s="72">
        <v>15801.11</v>
      </c>
      <c r="X49" s="72">
        <v>0</v>
      </c>
      <c r="Y49" s="74">
        <v>0</v>
      </c>
      <c r="Z49" s="72">
        <v>0</v>
      </c>
      <c r="AA49" s="74">
        <v>0</v>
      </c>
      <c r="AB49" s="72">
        <v>0.01</v>
      </c>
      <c r="AC49" s="72">
        <v>4992</v>
      </c>
      <c r="AD49" s="71">
        <v>45936</v>
      </c>
      <c r="AE49" s="70" t="s">
        <v>69</v>
      </c>
      <c r="AF49" s="70" t="s">
        <v>353</v>
      </c>
      <c r="AG49" s="70" t="s">
        <v>354</v>
      </c>
      <c r="AH49" s="68"/>
      <c r="AI49" s="70" t="s">
        <v>89</v>
      </c>
      <c r="AJ49" s="70" t="s">
        <v>90</v>
      </c>
      <c r="AK49" s="70" t="s">
        <v>355</v>
      </c>
      <c r="AL49" s="68"/>
      <c r="AM49" s="70" t="s">
        <v>710</v>
      </c>
      <c r="AN49" s="70" t="s">
        <v>1247</v>
      </c>
      <c r="AO49" s="70" t="s">
        <v>707</v>
      </c>
      <c r="AP49" s="70" t="s">
        <v>708</v>
      </c>
      <c r="AQ49" s="70" t="s">
        <v>709</v>
      </c>
      <c r="AR49" s="70" t="s">
        <v>1248</v>
      </c>
      <c r="AS49" s="70" t="s">
        <v>122</v>
      </c>
      <c r="AT49" s="68" t="s">
        <v>356</v>
      </c>
      <c r="AU49" s="70" t="s">
        <v>357</v>
      </c>
      <c r="AV49" s="68"/>
      <c r="AW49" s="68"/>
      <c r="AX49" s="68"/>
      <c r="AY49" s="72">
        <v>26124.55</v>
      </c>
      <c r="AZ49" s="72">
        <v>0.22651474999999999</v>
      </c>
      <c r="BA49" s="70" t="s">
        <v>67</v>
      </c>
      <c r="BB49" s="70" t="s">
        <v>1044</v>
      </c>
      <c r="BC49" s="70" t="s">
        <v>2992</v>
      </c>
      <c r="BD49" s="70" t="s">
        <v>88</v>
      </c>
      <c r="BE49" s="70" t="s">
        <v>74</v>
      </c>
      <c r="BF49" s="70" t="s">
        <v>75</v>
      </c>
      <c r="BG49" s="68"/>
      <c r="BI49" s="68"/>
      <c r="BJ49" s="68"/>
      <c r="BK49" s="70">
        <v>4</v>
      </c>
      <c r="BL49" s="70">
        <v>4</v>
      </c>
      <c r="BM49" s="70" t="s">
        <v>2847</v>
      </c>
    </row>
    <row r="50" spans="1:65" ht="14.4" customHeight="1" x14ac:dyDescent="0.3">
      <c r="A50" s="1" t="str">
        <f t="shared" si="1"/>
        <v>001312</v>
      </c>
      <c r="B50" s="70" t="s">
        <v>61</v>
      </c>
      <c r="C50" s="70" t="s">
        <v>62</v>
      </c>
      <c r="D50" s="70" t="s">
        <v>408</v>
      </c>
      <c r="E50" s="70" t="s">
        <v>409</v>
      </c>
      <c r="F50" s="70" t="s">
        <v>2848</v>
      </c>
      <c r="G50" s="70" t="s">
        <v>2849</v>
      </c>
      <c r="H50" s="70" t="s">
        <v>1888</v>
      </c>
      <c r="I50" s="70" t="s">
        <v>67</v>
      </c>
      <c r="J50" s="70" t="s">
        <v>560</v>
      </c>
      <c r="K50" s="71">
        <v>45790</v>
      </c>
      <c r="L50" s="71">
        <v>46155</v>
      </c>
      <c r="M50" s="72">
        <v>10000</v>
      </c>
      <c r="N50" s="72">
        <v>10534.08</v>
      </c>
      <c r="O50" s="73">
        <v>62</v>
      </c>
      <c r="P50" s="73">
        <v>12</v>
      </c>
      <c r="Q50" s="70" t="s">
        <v>68</v>
      </c>
      <c r="R50" s="72">
        <v>1702.69</v>
      </c>
      <c r="S50" s="72">
        <v>696</v>
      </c>
      <c r="T50" s="72">
        <v>1740</v>
      </c>
      <c r="U50" s="72">
        <v>0</v>
      </c>
      <c r="V50" s="72">
        <v>3</v>
      </c>
      <c r="W50" s="72">
        <v>8778.4</v>
      </c>
      <c r="X50" s="72">
        <v>6840.77</v>
      </c>
      <c r="Y50" s="72">
        <v>2633.52</v>
      </c>
      <c r="Z50" s="72">
        <v>2300.56</v>
      </c>
      <c r="AA50" s="72">
        <v>166.69</v>
      </c>
      <c r="AB50" s="72">
        <v>1740</v>
      </c>
      <c r="AC50" s="72">
        <v>1702.69</v>
      </c>
      <c r="AD50" s="71">
        <v>45853</v>
      </c>
      <c r="AE50" s="70" t="s">
        <v>69</v>
      </c>
      <c r="AF50" s="70" t="s">
        <v>1889</v>
      </c>
      <c r="AG50" s="70" t="s">
        <v>561</v>
      </c>
      <c r="AH50" s="68"/>
      <c r="AI50" s="70" t="s">
        <v>89</v>
      </c>
      <c r="AJ50" s="70" t="s">
        <v>90</v>
      </c>
      <c r="AK50" s="68"/>
      <c r="AL50" s="68"/>
      <c r="AM50" s="70" t="s">
        <v>742</v>
      </c>
      <c r="AN50" s="70" t="s">
        <v>1890</v>
      </c>
      <c r="AO50" s="70" t="s">
        <v>740</v>
      </c>
      <c r="AP50" s="70" t="s">
        <v>1891</v>
      </c>
      <c r="AQ50" s="70" t="s">
        <v>741</v>
      </c>
      <c r="AR50" s="70" t="s">
        <v>1892</v>
      </c>
      <c r="AS50" s="68"/>
      <c r="AT50" s="68"/>
      <c r="AU50" s="68"/>
      <c r="AV50" s="68"/>
      <c r="AW50" s="68"/>
      <c r="AX50" s="68"/>
      <c r="AY50" s="72">
        <v>18353.61</v>
      </c>
      <c r="AZ50" s="72">
        <v>0</v>
      </c>
      <c r="BA50" s="70" t="s">
        <v>67</v>
      </c>
      <c r="BB50" s="70" t="s">
        <v>1044</v>
      </c>
      <c r="BC50" s="70" t="s">
        <v>2993</v>
      </c>
      <c r="BD50" s="70" t="s">
        <v>452</v>
      </c>
      <c r="BE50" s="70" t="s">
        <v>74</v>
      </c>
      <c r="BF50" s="70" t="s">
        <v>75</v>
      </c>
      <c r="BG50" s="68"/>
      <c r="BI50" s="68"/>
      <c r="BJ50" s="68"/>
      <c r="BK50" s="70">
        <v>4</v>
      </c>
      <c r="BL50" s="70">
        <v>4</v>
      </c>
      <c r="BM50" s="70" t="s">
        <v>2847</v>
      </c>
    </row>
    <row r="51" spans="1:65" ht="14.4" customHeight="1" x14ac:dyDescent="0.3">
      <c r="A51" s="1" t="str">
        <f t="shared" si="1"/>
        <v>001451</v>
      </c>
      <c r="B51" s="70" t="s">
        <v>61</v>
      </c>
      <c r="C51" s="70" t="s">
        <v>62</v>
      </c>
      <c r="D51" s="70" t="s">
        <v>1429</v>
      </c>
      <c r="E51" s="70" t="s">
        <v>617</v>
      </c>
      <c r="F51" s="70" t="s">
        <v>2848</v>
      </c>
      <c r="G51" s="70" t="s">
        <v>2849</v>
      </c>
      <c r="H51" s="70" t="s">
        <v>1955</v>
      </c>
      <c r="I51" s="70" t="s">
        <v>67</v>
      </c>
      <c r="J51" s="70" t="s">
        <v>1358</v>
      </c>
      <c r="K51" s="71">
        <v>45834</v>
      </c>
      <c r="L51" s="71">
        <v>46204</v>
      </c>
      <c r="M51" s="72">
        <v>10000</v>
      </c>
      <c r="N51" s="72">
        <v>10534.08</v>
      </c>
      <c r="O51" s="73">
        <v>74</v>
      </c>
      <c r="P51" s="73">
        <v>12</v>
      </c>
      <c r="Q51" s="70" t="s">
        <v>68</v>
      </c>
      <c r="R51" s="72">
        <v>1713.2</v>
      </c>
      <c r="S51" s="72">
        <v>696</v>
      </c>
      <c r="T51" s="72">
        <v>1160</v>
      </c>
      <c r="U51" s="72">
        <v>0</v>
      </c>
      <c r="V51" s="72">
        <v>2.2999999999999998</v>
      </c>
      <c r="W51" s="72">
        <v>10199.44</v>
      </c>
      <c r="X51" s="72">
        <v>5129.5902880000003</v>
      </c>
      <c r="Y51" s="72">
        <v>2298.88</v>
      </c>
      <c r="Z51" s="72">
        <v>1554.71</v>
      </c>
      <c r="AA51" s="72">
        <v>116</v>
      </c>
      <c r="AB51" s="72">
        <v>1160</v>
      </c>
      <c r="AC51" s="72">
        <v>1750</v>
      </c>
      <c r="AD51" s="71">
        <v>45873</v>
      </c>
      <c r="AE51" s="70" t="s">
        <v>69</v>
      </c>
      <c r="AF51" s="70" t="s">
        <v>1956</v>
      </c>
      <c r="AG51" s="70" t="s">
        <v>1359</v>
      </c>
      <c r="AH51" s="68"/>
      <c r="AI51" s="70" t="s">
        <v>1360</v>
      </c>
      <c r="AJ51" s="70" t="s">
        <v>1957</v>
      </c>
      <c r="AK51" s="68"/>
      <c r="AL51" s="68"/>
      <c r="AM51" s="70" t="s">
        <v>1361</v>
      </c>
      <c r="AN51" s="70" t="s">
        <v>1958</v>
      </c>
      <c r="AO51" s="70" t="s">
        <v>1362</v>
      </c>
      <c r="AP51" s="70" t="s">
        <v>1959</v>
      </c>
      <c r="AQ51" s="70" t="s">
        <v>1363</v>
      </c>
      <c r="AR51" s="70" t="s">
        <v>1960</v>
      </c>
      <c r="AS51" s="68"/>
      <c r="AT51" s="68"/>
      <c r="AU51" s="68"/>
      <c r="AV51" s="68"/>
      <c r="AW51" s="68"/>
      <c r="AX51" s="68"/>
      <c r="AY51" s="72">
        <v>20026.36</v>
      </c>
      <c r="AZ51" s="72">
        <v>0</v>
      </c>
      <c r="BA51" s="70" t="s">
        <v>67</v>
      </c>
      <c r="BB51" s="70" t="s">
        <v>1044</v>
      </c>
      <c r="BC51" s="70" t="s">
        <v>3016</v>
      </c>
      <c r="BD51" s="70" t="s">
        <v>125</v>
      </c>
      <c r="BE51" s="70" t="s">
        <v>74</v>
      </c>
      <c r="BF51" s="70" t="s">
        <v>75</v>
      </c>
      <c r="BG51" s="70" t="s">
        <v>1364</v>
      </c>
      <c r="BH51" s="70"/>
      <c r="BI51" s="68"/>
      <c r="BJ51" s="68"/>
      <c r="BK51" s="70">
        <v>3</v>
      </c>
      <c r="BL51" s="70">
        <v>3</v>
      </c>
      <c r="BM51" s="70" t="s">
        <v>2847</v>
      </c>
    </row>
    <row r="52" spans="1:65" ht="14.4" customHeight="1" x14ac:dyDescent="0.3">
      <c r="A52" s="1" t="str">
        <f t="shared" si="1"/>
        <v>001030</v>
      </c>
      <c r="B52" s="70" t="s">
        <v>61</v>
      </c>
      <c r="C52" s="70" t="s">
        <v>62</v>
      </c>
      <c r="D52" s="70" t="s">
        <v>183</v>
      </c>
      <c r="E52" s="70" t="s">
        <v>184</v>
      </c>
      <c r="F52" s="70" t="s">
        <v>2848</v>
      </c>
      <c r="G52" s="70" t="s">
        <v>2849</v>
      </c>
      <c r="H52" s="70" t="s">
        <v>1406</v>
      </c>
      <c r="I52" s="70" t="s">
        <v>76</v>
      </c>
      <c r="J52" s="70" t="s">
        <v>149</v>
      </c>
      <c r="K52" s="71">
        <v>45553</v>
      </c>
      <c r="L52" s="71">
        <v>46099</v>
      </c>
      <c r="M52" s="72">
        <v>80000</v>
      </c>
      <c r="N52" s="72">
        <v>84272.62</v>
      </c>
      <c r="O52" s="73">
        <v>26</v>
      </c>
      <c r="P52" s="73">
        <v>18</v>
      </c>
      <c r="Q52" s="70" t="s">
        <v>68</v>
      </c>
      <c r="R52" s="72">
        <v>9747.24</v>
      </c>
      <c r="S52" s="72">
        <v>1044</v>
      </c>
      <c r="T52" s="72">
        <v>580</v>
      </c>
      <c r="U52" s="72">
        <v>0</v>
      </c>
      <c r="V52" s="72">
        <v>1</v>
      </c>
      <c r="W52" s="72">
        <v>48602.3</v>
      </c>
      <c r="X52" s="72">
        <v>10313.960000000001</v>
      </c>
      <c r="Y52" s="72">
        <v>5266.43</v>
      </c>
      <c r="Z52" s="72">
        <v>4422.8100000000004</v>
      </c>
      <c r="AA52" s="72">
        <v>44.72</v>
      </c>
      <c r="AB52" s="72">
        <v>580</v>
      </c>
      <c r="AC52" s="72">
        <v>10340</v>
      </c>
      <c r="AD52" s="71">
        <v>45911</v>
      </c>
      <c r="AE52" s="70" t="s">
        <v>69</v>
      </c>
      <c r="AF52" s="70" t="s">
        <v>1407</v>
      </c>
      <c r="AG52" s="70" t="s">
        <v>150</v>
      </c>
      <c r="AH52" s="68"/>
      <c r="AI52" s="70" t="s">
        <v>151</v>
      </c>
      <c r="AJ52" s="70" t="s">
        <v>1408</v>
      </c>
      <c r="AK52" s="68"/>
      <c r="AL52" s="68"/>
      <c r="AM52" s="70" t="s">
        <v>713</v>
      </c>
      <c r="AN52" s="70" t="s">
        <v>1409</v>
      </c>
      <c r="AO52" s="70" t="s">
        <v>711</v>
      </c>
      <c r="AP52" s="70" t="s">
        <v>1409</v>
      </c>
      <c r="AQ52" s="70" t="s">
        <v>712</v>
      </c>
      <c r="AR52" s="70" t="s">
        <v>1410</v>
      </c>
      <c r="AS52" s="68"/>
      <c r="AT52" s="68"/>
      <c r="AU52" s="68"/>
      <c r="AV52" s="68"/>
      <c r="AW52" s="68"/>
      <c r="AX52" s="68"/>
      <c r="AY52" s="72">
        <v>53649.83</v>
      </c>
      <c r="AZ52" s="72">
        <v>0</v>
      </c>
      <c r="BA52" s="70" t="s">
        <v>67</v>
      </c>
      <c r="BB52" s="70" t="s">
        <v>72</v>
      </c>
      <c r="BC52" s="70" t="s">
        <v>2876</v>
      </c>
      <c r="BD52" s="70" t="s">
        <v>88</v>
      </c>
      <c r="BE52" s="70" t="s">
        <v>74</v>
      </c>
      <c r="BF52" s="70" t="s">
        <v>75</v>
      </c>
      <c r="BG52" s="68"/>
      <c r="BI52" s="68"/>
      <c r="BJ52" s="68"/>
      <c r="BK52" s="70">
        <v>5</v>
      </c>
      <c r="BL52" s="70">
        <v>3</v>
      </c>
      <c r="BM52" s="70" t="s">
        <v>2847</v>
      </c>
    </row>
    <row r="53" spans="1:65" ht="14.4" customHeight="1" x14ac:dyDescent="0.3">
      <c r="A53" s="1" t="str">
        <f t="shared" si="1"/>
        <v>001431</v>
      </c>
      <c r="B53" s="70" t="s">
        <v>61</v>
      </c>
      <c r="C53" s="70" t="s">
        <v>62</v>
      </c>
      <c r="D53" s="70" t="s">
        <v>1429</v>
      </c>
      <c r="E53" s="70" t="s">
        <v>617</v>
      </c>
      <c r="F53" s="70" t="s">
        <v>2848</v>
      </c>
      <c r="G53" s="70" t="s">
        <v>2849</v>
      </c>
      <c r="H53" s="70" t="s">
        <v>1430</v>
      </c>
      <c r="I53" s="70" t="s">
        <v>67</v>
      </c>
      <c r="J53" s="70" t="s">
        <v>1329</v>
      </c>
      <c r="K53" s="71">
        <v>45832</v>
      </c>
      <c r="L53" s="71">
        <v>46015</v>
      </c>
      <c r="M53" s="72">
        <v>5000</v>
      </c>
      <c r="N53" s="72">
        <v>5267.04</v>
      </c>
      <c r="O53" s="73">
        <v>50</v>
      </c>
      <c r="P53" s="73">
        <v>6</v>
      </c>
      <c r="Q53" s="70" t="s">
        <v>68</v>
      </c>
      <c r="R53" s="72">
        <v>1320.32</v>
      </c>
      <c r="S53" s="72">
        <v>348</v>
      </c>
      <c r="T53" s="72">
        <v>1160</v>
      </c>
      <c r="U53" s="72">
        <v>0</v>
      </c>
      <c r="V53" s="72">
        <v>1.5</v>
      </c>
      <c r="W53" s="72">
        <v>4111.67</v>
      </c>
      <c r="X53" s="72">
        <v>3080.63</v>
      </c>
      <c r="Y53" s="72">
        <v>1478.15</v>
      </c>
      <c r="Z53" s="72">
        <v>384.48</v>
      </c>
      <c r="AA53" s="72">
        <v>58</v>
      </c>
      <c r="AB53" s="72">
        <v>1160</v>
      </c>
      <c r="AC53" s="72">
        <v>1300</v>
      </c>
      <c r="AD53" s="71">
        <v>45929</v>
      </c>
      <c r="AE53" s="70" t="s">
        <v>69</v>
      </c>
      <c r="AF53" s="70" t="s">
        <v>1431</v>
      </c>
      <c r="AG53" s="70" t="s">
        <v>1330</v>
      </c>
      <c r="AH53" s="68"/>
      <c r="AI53" s="70" t="s">
        <v>526</v>
      </c>
      <c r="AJ53" s="70" t="s">
        <v>527</v>
      </c>
      <c r="AK53" s="70" t="s">
        <v>1331</v>
      </c>
      <c r="AL53" s="70" t="s">
        <v>1431</v>
      </c>
      <c r="AM53" s="70" t="s">
        <v>752</v>
      </c>
      <c r="AN53" s="70" t="s">
        <v>1432</v>
      </c>
      <c r="AO53" s="70" t="s">
        <v>1332</v>
      </c>
      <c r="AP53" s="70" t="s">
        <v>1433</v>
      </c>
      <c r="AQ53" s="70" t="s">
        <v>1333</v>
      </c>
      <c r="AR53" s="70" t="s">
        <v>1434</v>
      </c>
      <c r="AS53" s="68"/>
      <c r="AT53" s="68"/>
      <c r="AU53" s="68"/>
      <c r="AV53" s="68"/>
      <c r="AW53" s="68"/>
      <c r="AX53" s="68"/>
      <c r="AY53" s="72">
        <v>6867.58</v>
      </c>
      <c r="AZ53" s="72">
        <v>0</v>
      </c>
      <c r="BA53" s="70" t="s">
        <v>67</v>
      </c>
      <c r="BB53" s="70" t="s">
        <v>1044</v>
      </c>
      <c r="BC53" s="70" t="s">
        <v>2984</v>
      </c>
      <c r="BD53" s="70" t="s">
        <v>337</v>
      </c>
      <c r="BE53" s="70" t="s">
        <v>74</v>
      </c>
      <c r="BF53" s="70" t="s">
        <v>338</v>
      </c>
      <c r="BG53" s="70" t="s">
        <v>1334</v>
      </c>
      <c r="BH53" s="70"/>
      <c r="BI53" s="68"/>
      <c r="BJ53" s="68"/>
      <c r="BK53" s="70">
        <v>3</v>
      </c>
      <c r="BL53" s="70">
        <v>3</v>
      </c>
      <c r="BM53" s="70" t="s">
        <v>2847</v>
      </c>
    </row>
    <row r="54" spans="1:65" ht="14.4" customHeight="1" x14ac:dyDescent="0.3">
      <c r="A54" s="1" t="str">
        <f t="shared" si="1"/>
        <v>001092</v>
      </c>
      <c r="B54" s="70" t="s">
        <v>61</v>
      </c>
      <c r="C54" s="70" t="s">
        <v>62</v>
      </c>
      <c r="D54" s="70" t="s">
        <v>113</v>
      </c>
      <c r="E54" s="70" t="s">
        <v>114</v>
      </c>
      <c r="F54" s="70" t="s">
        <v>2848</v>
      </c>
      <c r="G54" s="70" t="s">
        <v>2849</v>
      </c>
      <c r="H54" s="70" t="s">
        <v>126</v>
      </c>
      <c r="I54" s="70" t="s">
        <v>67</v>
      </c>
      <c r="J54" s="70" t="s">
        <v>127</v>
      </c>
      <c r="K54" s="71">
        <v>45544</v>
      </c>
      <c r="L54" s="71">
        <v>46090</v>
      </c>
      <c r="M54" s="72">
        <v>100000</v>
      </c>
      <c r="N54" s="72">
        <v>105340.78</v>
      </c>
      <c r="O54" s="73">
        <v>64</v>
      </c>
      <c r="P54" s="73">
        <v>18</v>
      </c>
      <c r="Q54" s="70" t="s">
        <v>68</v>
      </c>
      <c r="R54" s="72">
        <v>12169.550000000001</v>
      </c>
      <c r="S54" s="72">
        <v>1044</v>
      </c>
      <c r="T54" s="72">
        <v>1160</v>
      </c>
      <c r="U54" s="72">
        <v>0</v>
      </c>
      <c r="V54" s="72">
        <v>2.8</v>
      </c>
      <c r="W54" s="72">
        <v>66786.83</v>
      </c>
      <c r="X54" s="72">
        <v>34749.96</v>
      </c>
      <c r="Y54" s="72">
        <v>19799.080000000002</v>
      </c>
      <c r="Z54" s="72">
        <v>13674.880000000001</v>
      </c>
      <c r="AA54" s="72">
        <v>116</v>
      </c>
      <c r="AB54" s="72">
        <v>1160</v>
      </c>
      <c r="AC54" s="72">
        <v>3500</v>
      </c>
      <c r="AD54" s="71">
        <v>45904</v>
      </c>
      <c r="AE54" s="70" t="s">
        <v>69</v>
      </c>
      <c r="AF54" s="70" t="s">
        <v>128</v>
      </c>
      <c r="AG54" s="70" t="s">
        <v>129</v>
      </c>
      <c r="AH54" s="68"/>
      <c r="AI54" s="70" t="s">
        <v>130</v>
      </c>
      <c r="AJ54" s="70" t="s">
        <v>131</v>
      </c>
      <c r="AK54" s="70" t="s">
        <v>132</v>
      </c>
      <c r="AL54" s="68"/>
      <c r="AM54" s="70" t="s">
        <v>699</v>
      </c>
      <c r="AN54" s="70" t="s">
        <v>1244</v>
      </c>
      <c r="AO54" s="70" t="s">
        <v>696</v>
      </c>
      <c r="AP54" s="70" t="s">
        <v>697</v>
      </c>
      <c r="AQ54" s="70" t="s">
        <v>698</v>
      </c>
      <c r="AR54" s="70" t="s">
        <v>1245</v>
      </c>
      <c r="AS54" s="70" t="s">
        <v>122</v>
      </c>
      <c r="AT54" s="68" t="s">
        <v>133</v>
      </c>
      <c r="AU54" s="70" t="s">
        <v>134</v>
      </c>
      <c r="AV54" s="68"/>
      <c r="AW54" s="68"/>
      <c r="AX54" s="68"/>
      <c r="AY54" s="72">
        <v>81737.710000000006</v>
      </c>
      <c r="AZ54" s="72">
        <v>0</v>
      </c>
      <c r="BA54" s="70" t="s">
        <v>135</v>
      </c>
      <c r="BB54" s="70" t="s">
        <v>136</v>
      </c>
      <c r="BC54" s="70" t="s">
        <v>2905</v>
      </c>
      <c r="BD54" s="70" t="s">
        <v>97</v>
      </c>
      <c r="BE54" s="70" t="s">
        <v>74</v>
      </c>
      <c r="BF54" s="70" t="s">
        <v>75</v>
      </c>
      <c r="BG54" s="68"/>
      <c r="BI54" s="68"/>
      <c r="BJ54" s="68"/>
      <c r="BK54" s="70">
        <v>7</v>
      </c>
      <c r="BL54" s="70">
        <v>7</v>
      </c>
      <c r="BM54" s="70" t="s">
        <v>2847</v>
      </c>
    </row>
    <row r="55" spans="1:65" ht="14.4" customHeight="1" x14ac:dyDescent="0.3">
      <c r="A55" s="1" t="str">
        <f t="shared" si="1"/>
        <v>001362</v>
      </c>
      <c r="B55" s="70" t="s">
        <v>61</v>
      </c>
      <c r="C55" s="70" t="s">
        <v>62</v>
      </c>
      <c r="D55" s="70" t="s">
        <v>183</v>
      </c>
      <c r="E55" s="70" t="s">
        <v>184</v>
      </c>
      <c r="F55" s="70" t="s">
        <v>2848</v>
      </c>
      <c r="G55" s="70" t="s">
        <v>2849</v>
      </c>
      <c r="H55" s="70" t="s">
        <v>1440</v>
      </c>
      <c r="I55" s="70" t="s">
        <v>67</v>
      </c>
      <c r="J55" s="70" t="s">
        <v>1045</v>
      </c>
      <c r="K55" s="71">
        <v>45811</v>
      </c>
      <c r="L55" s="71">
        <v>46147</v>
      </c>
      <c r="M55" s="72">
        <v>25000</v>
      </c>
      <c r="N55" s="72">
        <v>26335.190000000002</v>
      </c>
      <c r="O55" s="73">
        <v>49</v>
      </c>
      <c r="P55" s="73">
        <v>24</v>
      </c>
      <c r="Q55" s="70" t="s">
        <v>496</v>
      </c>
      <c r="R55" s="72">
        <v>2037.7</v>
      </c>
      <c r="S55" s="72">
        <v>1392</v>
      </c>
      <c r="T55" s="72">
        <v>2320</v>
      </c>
      <c r="U55" s="72">
        <v>9</v>
      </c>
      <c r="V55" s="72">
        <v>3.3</v>
      </c>
      <c r="W55" s="72">
        <v>20326.82</v>
      </c>
      <c r="X55" s="72">
        <v>9008.5362000000005</v>
      </c>
      <c r="Y55" s="72">
        <v>3867.33</v>
      </c>
      <c r="Z55" s="72">
        <v>2647.21</v>
      </c>
      <c r="AA55" s="72">
        <v>174</v>
      </c>
      <c r="AB55" s="72">
        <v>2320</v>
      </c>
      <c r="AC55" s="72">
        <v>1000</v>
      </c>
      <c r="AD55" s="71">
        <v>45938</v>
      </c>
      <c r="AE55" s="70" t="s">
        <v>69</v>
      </c>
      <c r="AF55" s="70" t="s">
        <v>1441</v>
      </c>
      <c r="AG55" s="70" t="s">
        <v>1046</v>
      </c>
      <c r="AH55" s="68"/>
      <c r="AI55" s="70" t="s">
        <v>89</v>
      </c>
      <c r="AJ55" s="70" t="s">
        <v>90</v>
      </c>
      <c r="AK55" s="70" t="s">
        <v>1047</v>
      </c>
      <c r="AL55" s="70" t="s">
        <v>1441</v>
      </c>
      <c r="AM55" s="70" t="s">
        <v>1048</v>
      </c>
      <c r="AN55" s="70" t="s">
        <v>1442</v>
      </c>
      <c r="AO55" s="70" t="s">
        <v>1049</v>
      </c>
      <c r="AP55" s="70" t="s">
        <v>1443</v>
      </c>
      <c r="AQ55" s="70" t="s">
        <v>1050</v>
      </c>
      <c r="AR55" s="70" t="s">
        <v>1444</v>
      </c>
      <c r="AS55" s="68"/>
      <c r="AT55" s="68"/>
      <c r="AU55" s="68"/>
      <c r="AV55" s="68"/>
      <c r="AW55" s="68"/>
      <c r="AX55" s="68"/>
      <c r="AY55" s="72">
        <v>38704.1</v>
      </c>
      <c r="AZ55" s="72">
        <v>0</v>
      </c>
      <c r="BA55" s="70" t="s">
        <v>67</v>
      </c>
      <c r="BB55" s="70" t="s">
        <v>1044</v>
      </c>
      <c r="BC55" s="70" t="s">
        <v>2994</v>
      </c>
      <c r="BD55" s="70" t="s">
        <v>1051</v>
      </c>
      <c r="BE55" s="70" t="s">
        <v>74</v>
      </c>
      <c r="BF55" s="70" t="s">
        <v>75</v>
      </c>
      <c r="BG55" s="70" t="s">
        <v>1052</v>
      </c>
      <c r="BH55" s="70"/>
      <c r="BI55" s="68"/>
      <c r="BJ55" s="68"/>
      <c r="BK55" s="70">
        <v>6</v>
      </c>
      <c r="BL55" s="70">
        <v>5</v>
      </c>
      <c r="BM55" s="70" t="s">
        <v>2847</v>
      </c>
    </row>
    <row r="56" spans="1:65" ht="14.4" customHeight="1" x14ac:dyDescent="0.3">
      <c r="A56" s="1" t="str">
        <f t="shared" si="1"/>
        <v>001360</v>
      </c>
      <c r="B56" s="70" t="s">
        <v>61</v>
      </c>
      <c r="C56" s="70" t="s">
        <v>62</v>
      </c>
      <c r="D56" s="70" t="s">
        <v>183</v>
      </c>
      <c r="E56" s="70" t="s">
        <v>184</v>
      </c>
      <c r="F56" s="70" t="s">
        <v>2848</v>
      </c>
      <c r="G56" s="70" t="s">
        <v>2849</v>
      </c>
      <c r="H56" s="70" t="s">
        <v>1445</v>
      </c>
      <c r="I56" s="70" t="s">
        <v>67</v>
      </c>
      <c r="J56" s="70" t="s">
        <v>1053</v>
      </c>
      <c r="K56" s="71">
        <v>45811</v>
      </c>
      <c r="L56" s="71">
        <v>45979</v>
      </c>
      <c r="M56" s="72">
        <v>7000</v>
      </c>
      <c r="N56" s="72">
        <v>7373.85</v>
      </c>
      <c r="O56" s="73">
        <v>35</v>
      </c>
      <c r="P56" s="73">
        <v>12</v>
      </c>
      <c r="Q56" s="70" t="s">
        <v>496</v>
      </c>
      <c r="R56" s="72">
        <v>919.56000000000006</v>
      </c>
      <c r="S56" s="72">
        <v>696</v>
      </c>
      <c r="T56" s="72">
        <v>1740.01</v>
      </c>
      <c r="U56" s="72">
        <v>9</v>
      </c>
      <c r="V56" s="72">
        <v>3</v>
      </c>
      <c r="W56" s="72">
        <v>3686.92</v>
      </c>
      <c r="X56" s="72">
        <v>4498.0475000000006</v>
      </c>
      <c r="Y56" s="72">
        <v>1843.46</v>
      </c>
      <c r="Z56" s="72">
        <v>741.22</v>
      </c>
      <c r="AA56" s="72">
        <v>173.36</v>
      </c>
      <c r="AB56" s="72">
        <v>1740.01</v>
      </c>
      <c r="AC56" s="72">
        <v>1498</v>
      </c>
      <c r="AD56" s="71">
        <v>45908</v>
      </c>
      <c r="AE56" s="70" t="s">
        <v>69</v>
      </c>
      <c r="AF56" s="70" t="s">
        <v>1446</v>
      </c>
      <c r="AG56" s="70" t="s">
        <v>1054</v>
      </c>
      <c r="AH56" s="68"/>
      <c r="AI56" s="70" t="s">
        <v>400</v>
      </c>
      <c r="AJ56" s="70" t="s">
        <v>1447</v>
      </c>
      <c r="AK56" s="68"/>
      <c r="AL56" s="68"/>
      <c r="AM56" s="70" t="s">
        <v>1055</v>
      </c>
      <c r="AN56" s="70" t="s">
        <v>1448</v>
      </c>
      <c r="AO56" s="70" t="s">
        <v>1056</v>
      </c>
      <c r="AP56" s="70" t="s">
        <v>1449</v>
      </c>
      <c r="AQ56" s="70" t="s">
        <v>1057</v>
      </c>
      <c r="AR56" s="70" t="s">
        <v>1450</v>
      </c>
      <c r="AS56" s="68"/>
      <c r="AT56" s="68"/>
      <c r="AU56" s="68"/>
      <c r="AV56" s="68"/>
      <c r="AW56" s="68"/>
      <c r="AX56" s="68"/>
      <c r="AY56" s="72">
        <v>7082.7300000000005</v>
      </c>
      <c r="AZ56" s="72">
        <v>0</v>
      </c>
      <c r="BA56" s="70" t="s">
        <v>67</v>
      </c>
      <c r="BB56" s="70" t="s">
        <v>1044</v>
      </c>
      <c r="BC56" s="70" t="s">
        <v>3019</v>
      </c>
      <c r="BD56" s="70" t="s">
        <v>73</v>
      </c>
      <c r="BE56" s="70" t="s">
        <v>74</v>
      </c>
      <c r="BF56" s="70" t="s">
        <v>75</v>
      </c>
      <c r="BG56" s="68"/>
      <c r="BI56" s="68"/>
      <c r="BJ56" s="68"/>
      <c r="BK56" s="70">
        <v>8</v>
      </c>
      <c r="BL56" s="70">
        <v>8</v>
      </c>
      <c r="BM56" s="70" t="s">
        <v>2847</v>
      </c>
    </row>
    <row r="57" spans="1:65" ht="14.4" customHeight="1" x14ac:dyDescent="0.3">
      <c r="A57" s="1" t="str">
        <f t="shared" si="1"/>
        <v>001149</v>
      </c>
      <c r="B57" s="70" t="s">
        <v>61</v>
      </c>
      <c r="C57" s="70" t="s">
        <v>62</v>
      </c>
      <c r="D57" s="70" t="s">
        <v>183</v>
      </c>
      <c r="E57" s="70" t="s">
        <v>184</v>
      </c>
      <c r="F57" s="70" t="s">
        <v>2848</v>
      </c>
      <c r="G57" s="70" t="s">
        <v>2849</v>
      </c>
      <c r="H57" s="70" t="s">
        <v>1871</v>
      </c>
      <c r="I57" s="70" t="s">
        <v>67</v>
      </c>
      <c r="J57" s="70" t="s">
        <v>361</v>
      </c>
      <c r="K57" s="71">
        <v>45723</v>
      </c>
      <c r="L57" s="71">
        <v>46088</v>
      </c>
      <c r="M57" s="72">
        <v>40000</v>
      </c>
      <c r="N57" s="72">
        <v>42136.31</v>
      </c>
      <c r="O57" s="73">
        <v>7</v>
      </c>
      <c r="P57" s="73">
        <v>12</v>
      </c>
      <c r="Q57" s="70" t="s">
        <v>68</v>
      </c>
      <c r="R57" s="72">
        <v>6064.3</v>
      </c>
      <c r="S57" s="72">
        <v>696</v>
      </c>
      <c r="T57" s="72">
        <v>580</v>
      </c>
      <c r="U57" s="72">
        <v>0</v>
      </c>
      <c r="V57" s="72">
        <v>1</v>
      </c>
      <c r="W57" s="72">
        <v>21068.15</v>
      </c>
      <c r="X57" s="72">
        <v>6644.0782992222221</v>
      </c>
      <c r="Y57" s="72">
        <v>3511.35</v>
      </c>
      <c r="Z57" s="72">
        <v>2494.9299999999998</v>
      </c>
      <c r="AA57" s="72">
        <v>57.79</v>
      </c>
      <c r="AB57" s="72">
        <v>580</v>
      </c>
      <c r="AC57" s="72">
        <v>6638</v>
      </c>
      <c r="AD57" s="71">
        <v>45933</v>
      </c>
      <c r="AE57" s="70" t="s">
        <v>69</v>
      </c>
      <c r="AF57" s="70" t="s">
        <v>1872</v>
      </c>
      <c r="AG57" s="70" t="s">
        <v>362</v>
      </c>
      <c r="AH57" s="68"/>
      <c r="AI57" s="70" t="s">
        <v>192</v>
      </c>
      <c r="AJ57" s="70" t="s">
        <v>193</v>
      </c>
      <c r="AK57" s="70" t="s">
        <v>363</v>
      </c>
      <c r="AL57" s="70" t="s">
        <v>1873</v>
      </c>
      <c r="AM57" s="70" t="s">
        <v>725</v>
      </c>
      <c r="AN57" s="70" t="s">
        <v>1874</v>
      </c>
      <c r="AO57" s="70" t="s">
        <v>723</v>
      </c>
      <c r="AP57" s="70" t="s">
        <v>1875</v>
      </c>
      <c r="AQ57" s="70" t="s">
        <v>724</v>
      </c>
      <c r="AR57" s="70" t="s">
        <v>1876</v>
      </c>
      <c r="AS57" s="70" t="s">
        <v>122</v>
      </c>
      <c r="AT57" s="68" t="s">
        <v>364</v>
      </c>
      <c r="AU57" s="70" t="s">
        <v>365</v>
      </c>
      <c r="AV57" s="68"/>
      <c r="AW57" s="68"/>
      <c r="AX57" s="68"/>
      <c r="AY57" s="72">
        <v>36675.56</v>
      </c>
      <c r="AZ57" s="72">
        <v>0</v>
      </c>
      <c r="BA57" s="70" t="s">
        <v>67</v>
      </c>
      <c r="BB57" s="70" t="s">
        <v>1044</v>
      </c>
      <c r="BC57" s="70" t="s">
        <v>2948</v>
      </c>
      <c r="BD57" s="70" t="s">
        <v>125</v>
      </c>
      <c r="BE57" s="70" t="s">
        <v>74</v>
      </c>
      <c r="BF57" s="70" t="s">
        <v>75</v>
      </c>
      <c r="BG57" s="68"/>
      <c r="BI57" s="68"/>
      <c r="BJ57" s="68"/>
      <c r="BK57" s="70">
        <v>4</v>
      </c>
      <c r="BL57" s="70">
        <v>4</v>
      </c>
      <c r="BM57" s="70" t="s">
        <v>2847</v>
      </c>
    </row>
    <row r="58" spans="1:65" ht="14.4" customHeight="1" x14ac:dyDescent="0.3">
      <c r="A58" s="1" t="str">
        <f t="shared" si="1"/>
        <v>001466</v>
      </c>
      <c r="B58" s="70" t="s">
        <v>61</v>
      </c>
      <c r="C58" s="70" t="s">
        <v>62</v>
      </c>
      <c r="D58" s="70" t="s">
        <v>1429</v>
      </c>
      <c r="E58" s="70" t="s">
        <v>617</v>
      </c>
      <c r="F58" s="70" t="s">
        <v>2848</v>
      </c>
      <c r="G58" s="70" t="s">
        <v>2849</v>
      </c>
      <c r="H58" s="70" t="s">
        <v>2015</v>
      </c>
      <c r="I58" s="70" t="s">
        <v>67</v>
      </c>
      <c r="J58" s="70" t="s">
        <v>1576</v>
      </c>
      <c r="K58" s="71">
        <v>45840</v>
      </c>
      <c r="L58" s="71">
        <v>46008</v>
      </c>
      <c r="M58" s="72">
        <v>5000</v>
      </c>
      <c r="N58" s="72">
        <v>5267.04</v>
      </c>
      <c r="O58" s="73">
        <v>0</v>
      </c>
      <c r="P58" s="73">
        <v>12</v>
      </c>
      <c r="Q58" s="70" t="s">
        <v>496</v>
      </c>
      <c r="R58" s="72">
        <v>673.4</v>
      </c>
      <c r="S58" s="72">
        <v>696</v>
      </c>
      <c r="T58" s="72">
        <v>0</v>
      </c>
      <c r="U58" s="72">
        <v>7</v>
      </c>
      <c r="V58" s="72">
        <v>0</v>
      </c>
      <c r="W58" s="72">
        <v>1755.68</v>
      </c>
      <c r="X58" s="72">
        <v>0</v>
      </c>
      <c r="Y58" s="74">
        <v>0</v>
      </c>
      <c r="Z58" s="74">
        <v>0</v>
      </c>
      <c r="AA58" s="74">
        <v>0</v>
      </c>
      <c r="AB58" s="72">
        <v>0</v>
      </c>
      <c r="AC58" s="72">
        <v>6000</v>
      </c>
      <c r="AD58" s="71">
        <v>45924</v>
      </c>
      <c r="AE58" s="70" t="s">
        <v>69</v>
      </c>
      <c r="AF58" s="70" t="s">
        <v>2016</v>
      </c>
      <c r="AG58" s="70" t="s">
        <v>2016</v>
      </c>
      <c r="AH58" s="68"/>
      <c r="AI58" s="70" t="s">
        <v>454</v>
      </c>
      <c r="AJ58" s="70" t="s">
        <v>1929</v>
      </c>
      <c r="AK58" s="70" t="s">
        <v>1577</v>
      </c>
      <c r="AL58" s="70" t="s">
        <v>2016</v>
      </c>
      <c r="AM58" s="70" t="s">
        <v>1578</v>
      </c>
      <c r="AN58" s="70" t="s">
        <v>2017</v>
      </c>
      <c r="AO58" s="70" t="s">
        <v>1579</v>
      </c>
      <c r="AP58" s="70" t="s">
        <v>2018</v>
      </c>
      <c r="AQ58" s="70" t="s">
        <v>1580</v>
      </c>
      <c r="AR58" s="70" t="s">
        <v>2019</v>
      </c>
      <c r="AS58" s="68"/>
      <c r="AT58" s="68"/>
      <c r="AU58" s="68"/>
      <c r="AV58" s="68"/>
      <c r="AW58" s="68"/>
      <c r="AX58" s="68"/>
      <c r="AY58" s="72">
        <v>2183.81</v>
      </c>
      <c r="AZ58" s="72">
        <v>893.19332480000003</v>
      </c>
      <c r="BA58" s="70" t="s">
        <v>67</v>
      </c>
      <c r="BB58" s="70" t="s">
        <v>1044</v>
      </c>
      <c r="BC58" s="70" t="s">
        <v>2976</v>
      </c>
      <c r="BD58" s="70" t="s">
        <v>1581</v>
      </c>
      <c r="BE58" s="70" t="s">
        <v>74</v>
      </c>
      <c r="BF58" s="70" t="s">
        <v>75</v>
      </c>
      <c r="BG58" s="70" t="s">
        <v>1582</v>
      </c>
      <c r="BH58" s="70"/>
      <c r="BI58" s="68"/>
      <c r="BJ58" s="68"/>
      <c r="BK58" s="70">
        <v>3</v>
      </c>
      <c r="BL58" s="70">
        <v>3</v>
      </c>
      <c r="BM58" s="70" t="s">
        <v>2847</v>
      </c>
    </row>
    <row r="59" spans="1:65" ht="14.4" customHeight="1" x14ac:dyDescent="0.3">
      <c r="A59" s="1" t="str">
        <f t="shared" si="1"/>
        <v>001164</v>
      </c>
      <c r="B59" s="70" t="s">
        <v>61</v>
      </c>
      <c r="C59" s="70" t="s">
        <v>62</v>
      </c>
      <c r="D59" s="70" t="s">
        <v>183</v>
      </c>
      <c r="E59" s="70" t="s">
        <v>184</v>
      </c>
      <c r="F59" s="70" t="s">
        <v>2848</v>
      </c>
      <c r="G59" s="70" t="s">
        <v>2849</v>
      </c>
      <c r="H59" s="70" t="s">
        <v>173</v>
      </c>
      <c r="I59" s="70" t="s">
        <v>67</v>
      </c>
      <c r="J59" s="70" t="s">
        <v>174</v>
      </c>
      <c r="K59" s="71">
        <v>45678</v>
      </c>
      <c r="L59" s="71">
        <v>46043</v>
      </c>
      <c r="M59" s="72">
        <v>20000</v>
      </c>
      <c r="N59" s="72">
        <v>21068.16</v>
      </c>
      <c r="O59" s="73">
        <v>22</v>
      </c>
      <c r="P59" s="73">
        <v>12</v>
      </c>
      <c r="Q59" s="70" t="s">
        <v>68</v>
      </c>
      <c r="R59" s="72">
        <v>3015.02</v>
      </c>
      <c r="S59" s="72">
        <v>696</v>
      </c>
      <c r="T59" s="72">
        <v>580</v>
      </c>
      <c r="U59" s="72">
        <v>0</v>
      </c>
      <c r="V59" s="72">
        <v>0.2</v>
      </c>
      <c r="W59" s="72">
        <v>10222.219999999999</v>
      </c>
      <c r="X59" s="72">
        <v>1243.28</v>
      </c>
      <c r="Y59" s="72">
        <v>663.28</v>
      </c>
      <c r="Z59" s="72">
        <v>0</v>
      </c>
      <c r="AA59" s="72">
        <v>0</v>
      </c>
      <c r="AB59" s="72">
        <v>580</v>
      </c>
      <c r="AC59" s="72">
        <v>3500</v>
      </c>
      <c r="AD59" s="71">
        <v>45938</v>
      </c>
      <c r="AE59" s="70" t="s">
        <v>69</v>
      </c>
      <c r="AF59" s="70" t="s">
        <v>175</v>
      </c>
      <c r="AG59" s="70" t="s">
        <v>176</v>
      </c>
      <c r="AH59" s="68"/>
      <c r="AI59" s="70" t="s">
        <v>177</v>
      </c>
      <c r="AJ59" s="70" t="s">
        <v>178</v>
      </c>
      <c r="AK59" s="70" t="s">
        <v>179</v>
      </c>
      <c r="AL59" s="70" t="s">
        <v>175</v>
      </c>
      <c r="AM59" s="70" t="s">
        <v>729</v>
      </c>
      <c r="AN59" s="70" t="s">
        <v>1249</v>
      </c>
      <c r="AO59" s="70" t="s">
        <v>726</v>
      </c>
      <c r="AP59" s="70" t="s">
        <v>727</v>
      </c>
      <c r="AQ59" s="70" t="s">
        <v>728</v>
      </c>
      <c r="AR59" s="70" t="s">
        <v>1250</v>
      </c>
      <c r="AS59" s="70" t="s">
        <v>122</v>
      </c>
      <c r="AT59" s="68" t="s">
        <v>180</v>
      </c>
      <c r="AU59" s="70" t="s">
        <v>181</v>
      </c>
      <c r="AV59" s="68"/>
      <c r="AW59" s="68"/>
      <c r="AX59" s="68"/>
      <c r="AY59" s="72">
        <v>10802.22</v>
      </c>
      <c r="AZ59" s="72">
        <v>0</v>
      </c>
      <c r="BA59" s="70" t="s">
        <v>135</v>
      </c>
      <c r="BB59" s="70" t="s">
        <v>136</v>
      </c>
      <c r="BC59" s="70" t="s">
        <v>182</v>
      </c>
      <c r="BD59" s="70" t="s">
        <v>88</v>
      </c>
      <c r="BE59" s="70" t="s">
        <v>74</v>
      </c>
      <c r="BF59" s="70" t="s">
        <v>75</v>
      </c>
      <c r="BG59" s="68"/>
      <c r="BI59" s="68"/>
      <c r="BJ59" s="68"/>
      <c r="BK59" s="70">
        <v>4</v>
      </c>
      <c r="BL59" s="70">
        <v>4</v>
      </c>
      <c r="BM59" s="70" t="s">
        <v>2847</v>
      </c>
    </row>
    <row r="60" spans="1:65" ht="14.4" customHeight="1" x14ac:dyDescent="0.3">
      <c r="A60" s="1" t="str">
        <f t="shared" si="1"/>
        <v>001304</v>
      </c>
      <c r="B60" s="70" t="s">
        <v>61</v>
      </c>
      <c r="C60" s="70" t="s">
        <v>62</v>
      </c>
      <c r="D60" s="70" t="s">
        <v>408</v>
      </c>
      <c r="E60" s="70" t="s">
        <v>409</v>
      </c>
      <c r="F60" s="70" t="s">
        <v>2848</v>
      </c>
      <c r="G60" s="70" t="s">
        <v>2849</v>
      </c>
      <c r="H60" s="70" t="s">
        <v>1418</v>
      </c>
      <c r="I60" s="70" t="s">
        <v>67</v>
      </c>
      <c r="J60" s="70" t="s">
        <v>551</v>
      </c>
      <c r="K60" s="71">
        <v>45786</v>
      </c>
      <c r="L60" s="71">
        <v>46151</v>
      </c>
      <c r="M60" s="72">
        <v>10000</v>
      </c>
      <c r="N60" s="72">
        <v>10534.08</v>
      </c>
      <c r="O60" s="73">
        <v>97</v>
      </c>
      <c r="P60" s="73">
        <v>12</v>
      </c>
      <c r="Q60" s="70" t="s">
        <v>68</v>
      </c>
      <c r="R60" s="72">
        <v>1702.69</v>
      </c>
      <c r="S60" s="72">
        <v>696</v>
      </c>
      <c r="T60" s="72">
        <v>2320</v>
      </c>
      <c r="U60" s="72">
        <v>0</v>
      </c>
      <c r="V60" s="72">
        <v>4</v>
      </c>
      <c r="W60" s="72">
        <v>9656.24</v>
      </c>
      <c r="X60" s="72">
        <v>9130.4600000000009</v>
      </c>
      <c r="Y60" s="72">
        <v>3511.36</v>
      </c>
      <c r="Z60" s="72">
        <v>3067.41</v>
      </c>
      <c r="AA60" s="72">
        <v>231.69</v>
      </c>
      <c r="AB60" s="72">
        <v>2320</v>
      </c>
      <c r="AC60" s="72">
        <v>1703</v>
      </c>
      <c r="AD60" s="71">
        <v>45817</v>
      </c>
      <c r="AE60" s="70" t="s">
        <v>69</v>
      </c>
      <c r="AF60" s="70" t="s">
        <v>1419</v>
      </c>
      <c r="AG60" s="70" t="s">
        <v>552</v>
      </c>
      <c r="AH60" s="68"/>
      <c r="AI60" s="70" t="s">
        <v>283</v>
      </c>
      <c r="AJ60" s="70" t="s">
        <v>284</v>
      </c>
      <c r="AK60" s="68"/>
      <c r="AL60" s="68"/>
      <c r="AM60" s="70" t="s">
        <v>751</v>
      </c>
      <c r="AN60" s="70" t="s">
        <v>1420</v>
      </c>
      <c r="AO60" s="70" t="s">
        <v>749</v>
      </c>
      <c r="AP60" s="70" t="s">
        <v>1421</v>
      </c>
      <c r="AQ60" s="70" t="s">
        <v>750</v>
      </c>
      <c r="AR60" s="70" t="s">
        <v>1422</v>
      </c>
      <c r="AS60" s="68"/>
      <c r="AT60" s="68"/>
      <c r="AU60" s="68"/>
      <c r="AV60" s="68"/>
      <c r="AW60" s="68"/>
      <c r="AX60" s="68"/>
      <c r="AY60" s="72">
        <v>20643.3</v>
      </c>
      <c r="AZ60" s="72">
        <v>0</v>
      </c>
      <c r="BA60" s="70" t="s">
        <v>67</v>
      </c>
      <c r="BB60" s="70" t="s">
        <v>1044</v>
      </c>
      <c r="BC60" s="70" t="s">
        <v>2907</v>
      </c>
      <c r="BD60" s="70" t="s">
        <v>125</v>
      </c>
      <c r="BE60" s="70" t="s">
        <v>74</v>
      </c>
      <c r="BF60" s="70" t="s">
        <v>75</v>
      </c>
      <c r="BG60" s="68"/>
      <c r="BI60" s="68"/>
      <c r="BJ60" s="68"/>
      <c r="BK60" s="70">
        <v>4</v>
      </c>
      <c r="BL60" s="70">
        <v>4</v>
      </c>
      <c r="BM60" s="70" t="s">
        <v>2847</v>
      </c>
    </row>
    <row r="61" spans="1:65" ht="14.4" customHeight="1" x14ac:dyDescent="0.3">
      <c r="A61" s="1" t="str">
        <f t="shared" si="1"/>
        <v>001418</v>
      </c>
      <c r="B61" s="70" t="s">
        <v>61</v>
      </c>
      <c r="C61" s="70" t="s">
        <v>62</v>
      </c>
      <c r="D61" s="70" t="s">
        <v>1429</v>
      </c>
      <c r="E61" s="70" t="s">
        <v>617</v>
      </c>
      <c r="F61" s="70" t="s">
        <v>2848</v>
      </c>
      <c r="G61" s="70" t="s">
        <v>2849</v>
      </c>
      <c r="H61" s="70" t="s">
        <v>2042</v>
      </c>
      <c r="I61" s="70" t="s">
        <v>67</v>
      </c>
      <c r="J61" s="70" t="s">
        <v>1314</v>
      </c>
      <c r="K61" s="71">
        <v>45831</v>
      </c>
      <c r="L61" s="71">
        <v>46014</v>
      </c>
      <c r="M61" s="72">
        <v>5000</v>
      </c>
      <c r="N61" s="72">
        <v>5267.04</v>
      </c>
      <c r="O61" s="73">
        <v>21</v>
      </c>
      <c r="P61" s="73">
        <v>6</v>
      </c>
      <c r="Q61" s="70" t="s">
        <v>68</v>
      </c>
      <c r="R61" s="72">
        <v>1320.32</v>
      </c>
      <c r="S61" s="72">
        <v>348</v>
      </c>
      <c r="T61" s="72">
        <v>580</v>
      </c>
      <c r="U61" s="72">
        <v>0</v>
      </c>
      <c r="V61" s="72">
        <v>1</v>
      </c>
      <c r="W61" s="72">
        <v>3511.36</v>
      </c>
      <c r="X61" s="72">
        <v>1880.95</v>
      </c>
      <c r="Y61" s="72">
        <v>877.84</v>
      </c>
      <c r="Z61" s="72">
        <v>384.48</v>
      </c>
      <c r="AA61" s="72">
        <v>38.630000000000003</v>
      </c>
      <c r="AB61" s="72">
        <v>580</v>
      </c>
      <c r="AC61" s="72">
        <v>1330</v>
      </c>
      <c r="AD61" s="71">
        <v>45891</v>
      </c>
      <c r="AE61" s="70" t="s">
        <v>69</v>
      </c>
      <c r="AF61" s="70" t="s">
        <v>2043</v>
      </c>
      <c r="AG61" s="70" t="s">
        <v>1315</v>
      </c>
      <c r="AH61" s="68"/>
      <c r="AI61" s="70" t="s">
        <v>283</v>
      </c>
      <c r="AJ61" s="70" t="s">
        <v>284</v>
      </c>
      <c r="AK61" s="70" t="s">
        <v>1316</v>
      </c>
      <c r="AL61" s="70" t="s">
        <v>2043</v>
      </c>
      <c r="AM61" s="70" t="s">
        <v>1317</v>
      </c>
      <c r="AN61" s="70" t="s">
        <v>2044</v>
      </c>
      <c r="AO61" s="70" t="s">
        <v>1318</v>
      </c>
      <c r="AP61" s="70" t="s">
        <v>2045</v>
      </c>
      <c r="AQ61" s="70" t="s">
        <v>1319</v>
      </c>
      <c r="AR61" s="70" t="s">
        <v>2046</v>
      </c>
      <c r="AS61" s="68"/>
      <c r="AT61" s="68"/>
      <c r="AU61" s="68"/>
      <c r="AV61" s="68"/>
      <c r="AW61" s="68"/>
      <c r="AX61" s="68"/>
      <c r="AY61" s="72">
        <v>5667.9000000000005</v>
      </c>
      <c r="AZ61" s="72">
        <v>0</v>
      </c>
      <c r="BA61" s="70" t="s">
        <v>67</v>
      </c>
      <c r="BB61" s="70" t="s">
        <v>1044</v>
      </c>
      <c r="BC61" s="70" t="s">
        <v>2909</v>
      </c>
      <c r="BD61" s="70" t="s">
        <v>339</v>
      </c>
      <c r="BE61" s="70" t="s">
        <v>74</v>
      </c>
      <c r="BF61" s="70" t="s">
        <v>75</v>
      </c>
      <c r="BG61" s="70" t="s">
        <v>1320</v>
      </c>
      <c r="BH61" s="70"/>
      <c r="BI61" s="68"/>
      <c r="BJ61" s="68"/>
      <c r="BK61" s="70">
        <v>1</v>
      </c>
      <c r="BL61" s="70">
        <v>1</v>
      </c>
      <c r="BM61" s="70" t="s">
        <v>2847</v>
      </c>
    </row>
    <row r="62" spans="1:65" ht="14.4" customHeight="1" x14ac:dyDescent="0.3">
      <c r="A62" s="1" t="str">
        <f t="shared" si="1"/>
        <v>001059</v>
      </c>
      <c r="B62" s="70" t="s">
        <v>61</v>
      </c>
      <c r="C62" s="70" t="s">
        <v>194</v>
      </c>
      <c r="D62" s="70" t="s">
        <v>195</v>
      </c>
      <c r="E62" s="70" t="s">
        <v>196</v>
      </c>
      <c r="F62" s="70" t="s">
        <v>2783</v>
      </c>
      <c r="G62" s="70" t="s">
        <v>2784</v>
      </c>
      <c r="H62" s="70" t="s">
        <v>197</v>
      </c>
      <c r="I62" s="70" t="s">
        <v>67</v>
      </c>
      <c r="J62" s="70" t="s">
        <v>198</v>
      </c>
      <c r="K62" s="71">
        <v>45441</v>
      </c>
      <c r="L62" s="71">
        <v>45690</v>
      </c>
      <c r="M62" s="72">
        <v>80000</v>
      </c>
      <c r="N62" s="72">
        <v>84272.62</v>
      </c>
      <c r="O62" s="73">
        <v>377</v>
      </c>
      <c r="P62" s="73">
        <v>8</v>
      </c>
      <c r="Q62" s="70" t="s">
        <v>68</v>
      </c>
      <c r="R62" s="72">
        <v>17017.760000000002</v>
      </c>
      <c r="S62" s="72">
        <v>464</v>
      </c>
      <c r="T62" s="72">
        <v>2320</v>
      </c>
      <c r="U62" s="72">
        <v>0</v>
      </c>
      <c r="V62" s="72">
        <v>4.4000000000000004</v>
      </c>
      <c r="W62" s="72">
        <v>59540.72</v>
      </c>
      <c r="X62" s="72">
        <v>78446.080000000002</v>
      </c>
      <c r="Y62" s="72">
        <v>59540.72</v>
      </c>
      <c r="Z62" s="72">
        <v>15889.36</v>
      </c>
      <c r="AA62" s="72">
        <v>696</v>
      </c>
      <c r="AB62" s="72">
        <v>2320</v>
      </c>
      <c r="AC62" s="72">
        <v>5000</v>
      </c>
      <c r="AD62" s="71">
        <v>45592</v>
      </c>
      <c r="AE62" s="70" t="s">
        <v>69</v>
      </c>
      <c r="AF62" s="70" t="s">
        <v>199</v>
      </c>
      <c r="AG62" s="70" t="s">
        <v>200</v>
      </c>
      <c r="AH62" s="68"/>
      <c r="AI62" s="70" t="s">
        <v>82</v>
      </c>
      <c r="AJ62" s="70" t="s">
        <v>83</v>
      </c>
      <c r="AK62" s="68"/>
      <c r="AL62" s="68"/>
      <c r="AM62" s="70" t="s">
        <v>784</v>
      </c>
      <c r="AN62" s="70" t="s">
        <v>1257</v>
      </c>
      <c r="AO62" s="70" t="s">
        <v>1258</v>
      </c>
      <c r="AP62" s="70" t="s">
        <v>1259</v>
      </c>
      <c r="AQ62" s="70" t="s">
        <v>1260</v>
      </c>
      <c r="AR62" s="70" t="s">
        <v>1261</v>
      </c>
      <c r="AS62" s="70" t="s">
        <v>122</v>
      </c>
      <c r="AT62" s="68" t="s">
        <v>201</v>
      </c>
      <c r="AU62" s="70" t="s">
        <v>202</v>
      </c>
      <c r="AV62" s="68"/>
      <c r="AW62" s="68"/>
      <c r="AX62" s="68"/>
      <c r="AY62" s="72">
        <v>78446.080000000002</v>
      </c>
      <c r="AZ62" s="72">
        <v>0</v>
      </c>
      <c r="BA62" s="70" t="s">
        <v>67</v>
      </c>
      <c r="BB62" s="70" t="s">
        <v>77</v>
      </c>
      <c r="BC62" s="70" t="s">
        <v>2981</v>
      </c>
      <c r="BD62" s="70" t="s">
        <v>203</v>
      </c>
      <c r="BE62" s="70" t="s">
        <v>74</v>
      </c>
      <c r="BF62" s="70" t="s">
        <v>204</v>
      </c>
      <c r="BG62" s="68"/>
      <c r="BI62" s="68"/>
      <c r="BJ62" s="68"/>
      <c r="BK62" s="70">
        <v>16</v>
      </c>
      <c r="BL62" s="70">
        <v>16</v>
      </c>
      <c r="BM62" s="70" t="s">
        <v>2847</v>
      </c>
    </row>
    <row r="63" spans="1:65" ht="14.4" customHeight="1" x14ac:dyDescent="0.3">
      <c r="A63" s="1" t="str">
        <f t="shared" si="1"/>
        <v>001420</v>
      </c>
      <c r="B63" s="70" t="s">
        <v>61</v>
      </c>
      <c r="C63" s="70" t="s">
        <v>194</v>
      </c>
      <c r="D63" s="70" t="s">
        <v>588</v>
      </c>
      <c r="E63" s="70" t="s">
        <v>589</v>
      </c>
      <c r="F63" s="70" t="s">
        <v>590</v>
      </c>
      <c r="G63" s="70" t="s">
        <v>2763</v>
      </c>
      <c r="H63" s="70" t="s">
        <v>2108</v>
      </c>
      <c r="I63" s="70" t="s">
        <v>67</v>
      </c>
      <c r="J63" s="70" t="s">
        <v>1235</v>
      </c>
      <c r="K63" s="71">
        <v>45827</v>
      </c>
      <c r="L63" s="71">
        <v>46192</v>
      </c>
      <c r="M63" s="72">
        <v>25000</v>
      </c>
      <c r="N63" s="72">
        <v>26335.190000000002</v>
      </c>
      <c r="O63" s="73">
        <v>25</v>
      </c>
      <c r="P63" s="73">
        <v>12</v>
      </c>
      <c r="Q63" s="70" t="s">
        <v>68</v>
      </c>
      <c r="R63" s="72">
        <v>4169.7300000000005</v>
      </c>
      <c r="S63" s="72">
        <v>696</v>
      </c>
      <c r="T63" s="72">
        <v>580</v>
      </c>
      <c r="U63" s="72">
        <v>0</v>
      </c>
      <c r="V63" s="72">
        <v>1</v>
      </c>
      <c r="W63" s="72">
        <v>21945.99</v>
      </c>
      <c r="X63" s="72">
        <v>4749.1875</v>
      </c>
      <c r="Y63" s="72">
        <v>2194.6</v>
      </c>
      <c r="Z63" s="72">
        <v>1917.13</v>
      </c>
      <c r="AA63" s="72">
        <v>57.46</v>
      </c>
      <c r="AB63" s="72">
        <v>580</v>
      </c>
      <c r="AC63" s="72">
        <v>4140</v>
      </c>
      <c r="AD63" s="71">
        <v>45888</v>
      </c>
      <c r="AE63" s="70" t="s">
        <v>69</v>
      </c>
      <c r="AF63" s="70" t="s">
        <v>2109</v>
      </c>
      <c r="AG63" s="70" t="s">
        <v>1236</v>
      </c>
      <c r="AH63" s="68"/>
      <c r="AI63" s="70" t="s">
        <v>86</v>
      </c>
      <c r="AJ63" s="70" t="s">
        <v>87</v>
      </c>
      <c r="AK63" s="70" t="s">
        <v>1237</v>
      </c>
      <c r="AL63" s="68"/>
      <c r="AM63" s="70" t="s">
        <v>1238</v>
      </c>
      <c r="AN63" s="70" t="s">
        <v>2109</v>
      </c>
      <c r="AO63" s="70" t="s">
        <v>1239</v>
      </c>
      <c r="AP63" s="70" t="s">
        <v>2110</v>
      </c>
      <c r="AQ63" s="70" t="s">
        <v>1240</v>
      </c>
      <c r="AR63" s="70" t="s">
        <v>2111</v>
      </c>
      <c r="AS63" s="68"/>
      <c r="AT63" s="68"/>
      <c r="AU63" s="68"/>
      <c r="AV63" s="68"/>
      <c r="AW63" s="68"/>
      <c r="AX63" s="68"/>
      <c r="AY63" s="72">
        <v>41754.730000000003</v>
      </c>
      <c r="AZ63" s="72">
        <v>0</v>
      </c>
      <c r="BA63" s="70" t="s">
        <v>67</v>
      </c>
      <c r="BB63" s="70" t="s">
        <v>1044</v>
      </c>
      <c r="BC63" s="70" t="s">
        <v>2884</v>
      </c>
      <c r="BD63" s="70" t="s">
        <v>503</v>
      </c>
      <c r="BE63" s="70" t="s">
        <v>74</v>
      </c>
      <c r="BF63" s="70" t="s">
        <v>503</v>
      </c>
      <c r="BG63" s="70" t="s">
        <v>1241</v>
      </c>
      <c r="BH63" s="70"/>
      <c r="BI63" s="68"/>
      <c r="BJ63" s="68"/>
      <c r="BK63" s="70">
        <v>1</v>
      </c>
      <c r="BL63" s="70">
        <v>1</v>
      </c>
      <c r="BM63" s="70" t="s">
        <v>2847</v>
      </c>
    </row>
    <row r="64" spans="1:65" ht="14.4" customHeight="1" x14ac:dyDescent="0.3">
      <c r="A64" s="1" t="str">
        <f t="shared" si="1"/>
        <v>001621</v>
      </c>
      <c r="B64" s="70" t="s">
        <v>61</v>
      </c>
      <c r="C64" s="70" t="s">
        <v>194</v>
      </c>
      <c r="D64" s="70" t="s">
        <v>594</v>
      </c>
      <c r="E64" s="70" t="s">
        <v>595</v>
      </c>
      <c r="F64" s="70" t="s">
        <v>590</v>
      </c>
      <c r="G64" s="70" t="s">
        <v>2763</v>
      </c>
      <c r="H64" s="70" t="s">
        <v>2117</v>
      </c>
      <c r="I64" s="70" t="s">
        <v>67</v>
      </c>
      <c r="J64" s="70" t="s">
        <v>1821</v>
      </c>
      <c r="K64" s="71">
        <v>45867</v>
      </c>
      <c r="L64" s="71">
        <v>46035</v>
      </c>
      <c r="M64" s="72">
        <v>7000</v>
      </c>
      <c r="N64" s="72">
        <v>7373.85</v>
      </c>
      <c r="O64" s="73">
        <v>0</v>
      </c>
      <c r="P64" s="73">
        <v>12</v>
      </c>
      <c r="Q64" s="70" t="s">
        <v>496</v>
      </c>
      <c r="R64" s="72">
        <v>919.56000000000006</v>
      </c>
      <c r="S64" s="72">
        <v>696</v>
      </c>
      <c r="T64" s="72">
        <v>0</v>
      </c>
      <c r="U64" s="72">
        <v>5</v>
      </c>
      <c r="V64" s="72">
        <v>0</v>
      </c>
      <c r="W64" s="72">
        <v>4301.41</v>
      </c>
      <c r="X64" s="72">
        <v>0</v>
      </c>
      <c r="Y64" s="72">
        <v>0</v>
      </c>
      <c r="Z64" s="72">
        <v>0</v>
      </c>
      <c r="AA64" s="74">
        <v>0</v>
      </c>
      <c r="AB64" s="72">
        <v>0</v>
      </c>
      <c r="AC64" s="72">
        <v>919.56000000000006</v>
      </c>
      <c r="AD64" s="71">
        <v>45937</v>
      </c>
      <c r="AE64" s="70" t="s">
        <v>69</v>
      </c>
      <c r="AF64" s="70" t="s">
        <v>2118</v>
      </c>
      <c r="AG64" s="70" t="s">
        <v>1822</v>
      </c>
      <c r="AH64" s="68"/>
      <c r="AI64" s="70" t="s">
        <v>674</v>
      </c>
      <c r="AJ64" s="70" t="s">
        <v>2119</v>
      </c>
      <c r="AK64" s="70" t="s">
        <v>1823</v>
      </c>
      <c r="AL64" s="68"/>
      <c r="AM64" s="70" t="s">
        <v>1824</v>
      </c>
      <c r="AN64" s="70" t="s">
        <v>2120</v>
      </c>
      <c r="AO64" s="70" t="s">
        <v>1825</v>
      </c>
      <c r="AP64" s="70" t="s">
        <v>2121</v>
      </c>
      <c r="AQ64" s="70" t="s">
        <v>1826</v>
      </c>
      <c r="AR64" s="70" t="s">
        <v>2122</v>
      </c>
      <c r="AS64" s="68"/>
      <c r="AT64" s="68"/>
      <c r="AU64" s="68"/>
      <c r="AV64" s="68"/>
      <c r="AW64" s="68"/>
      <c r="AX64" s="68"/>
      <c r="AY64" s="72">
        <v>6030.55</v>
      </c>
      <c r="AZ64" s="72">
        <v>0.37683</v>
      </c>
      <c r="BA64" s="70" t="s">
        <v>67</v>
      </c>
      <c r="BB64" s="70" t="s">
        <v>1044</v>
      </c>
      <c r="BC64" s="70" t="s">
        <v>2973</v>
      </c>
      <c r="BD64" s="70" t="s">
        <v>1827</v>
      </c>
      <c r="BE64" s="70" t="s">
        <v>74</v>
      </c>
      <c r="BF64" s="70" t="s">
        <v>194</v>
      </c>
      <c r="BG64" s="70" t="s">
        <v>1828</v>
      </c>
      <c r="BH64" s="70"/>
      <c r="BI64" s="68"/>
      <c r="BJ64" s="68"/>
      <c r="BK64" s="70">
        <v>0</v>
      </c>
      <c r="BL64" s="70">
        <v>0</v>
      </c>
      <c r="BM64" s="70" t="s">
        <v>2847</v>
      </c>
    </row>
    <row r="65" spans="1:65" ht="14.4" customHeight="1" x14ac:dyDescent="0.3">
      <c r="A65" s="1" t="str">
        <f t="shared" si="1"/>
        <v>001571</v>
      </c>
      <c r="B65" s="70" t="s">
        <v>61</v>
      </c>
      <c r="C65" s="70" t="s">
        <v>194</v>
      </c>
      <c r="D65" s="70" t="s">
        <v>594</v>
      </c>
      <c r="E65" s="70" t="s">
        <v>595</v>
      </c>
      <c r="F65" s="70" t="s">
        <v>590</v>
      </c>
      <c r="G65" s="70" t="s">
        <v>2763</v>
      </c>
      <c r="H65" s="70" t="s">
        <v>2123</v>
      </c>
      <c r="I65" s="70" t="s">
        <v>67</v>
      </c>
      <c r="J65" s="70" t="s">
        <v>1829</v>
      </c>
      <c r="K65" s="71">
        <v>45867</v>
      </c>
      <c r="L65" s="71">
        <v>46054</v>
      </c>
      <c r="M65" s="72">
        <v>5000</v>
      </c>
      <c r="N65" s="72">
        <v>5267.04</v>
      </c>
      <c r="O65" s="73">
        <v>43</v>
      </c>
      <c r="P65" s="73">
        <v>6</v>
      </c>
      <c r="Q65" s="70" t="s">
        <v>68</v>
      </c>
      <c r="R65" s="72">
        <v>1328.72</v>
      </c>
      <c r="S65" s="72">
        <v>348</v>
      </c>
      <c r="T65" s="72">
        <v>580</v>
      </c>
      <c r="U65" s="72">
        <v>0</v>
      </c>
      <c r="V65" s="72">
        <v>1.5</v>
      </c>
      <c r="W65" s="72">
        <v>4969.2</v>
      </c>
      <c r="X65" s="72">
        <v>2488.7213205333333</v>
      </c>
      <c r="Y65" s="72">
        <v>1457.84</v>
      </c>
      <c r="Z65" s="72">
        <v>392.88</v>
      </c>
      <c r="AA65" s="72">
        <v>58</v>
      </c>
      <c r="AB65" s="72">
        <v>580</v>
      </c>
      <c r="AC65" s="72">
        <v>1328.72</v>
      </c>
      <c r="AD65" s="71">
        <v>45911</v>
      </c>
      <c r="AE65" s="70" t="s">
        <v>69</v>
      </c>
      <c r="AF65" s="70" t="s">
        <v>2124</v>
      </c>
      <c r="AG65" s="70" t="s">
        <v>1830</v>
      </c>
      <c r="AH65" s="68"/>
      <c r="AI65" s="70" t="s">
        <v>1831</v>
      </c>
      <c r="AJ65" s="70" t="s">
        <v>2125</v>
      </c>
      <c r="AK65" s="70" t="s">
        <v>1832</v>
      </c>
      <c r="AL65" s="68"/>
      <c r="AM65" s="70" t="s">
        <v>1833</v>
      </c>
      <c r="AN65" s="70" t="s">
        <v>2126</v>
      </c>
      <c r="AO65" s="70" t="s">
        <v>1834</v>
      </c>
      <c r="AP65" s="70" t="s">
        <v>2127</v>
      </c>
      <c r="AQ65" s="70" t="s">
        <v>1835</v>
      </c>
      <c r="AR65" s="70" t="s">
        <v>2128</v>
      </c>
      <c r="AS65" s="68"/>
      <c r="AT65" s="68"/>
      <c r="AU65" s="68"/>
      <c r="AV65" s="68"/>
      <c r="AW65" s="68"/>
      <c r="AX65" s="68"/>
      <c r="AY65" s="72">
        <v>7571.6</v>
      </c>
      <c r="AZ65" s="72">
        <v>0</v>
      </c>
      <c r="BA65" s="70" t="s">
        <v>67</v>
      </c>
      <c r="BB65" s="70" t="s">
        <v>1044</v>
      </c>
      <c r="BC65" s="70" t="s">
        <v>3018</v>
      </c>
      <c r="BD65" s="70" t="s">
        <v>1718</v>
      </c>
      <c r="BE65" s="70" t="s">
        <v>74</v>
      </c>
      <c r="BF65" s="70" t="s">
        <v>194</v>
      </c>
      <c r="BG65" s="70" t="s">
        <v>1836</v>
      </c>
      <c r="BH65" s="70"/>
      <c r="BI65" s="68"/>
      <c r="BJ65" s="68"/>
      <c r="BK65" s="70">
        <v>2</v>
      </c>
      <c r="BL65" s="70">
        <v>2</v>
      </c>
      <c r="BM65" s="70" t="s">
        <v>2847</v>
      </c>
    </row>
    <row r="66" spans="1:65" ht="14.4" customHeight="1" x14ac:dyDescent="0.3">
      <c r="A66" s="1" t="str">
        <f t="shared" si="1"/>
        <v>001575</v>
      </c>
      <c r="B66" s="70" t="s">
        <v>61</v>
      </c>
      <c r="C66" s="70" t="s">
        <v>194</v>
      </c>
      <c r="D66" s="70" t="s">
        <v>588</v>
      </c>
      <c r="E66" s="70" t="s">
        <v>589</v>
      </c>
      <c r="F66" s="70" t="s">
        <v>590</v>
      </c>
      <c r="G66" s="70" t="s">
        <v>2763</v>
      </c>
      <c r="H66" s="70" t="s">
        <v>2129</v>
      </c>
      <c r="I66" s="70" t="s">
        <v>67</v>
      </c>
      <c r="J66" s="70" t="s">
        <v>1811</v>
      </c>
      <c r="K66" s="71">
        <v>45866</v>
      </c>
      <c r="L66" s="71">
        <v>46054</v>
      </c>
      <c r="M66" s="72">
        <v>10000</v>
      </c>
      <c r="N66" s="72">
        <v>10534.08</v>
      </c>
      <c r="O66" s="73">
        <v>0</v>
      </c>
      <c r="P66" s="73">
        <v>6</v>
      </c>
      <c r="Q66" s="70" t="s">
        <v>68</v>
      </c>
      <c r="R66" s="72">
        <v>2603.64</v>
      </c>
      <c r="S66" s="72">
        <v>348</v>
      </c>
      <c r="T66" s="72">
        <v>0</v>
      </c>
      <c r="U66" s="72">
        <v>0</v>
      </c>
      <c r="V66" s="72">
        <v>0</v>
      </c>
      <c r="W66" s="72">
        <v>7022.72</v>
      </c>
      <c r="X66" s="72">
        <v>0</v>
      </c>
      <c r="Y66" s="72">
        <v>0</v>
      </c>
      <c r="Z66" s="72">
        <v>0</v>
      </c>
      <c r="AA66" s="74">
        <v>0</v>
      </c>
      <c r="AB66" s="72">
        <v>0</v>
      </c>
      <c r="AC66" s="72">
        <v>2610</v>
      </c>
      <c r="AD66" s="71">
        <v>45931</v>
      </c>
      <c r="AE66" s="70" t="s">
        <v>69</v>
      </c>
      <c r="AF66" s="70" t="s">
        <v>2130</v>
      </c>
      <c r="AG66" s="70" t="s">
        <v>1812</v>
      </c>
      <c r="AH66" s="68"/>
      <c r="AI66" s="70" t="s">
        <v>1813</v>
      </c>
      <c r="AJ66" s="70" t="s">
        <v>2131</v>
      </c>
      <c r="AK66" s="68"/>
      <c r="AL66" s="68"/>
      <c r="AM66" s="70" t="s">
        <v>1814</v>
      </c>
      <c r="AN66" s="70" t="s">
        <v>2132</v>
      </c>
      <c r="AO66" s="70" t="s">
        <v>1815</v>
      </c>
      <c r="AP66" s="70" t="s">
        <v>2133</v>
      </c>
      <c r="AQ66" s="70" t="s">
        <v>1816</v>
      </c>
      <c r="AR66" s="70" t="s">
        <v>2134</v>
      </c>
      <c r="AS66" s="68"/>
      <c r="AT66" s="68"/>
      <c r="AU66" s="68"/>
      <c r="AV66" s="68"/>
      <c r="AW66" s="68"/>
      <c r="AX66" s="68"/>
      <c r="AY66" s="72">
        <v>10176.219999999999</v>
      </c>
      <c r="AZ66" s="72">
        <v>6.3540255999999999</v>
      </c>
      <c r="BA66" s="70" t="s">
        <v>67</v>
      </c>
      <c r="BB66" s="70" t="s">
        <v>1044</v>
      </c>
      <c r="BC66" s="70" t="s">
        <v>2969</v>
      </c>
      <c r="BD66" s="70" t="s">
        <v>503</v>
      </c>
      <c r="BE66" s="70" t="s">
        <v>74</v>
      </c>
      <c r="BF66" s="70" t="s">
        <v>503</v>
      </c>
      <c r="BG66" s="70" t="s">
        <v>1817</v>
      </c>
      <c r="BH66" s="70"/>
      <c r="BI66" s="68"/>
      <c r="BJ66" s="68"/>
      <c r="BK66" s="70">
        <v>0</v>
      </c>
      <c r="BL66" s="70">
        <v>0</v>
      </c>
      <c r="BM66" s="70" t="s">
        <v>2847</v>
      </c>
    </row>
    <row r="67" spans="1:65" ht="14.4" customHeight="1" x14ac:dyDescent="0.3">
      <c r="A67" s="1" t="str">
        <f t="shared" si="1"/>
        <v>001595</v>
      </c>
      <c r="B67" s="70" t="s">
        <v>61</v>
      </c>
      <c r="C67" s="70" t="s">
        <v>194</v>
      </c>
      <c r="D67" s="70" t="s">
        <v>588</v>
      </c>
      <c r="E67" s="70" t="s">
        <v>589</v>
      </c>
      <c r="F67" s="70" t="s">
        <v>590</v>
      </c>
      <c r="G67" s="70" t="s">
        <v>2763</v>
      </c>
      <c r="H67" s="70" t="s">
        <v>2135</v>
      </c>
      <c r="I67" s="70" t="s">
        <v>67</v>
      </c>
      <c r="J67" s="70" t="s">
        <v>1837</v>
      </c>
      <c r="K67" s="71">
        <v>45866</v>
      </c>
      <c r="L67" s="71">
        <v>46235</v>
      </c>
      <c r="M67" s="72">
        <v>10000</v>
      </c>
      <c r="N67" s="72">
        <v>10534.08</v>
      </c>
      <c r="O67" s="73">
        <v>0</v>
      </c>
      <c r="P67" s="73">
        <v>12</v>
      </c>
      <c r="Q67" s="70" t="s">
        <v>68</v>
      </c>
      <c r="R67" s="72">
        <v>1711.1000000000001</v>
      </c>
      <c r="S67" s="72">
        <v>696</v>
      </c>
      <c r="T67" s="72">
        <v>0</v>
      </c>
      <c r="U67" s="72">
        <v>0</v>
      </c>
      <c r="V67" s="72">
        <v>0</v>
      </c>
      <c r="W67" s="72">
        <v>8778.4</v>
      </c>
      <c r="X67" s="72">
        <v>1.858666666667E-3</v>
      </c>
      <c r="Y67" s="72">
        <v>0</v>
      </c>
      <c r="Z67" s="72">
        <v>0</v>
      </c>
      <c r="AA67" s="72">
        <v>0</v>
      </c>
      <c r="AB67" s="72">
        <v>0</v>
      </c>
      <c r="AC67" s="72">
        <v>2291.09</v>
      </c>
      <c r="AD67" s="71">
        <v>45933</v>
      </c>
      <c r="AE67" s="70" t="s">
        <v>69</v>
      </c>
      <c r="AF67" s="70" t="s">
        <v>2136</v>
      </c>
      <c r="AG67" s="70" t="s">
        <v>1838</v>
      </c>
      <c r="AH67" s="68"/>
      <c r="AI67" s="70" t="s">
        <v>464</v>
      </c>
      <c r="AJ67" s="70" t="s">
        <v>465</v>
      </c>
      <c r="AK67" s="70" t="s">
        <v>1839</v>
      </c>
      <c r="AL67" s="68"/>
      <c r="AM67" s="70" t="s">
        <v>1840</v>
      </c>
      <c r="AN67" s="70" t="s">
        <v>2137</v>
      </c>
      <c r="AO67" s="70" t="s">
        <v>1841</v>
      </c>
      <c r="AP67" s="70" t="s">
        <v>2138</v>
      </c>
      <c r="AQ67" s="70" t="s">
        <v>1842</v>
      </c>
      <c r="AR67" s="70" t="s">
        <v>2139</v>
      </c>
      <c r="AS67" s="68"/>
      <c r="AT67" s="68"/>
      <c r="AU67" s="68"/>
      <c r="AV67" s="68"/>
      <c r="AW67" s="68"/>
      <c r="AX67" s="68"/>
      <c r="AY67" s="72">
        <v>16530.96</v>
      </c>
      <c r="AZ67" s="72">
        <v>0</v>
      </c>
      <c r="BA67" s="70" t="s">
        <v>67</v>
      </c>
      <c r="BB67" s="70" t="s">
        <v>1044</v>
      </c>
      <c r="BC67" s="70" t="s">
        <v>2946</v>
      </c>
      <c r="BD67" s="70" t="s">
        <v>1400</v>
      </c>
      <c r="BE67" s="70" t="s">
        <v>74</v>
      </c>
      <c r="BF67" s="70" t="s">
        <v>503</v>
      </c>
      <c r="BG67" s="70" t="s">
        <v>1843</v>
      </c>
      <c r="BH67" s="70"/>
      <c r="BI67" s="68"/>
      <c r="BJ67" s="68"/>
      <c r="BK67" s="70">
        <v>1</v>
      </c>
      <c r="BL67" s="70">
        <v>1</v>
      </c>
      <c r="BM67" s="70" t="s">
        <v>2847</v>
      </c>
    </row>
    <row r="68" spans="1:65" ht="14.4" customHeight="1" x14ac:dyDescent="0.3">
      <c r="A68" s="1" t="str">
        <f t="shared" si="1"/>
        <v>001505</v>
      </c>
      <c r="B68" s="70" t="s">
        <v>61</v>
      </c>
      <c r="C68" s="70" t="s">
        <v>194</v>
      </c>
      <c r="D68" s="70" t="s">
        <v>588</v>
      </c>
      <c r="E68" s="70" t="s">
        <v>589</v>
      </c>
      <c r="F68" s="70" t="s">
        <v>590</v>
      </c>
      <c r="G68" s="70" t="s">
        <v>2763</v>
      </c>
      <c r="H68" s="70" t="s">
        <v>2143</v>
      </c>
      <c r="I68" s="70" t="s">
        <v>67</v>
      </c>
      <c r="J68" s="70" t="s">
        <v>1764</v>
      </c>
      <c r="K68" s="71">
        <v>45862</v>
      </c>
      <c r="L68" s="71">
        <v>46046</v>
      </c>
      <c r="M68" s="72">
        <v>10000</v>
      </c>
      <c r="N68" s="72">
        <v>10534.08</v>
      </c>
      <c r="O68" s="73">
        <v>0</v>
      </c>
      <c r="P68" s="73">
        <v>6</v>
      </c>
      <c r="Q68" s="70" t="s">
        <v>68</v>
      </c>
      <c r="R68" s="72">
        <v>2586.83</v>
      </c>
      <c r="S68" s="72">
        <v>348</v>
      </c>
      <c r="T68" s="72">
        <v>0</v>
      </c>
      <c r="U68" s="72">
        <v>0</v>
      </c>
      <c r="V68" s="72">
        <v>0</v>
      </c>
      <c r="W68" s="72">
        <v>7022.72</v>
      </c>
      <c r="X68" s="72">
        <v>0</v>
      </c>
      <c r="Y68" s="72">
        <v>0</v>
      </c>
      <c r="Z68" s="72">
        <v>0</v>
      </c>
      <c r="AA68" s="74">
        <v>0</v>
      </c>
      <c r="AB68" s="72">
        <v>0</v>
      </c>
      <c r="AC68" s="72">
        <v>2587</v>
      </c>
      <c r="AD68" s="71">
        <v>45924</v>
      </c>
      <c r="AE68" s="70" t="s">
        <v>69</v>
      </c>
      <c r="AF68" s="70" t="s">
        <v>2144</v>
      </c>
      <c r="AG68" s="70" t="s">
        <v>1765</v>
      </c>
      <c r="AH68" s="68"/>
      <c r="AI68" s="70" t="s">
        <v>1405</v>
      </c>
      <c r="AJ68" s="70" t="s">
        <v>1851</v>
      </c>
      <c r="AK68" s="68"/>
      <c r="AL68" s="68"/>
      <c r="AM68" s="70" t="s">
        <v>1766</v>
      </c>
      <c r="AN68" s="70" t="s">
        <v>2145</v>
      </c>
      <c r="AO68" s="70" t="s">
        <v>1767</v>
      </c>
      <c r="AP68" s="70" t="s">
        <v>2146</v>
      </c>
      <c r="AQ68" s="70" t="s">
        <v>1768</v>
      </c>
      <c r="AR68" s="70" t="s">
        <v>2147</v>
      </c>
      <c r="AS68" s="68"/>
      <c r="AT68" s="68"/>
      <c r="AU68" s="68"/>
      <c r="AV68" s="68"/>
      <c r="AW68" s="68"/>
      <c r="AX68" s="68"/>
      <c r="AY68" s="72">
        <v>10112.01</v>
      </c>
      <c r="AZ68" s="72">
        <v>3.3306922666666701</v>
      </c>
      <c r="BA68" s="70" t="s">
        <v>67</v>
      </c>
      <c r="BB68" s="70" t="s">
        <v>1044</v>
      </c>
      <c r="BC68" s="70" t="s">
        <v>2898</v>
      </c>
      <c r="BD68" s="70" t="s">
        <v>503</v>
      </c>
      <c r="BE68" s="70" t="s">
        <v>74</v>
      </c>
      <c r="BF68" s="70" t="s">
        <v>503</v>
      </c>
      <c r="BG68" s="70" t="s">
        <v>1769</v>
      </c>
      <c r="BH68" s="70"/>
      <c r="BI68" s="68"/>
      <c r="BJ68" s="68"/>
      <c r="BK68" s="70">
        <v>0</v>
      </c>
      <c r="BL68" s="70">
        <v>0</v>
      </c>
      <c r="BM68" s="70" t="s">
        <v>2847</v>
      </c>
    </row>
    <row r="69" spans="1:65" ht="14.4" customHeight="1" x14ac:dyDescent="0.3">
      <c r="A69" s="1" t="str">
        <f t="shared" si="1"/>
        <v>001494</v>
      </c>
      <c r="B69" s="70" t="s">
        <v>61</v>
      </c>
      <c r="C69" s="70" t="s">
        <v>194</v>
      </c>
      <c r="D69" s="70" t="s">
        <v>594</v>
      </c>
      <c r="E69" s="70" t="s">
        <v>595</v>
      </c>
      <c r="F69" s="70" t="s">
        <v>590</v>
      </c>
      <c r="G69" s="70" t="s">
        <v>2763</v>
      </c>
      <c r="H69" s="70" t="s">
        <v>2148</v>
      </c>
      <c r="I69" s="70" t="s">
        <v>67</v>
      </c>
      <c r="J69" s="70" t="s">
        <v>1776</v>
      </c>
      <c r="K69" s="71">
        <v>45862</v>
      </c>
      <c r="L69" s="71">
        <v>46198</v>
      </c>
      <c r="M69" s="72">
        <v>10000</v>
      </c>
      <c r="N69" s="72">
        <v>10534.08</v>
      </c>
      <c r="O69" s="73">
        <v>0</v>
      </c>
      <c r="P69" s="73">
        <v>24</v>
      </c>
      <c r="Q69" s="70" t="s">
        <v>496</v>
      </c>
      <c r="R69" s="72">
        <v>849.88</v>
      </c>
      <c r="S69" s="72">
        <v>1392</v>
      </c>
      <c r="T69" s="72">
        <v>0</v>
      </c>
      <c r="U69" s="72">
        <v>5</v>
      </c>
      <c r="V69" s="72">
        <v>0</v>
      </c>
      <c r="W69" s="72">
        <v>8339.48</v>
      </c>
      <c r="X69" s="72">
        <v>0</v>
      </c>
      <c r="Y69" s="72">
        <v>0</v>
      </c>
      <c r="Z69" s="72">
        <v>0</v>
      </c>
      <c r="AA69" s="74">
        <v>0</v>
      </c>
      <c r="AB69" s="72">
        <v>0</v>
      </c>
      <c r="AC69" s="72">
        <v>850</v>
      </c>
      <c r="AD69" s="71">
        <v>45932</v>
      </c>
      <c r="AE69" s="70" t="s">
        <v>69</v>
      </c>
      <c r="AF69" s="70" t="s">
        <v>2149</v>
      </c>
      <c r="AG69" s="70" t="s">
        <v>1777</v>
      </c>
      <c r="AH69" s="68"/>
      <c r="AI69" s="70" t="s">
        <v>684</v>
      </c>
      <c r="AJ69" s="70" t="s">
        <v>1471</v>
      </c>
      <c r="AK69" s="68"/>
      <c r="AL69" s="68"/>
      <c r="AM69" s="70" t="s">
        <v>1778</v>
      </c>
      <c r="AN69" s="70" t="s">
        <v>2150</v>
      </c>
      <c r="AO69" s="70" t="s">
        <v>1779</v>
      </c>
      <c r="AP69" s="70" t="s">
        <v>2151</v>
      </c>
      <c r="AQ69" s="70" t="s">
        <v>1780</v>
      </c>
      <c r="AR69" s="70" t="s">
        <v>2152</v>
      </c>
      <c r="AS69" s="68"/>
      <c r="AT69" s="68"/>
      <c r="AU69" s="68"/>
      <c r="AV69" s="68"/>
      <c r="AW69" s="68"/>
      <c r="AX69" s="68"/>
      <c r="AY69" s="72">
        <v>15045.17</v>
      </c>
      <c r="AZ69" s="72">
        <v>0.59046399999999999</v>
      </c>
      <c r="BA69" s="70" t="s">
        <v>67</v>
      </c>
      <c r="BB69" s="70" t="s">
        <v>1044</v>
      </c>
      <c r="BC69" s="70" t="s">
        <v>2958</v>
      </c>
      <c r="BD69" s="70" t="s">
        <v>1781</v>
      </c>
      <c r="BE69" s="70" t="s">
        <v>74</v>
      </c>
      <c r="BF69" s="70" t="s">
        <v>194</v>
      </c>
      <c r="BG69" s="70" t="s">
        <v>1782</v>
      </c>
      <c r="BH69" s="70"/>
      <c r="BI69" s="68"/>
      <c r="BJ69" s="68"/>
      <c r="BK69" s="70">
        <v>0</v>
      </c>
      <c r="BL69" s="70">
        <v>0</v>
      </c>
      <c r="BM69" s="70" t="s">
        <v>2847</v>
      </c>
    </row>
    <row r="70" spans="1:65" ht="14.4" customHeight="1" x14ac:dyDescent="0.3">
      <c r="A70" s="1" t="str">
        <f t="shared" si="1"/>
        <v>001333</v>
      </c>
      <c r="B70" s="70" t="s">
        <v>61</v>
      </c>
      <c r="C70" s="70" t="s">
        <v>194</v>
      </c>
      <c r="D70" s="70" t="s">
        <v>594</v>
      </c>
      <c r="E70" s="70" t="s">
        <v>595</v>
      </c>
      <c r="F70" s="70" t="s">
        <v>590</v>
      </c>
      <c r="G70" s="70" t="s">
        <v>2763</v>
      </c>
      <c r="H70" s="70" t="s">
        <v>2153</v>
      </c>
      <c r="I70" s="70" t="s">
        <v>67</v>
      </c>
      <c r="J70" s="70" t="s">
        <v>627</v>
      </c>
      <c r="K70" s="71">
        <v>45799</v>
      </c>
      <c r="L70" s="71">
        <v>45967</v>
      </c>
      <c r="M70" s="72">
        <v>5000</v>
      </c>
      <c r="N70" s="72">
        <v>5267.04</v>
      </c>
      <c r="O70" s="73">
        <v>33</v>
      </c>
      <c r="P70" s="73">
        <v>12</v>
      </c>
      <c r="Q70" s="70" t="s">
        <v>496</v>
      </c>
      <c r="R70" s="72">
        <v>673.4</v>
      </c>
      <c r="S70" s="72">
        <v>696</v>
      </c>
      <c r="T70" s="72">
        <v>1740</v>
      </c>
      <c r="U70" s="72">
        <v>10</v>
      </c>
      <c r="V70" s="72">
        <v>3</v>
      </c>
      <c r="W70" s="72">
        <v>2194.6</v>
      </c>
      <c r="X70" s="72">
        <v>3750.01</v>
      </c>
      <c r="Y70" s="72">
        <v>1316.76</v>
      </c>
      <c r="Z70" s="72">
        <v>529.44000000000005</v>
      </c>
      <c r="AA70" s="72">
        <v>163.81</v>
      </c>
      <c r="AB70" s="72">
        <v>1740</v>
      </c>
      <c r="AC70" s="72">
        <v>675</v>
      </c>
      <c r="AD70" s="71">
        <v>45897</v>
      </c>
      <c r="AE70" s="70" t="s">
        <v>69</v>
      </c>
      <c r="AF70" s="70" t="s">
        <v>2154</v>
      </c>
      <c r="AG70" s="70" t="s">
        <v>628</v>
      </c>
      <c r="AH70" s="68"/>
      <c r="AI70" s="70" t="s">
        <v>86</v>
      </c>
      <c r="AJ70" s="70" t="s">
        <v>87</v>
      </c>
      <c r="AK70" s="68"/>
      <c r="AL70" s="68"/>
      <c r="AM70" s="70" t="s">
        <v>840</v>
      </c>
      <c r="AN70" s="70" t="s">
        <v>2155</v>
      </c>
      <c r="AO70" s="70" t="s">
        <v>838</v>
      </c>
      <c r="AP70" s="70" t="s">
        <v>2156</v>
      </c>
      <c r="AQ70" s="70" t="s">
        <v>839</v>
      </c>
      <c r="AR70" s="70" t="s">
        <v>2157</v>
      </c>
      <c r="AS70" s="68"/>
      <c r="AT70" s="68"/>
      <c r="AU70" s="68"/>
      <c r="AV70" s="68"/>
      <c r="AW70" s="68"/>
      <c r="AX70" s="68"/>
      <c r="AY70" s="72">
        <v>4980.8100000000004</v>
      </c>
      <c r="AZ70" s="72">
        <v>0</v>
      </c>
      <c r="BA70" s="70" t="s">
        <v>67</v>
      </c>
      <c r="BB70" s="70" t="s">
        <v>1044</v>
      </c>
      <c r="BC70" s="70" t="s">
        <v>2885</v>
      </c>
      <c r="BD70" s="70" t="s">
        <v>251</v>
      </c>
      <c r="BE70" s="70" t="s">
        <v>74</v>
      </c>
      <c r="BF70" s="70" t="s">
        <v>194</v>
      </c>
      <c r="BG70" s="68"/>
      <c r="BI70" s="68"/>
      <c r="BJ70" s="68"/>
      <c r="BK70" s="70">
        <v>3</v>
      </c>
      <c r="BL70" s="70">
        <v>3</v>
      </c>
      <c r="BM70" s="70" t="s">
        <v>2847</v>
      </c>
    </row>
    <row r="71" spans="1:65" ht="14.4" customHeight="1" x14ac:dyDescent="0.3">
      <c r="A71" s="1" t="str">
        <f t="shared" si="1"/>
        <v>001546</v>
      </c>
      <c r="B71" s="70" t="s">
        <v>61</v>
      </c>
      <c r="C71" s="70" t="s">
        <v>194</v>
      </c>
      <c r="D71" s="70" t="s">
        <v>588</v>
      </c>
      <c r="E71" s="70" t="s">
        <v>589</v>
      </c>
      <c r="F71" s="70" t="s">
        <v>590</v>
      </c>
      <c r="G71" s="70" t="s">
        <v>2763</v>
      </c>
      <c r="H71" s="70" t="s">
        <v>2168</v>
      </c>
      <c r="I71" s="70" t="s">
        <v>67</v>
      </c>
      <c r="J71" s="70" t="s">
        <v>1659</v>
      </c>
      <c r="K71" s="71">
        <v>45854</v>
      </c>
      <c r="L71" s="71">
        <v>46038</v>
      </c>
      <c r="M71" s="72">
        <v>5000.01</v>
      </c>
      <c r="N71" s="72">
        <v>5267.04</v>
      </c>
      <c r="O71" s="73">
        <v>0</v>
      </c>
      <c r="P71" s="73">
        <v>6</v>
      </c>
      <c r="Q71" s="70" t="s">
        <v>68</v>
      </c>
      <c r="R71" s="72">
        <v>1322.42</v>
      </c>
      <c r="S71" s="72">
        <v>348</v>
      </c>
      <c r="T71" s="72">
        <v>0</v>
      </c>
      <c r="U71" s="72">
        <v>0</v>
      </c>
      <c r="V71" s="72">
        <v>0</v>
      </c>
      <c r="W71" s="72">
        <v>3511.36</v>
      </c>
      <c r="X71" s="72">
        <v>0</v>
      </c>
      <c r="Y71" s="72">
        <v>0</v>
      </c>
      <c r="Z71" s="72">
        <v>0</v>
      </c>
      <c r="AA71" s="74">
        <v>0</v>
      </c>
      <c r="AB71" s="72">
        <v>0</v>
      </c>
      <c r="AC71" s="72">
        <v>1323</v>
      </c>
      <c r="AD71" s="71">
        <v>45917</v>
      </c>
      <c r="AE71" s="70" t="s">
        <v>69</v>
      </c>
      <c r="AF71" s="70" t="s">
        <v>2169</v>
      </c>
      <c r="AG71" s="70" t="s">
        <v>1660</v>
      </c>
      <c r="AH71" s="68"/>
      <c r="AI71" s="70" t="s">
        <v>1661</v>
      </c>
      <c r="AJ71" s="70" t="s">
        <v>2170</v>
      </c>
      <c r="AK71" s="68"/>
      <c r="AL71" s="68"/>
      <c r="AM71" s="70" t="s">
        <v>1662</v>
      </c>
      <c r="AN71" s="70" t="s">
        <v>2171</v>
      </c>
      <c r="AO71" s="70" t="s">
        <v>1663</v>
      </c>
      <c r="AP71" s="70" t="s">
        <v>2172</v>
      </c>
      <c r="AQ71" s="70" t="s">
        <v>1664</v>
      </c>
      <c r="AR71" s="70" t="s">
        <v>2173</v>
      </c>
      <c r="AS71" s="68"/>
      <c r="AT71" s="68"/>
      <c r="AU71" s="68"/>
      <c r="AV71" s="68"/>
      <c r="AW71" s="68"/>
      <c r="AX71" s="68"/>
      <c r="AY71" s="72">
        <v>5056.5</v>
      </c>
      <c r="AZ71" s="72">
        <v>1.17</v>
      </c>
      <c r="BA71" s="70" t="s">
        <v>67</v>
      </c>
      <c r="BB71" s="70" t="s">
        <v>1044</v>
      </c>
      <c r="BC71" s="70" t="s">
        <v>2964</v>
      </c>
      <c r="BD71" s="70" t="s">
        <v>1665</v>
      </c>
      <c r="BE71" s="70" t="s">
        <v>74</v>
      </c>
      <c r="BF71" s="70" t="s">
        <v>503</v>
      </c>
      <c r="BG71" s="70" t="s">
        <v>1666</v>
      </c>
      <c r="BH71" s="70"/>
      <c r="BI71" s="68"/>
      <c r="BJ71" s="68"/>
      <c r="BK71" s="70">
        <v>0</v>
      </c>
      <c r="BL71" s="70">
        <v>0</v>
      </c>
      <c r="BM71" s="70" t="s">
        <v>2847</v>
      </c>
    </row>
    <row r="72" spans="1:65" ht="14.4" customHeight="1" x14ac:dyDescent="0.3">
      <c r="A72" s="1" t="str">
        <f t="shared" si="1"/>
        <v>001533</v>
      </c>
      <c r="B72" s="70" t="s">
        <v>61</v>
      </c>
      <c r="C72" s="70" t="s">
        <v>194</v>
      </c>
      <c r="D72" s="70" t="s">
        <v>588</v>
      </c>
      <c r="E72" s="70" t="s">
        <v>589</v>
      </c>
      <c r="F72" s="70" t="s">
        <v>590</v>
      </c>
      <c r="G72" s="70" t="s">
        <v>2763</v>
      </c>
      <c r="H72" s="70" t="s">
        <v>2174</v>
      </c>
      <c r="I72" s="70" t="s">
        <v>67</v>
      </c>
      <c r="J72" s="70" t="s">
        <v>1667</v>
      </c>
      <c r="K72" s="71">
        <v>45854</v>
      </c>
      <c r="L72" s="71">
        <v>46219</v>
      </c>
      <c r="M72" s="72">
        <v>12000</v>
      </c>
      <c r="N72" s="72">
        <v>12640.89</v>
      </c>
      <c r="O72" s="73">
        <v>0</v>
      </c>
      <c r="P72" s="73">
        <v>12</v>
      </c>
      <c r="Q72" s="70" t="s">
        <v>68</v>
      </c>
      <c r="R72" s="72">
        <v>2031.63</v>
      </c>
      <c r="S72" s="72">
        <v>696</v>
      </c>
      <c r="T72" s="72">
        <v>0</v>
      </c>
      <c r="U72" s="72">
        <v>0</v>
      </c>
      <c r="V72" s="72">
        <v>0</v>
      </c>
      <c r="W72" s="72">
        <v>10534.07</v>
      </c>
      <c r="X72" s="72">
        <v>0</v>
      </c>
      <c r="Y72" s="74">
        <v>0</v>
      </c>
      <c r="Z72" s="72">
        <v>0</v>
      </c>
      <c r="AA72" s="74">
        <v>0</v>
      </c>
      <c r="AB72" s="72">
        <v>0</v>
      </c>
      <c r="AC72" s="72">
        <v>2612</v>
      </c>
      <c r="AD72" s="71">
        <v>45927</v>
      </c>
      <c r="AE72" s="70" t="s">
        <v>69</v>
      </c>
      <c r="AF72" s="70" t="s">
        <v>2175</v>
      </c>
      <c r="AG72" s="70" t="s">
        <v>1668</v>
      </c>
      <c r="AH72" s="68"/>
      <c r="AI72" s="70" t="s">
        <v>428</v>
      </c>
      <c r="AJ72" s="70" t="s">
        <v>2104</v>
      </c>
      <c r="AK72" s="70" t="s">
        <v>1669</v>
      </c>
      <c r="AL72" s="68"/>
      <c r="AM72" s="70" t="s">
        <v>1670</v>
      </c>
      <c r="AN72" s="70" t="s">
        <v>2176</v>
      </c>
      <c r="AO72" s="70" t="s">
        <v>1671</v>
      </c>
      <c r="AP72" s="70" t="s">
        <v>2177</v>
      </c>
      <c r="AQ72" s="70" t="s">
        <v>1672</v>
      </c>
      <c r="AR72" s="70" t="s">
        <v>2178</v>
      </c>
      <c r="AS72" s="68"/>
      <c r="AT72" s="68"/>
      <c r="AU72" s="68"/>
      <c r="AV72" s="68"/>
      <c r="AW72" s="68"/>
      <c r="AX72" s="68"/>
      <c r="AY72" s="72">
        <v>19735.55</v>
      </c>
      <c r="AZ72" s="72">
        <v>0.745</v>
      </c>
      <c r="BA72" s="70" t="s">
        <v>67</v>
      </c>
      <c r="BB72" s="70" t="s">
        <v>1044</v>
      </c>
      <c r="BC72" s="70" t="s">
        <v>3012</v>
      </c>
      <c r="BD72" s="70" t="s">
        <v>570</v>
      </c>
      <c r="BE72" s="70" t="s">
        <v>74</v>
      </c>
      <c r="BF72" s="70" t="s">
        <v>503</v>
      </c>
      <c r="BG72" s="70" t="s">
        <v>1673</v>
      </c>
      <c r="BH72" s="70"/>
      <c r="BI72" s="68"/>
      <c r="BJ72" s="68"/>
      <c r="BK72" s="70">
        <v>1</v>
      </c>
      <c r="BL72" s="70">
        <v>1</v>
      </c>
      <c r="BM72" s="70" t="s">
        <v>2847</v>
      </c>
    </row>
    <row r="73" spans="1:65" ht="14.4" customHeight="1" x14ac:dyDescent="0.3">
      <c r="A73" s="1" t="str">
        <f t="shared" si="1"/>
        <v>001618</v>
      </c>
      <c r="B73" s="70" t="s">
        <v>61</v>
      </c>
      <c r="C73" s="70" t="s">
        <v>194</v>
      </c>
      <c r="D73" s="70" t="s">
        <v>594</v>
      </c>
      <c r="E73" s="70" t="s">
        <v>595</v>
      </c>
      <c r="F73" s="70" t="s">
        <v>590</v>
      </c>
      <c r="G73" s="70" t="s">
        <v>2763</v>
      </c>
      <c r="H73" s="70" t="s">
        <v>2194</v>
      </c>
      <c r="I73" s="70" t="s">
        <v>67</v>
      </c>
      <c r="J73" s="70" t="s">
        <v>1750</v>
      </c>
      <c r="K73" s="71">
        <v>45861</v>
      </c>
      <c r="L73" s="71">
        <v>46226</v>
      </c>
      <c r="M73" s="72">
        <v>10000</v>
      </c>
      <c r="N73" s="72">
        <v>10534.08</v>
      </c>
      <c r="O73" s="73">
        <v>0</v>
      </c>
      <c r="P73" s="73">
        <v>12</v>
      </c>
      <c r="Q73" s="70" t="s">
        <v>68</v>
      </c>
      <c r="R73" s="72">
        <v>1702.69</v>
      </c>
      <c r="S73" s="72">
        <v>696</v>
      </c>
      <c r="T73" s="72">
        <v>0</v>
      </c>
      <c r="U73" s="72">
        <v>0</v>
      </c>
      <c r="V73" s="72">
        <v>0</v>
      </c>
      <c r="W73" s="72">
        <v>8778.4</v>
      </c>
      <c r="X73" s="72">
        <v>0</v>
      </c>
      <c r="Y73" s="72">
        <v>0</v>
      </c>
      <c r="Z73" s="72">
        <v>0</v>
      </c>
      <c r="AA73" s="74">
        <v>0</v>
      </c>
      <c r="AB73" s="72">
        <v>0</v>
      </c>
      <c r="AC73" s="72">
        <v>1703</v>
      </c>
      <c r="AD73" s="71">
        <v>45923</v>
      </c>
      <c r="AE73" s="70" t="s">
        <v>69</v>
      </c>
      <c r="AF73" s="70" t="s">
        <v>2195</v>
      </c>
      <c r="AG73" s="70" t="s">
        <v>1751</v>
      </c>
      <c r="AH73" s="68"/>
      <c r="AI73" s="70" t="s">
        <v>86</v>
      </c>
      <c r="AJ73" s="70" t="s">
        <v>87</v>
      </c>
      <c r="AK73" s="68"/>
      <c r="AL73" s="68"/>
      <c r="AM73" s="70" t="s">
        <v>1752</v>
      </c>
      <c r="AN73" s="70" t="s">
        <v>2196</v>
      </c>
      <c r="AO73" s="70" t="s">
        <v>1753</v>
      </c>
      <c r="AP73" s="70" t="s">
        <v>2197</v>
      </c>
      <c r="AQ73" s="70" t="s">
        <v>1754</v>
      </c>
      <c r="AR73" s="70" t="s">
        <v>2198</v>
      </c>
      <c r="AS73" s="68"/>
      <c r="AT73" s="68"/>
      <c r="AU73" s="68"/>
      <c r="AV73" s="68"/>
      <c r="AW73" s="68"/>
      <c r="AX73" s="68"/>
      <c r="AY73" s="72">
        <v>16446.3</v>
      </c>
      <c r="AZ73" s="72">
        <v>0.62</v>
      </c>
      <c r="BA73" s="70" t="s">
        <v>67</v>
      </c>
      <c r="BB73" s="70" t="s">
        <v>1044</v>
      </c>
      <c r="BC73" s="70" t="s">
        <v>2886</v>
      </c>
      <c r="BD73" s="70" t="s">
        <v>1718</v>
      </c>
      <c r="BE73" s="70" t="s">
        <v>74</v>
      </c>
      <c r="BF73" s="70" t="s">
        <v>194</v>
      </c>
      <c r="BG73" s="70" t="s">
        <v>1755</v>
      </c>
      <c r="BH73" s="70"/>
      <c r="BI73" s="68"/>
      <c r="BJ73" s="68"/>
      <c r="BK73" s="70">
        <v>0</v>
      </c>
      <c r="BL73" s="70">
        <v>0</v>
      </c>
      <c r="BM73" s="70" t="s">
        <v>2847</v>
      </c>
    </row>
    <row r="74" spans="1:65" ht="14.4" customHeight="1" x14ac:dyDescent="0.3">
      <c r="A74" s="1" t="str">
        <f t="shared" si="1"/>
        <v>003186</v>
      </c>
      <c r="B74" s="70" t="s">
        <v>61</v>
      </c>
      <c r="C74" s="70" t="s">
        <v>194</v>
      </c>
      <c r="D74" s="70" t="s">
        <v>408</v>
      </c>
      <c r="E74" s="70" t="s">
        <v>409</v>
      </c>
      <c r="F74" s="70" t="s">
        <v>590</v>
      </c>
      <c r="G74" s="70" t="s">
        <v>2763</v>
      </c>
      <c r="H74" s="70" t="s">
        <v>2921</v>
      </c>
      <c r="I74" s="70" t="s">
        <v>67</v>
      </c>
      <c r="J74" s="70" t="s">
        <v>2922</v>
      </c>
      <c r="K74" s="71">
        <v>45936</v>
      </c>
      <c r="L74" s="71">
        <v>46104</v>
      </c>
      <c r="M74" s="72">
        <v>5000</v>
      </c>
      <c r="N74" s="72">
        <v>5267.04</v>
      </c>
      <c r="O74" s="73">
        <v>0</v>
      </c>
      <c r="P74" s="73">
        <v>12</v>
      </c>
      <c r="Q74" s="70" t="s">
        <v>496</v>
      </c>
      <c r="R74" s="72">
        <v>673.4</v>
      </c>
      <c r="S74" s="72">
        <v>696</v>
      </c>
      <c r="T74" s="72">
        <v>0</v>
      </c>
      <c r="U74" s="72">
        <v>0</v>
      </c>
      <c r="V74" s="72">
        <v>0</v>
      </c>
      <c r="W74" s="72">
        <v>5267.04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68"/>
      <c r="AD74" s="68"/>
      <c r="AE74" s="70" t="s">
        <v>69</v>
      </c>
      <c r="AF74" s="70" t="s">
        <v>2923</v>
      </c>
      <c r="AG74" s="70" t="s">
        <v>2924</v>
      </c>
      <c r="AH74" s="68"/>
      <c r="AI74" s="70" t="s">
        <v>283</v>
      </c>
      <c r="AJ74" s="70" t="s">
        <v>284</v>
      </c>
      <c r="AK74" s="70" t="s">
        <v>2925</v>
      </c>
      <c r="AL74" s="68"/>
      <c r="AM74" s="70" t="s">
        <v>2926</v>
      </c>
      <c r="AN74" s="70" t="s">
        <v>2927</v>
      </c>
      <c r="AO74" s="70" t="s">
        <v>2928</v>
      </c>
      <c r="AP74" s="70" t="s">
        <v>2929</v>
      </c>
      <c r="AQ74" s="70" t="s">
        <v>2930</v>
      </c>
      <c r="AR74" s="70" t="s">
        <v>2195</v>
      </c>
      <c r="AS74" s="68"/>
      <c r="AT74" s="68"/>
      <c r="AU74" s="68"/>
      <c r="AV74" s="68"/>
      <c r="AW74" s="68"/>
      <c r="AX74" s="68"/>
      <c r="AY74" s="72">
        <v>7384.81</v>
      </c>
      <c r="AZ74" s="72">
        <v>0</v>
      </c>
      <c r="BA74" s="70" t="s">
        <v>67</v>
      </c>
      <c r="BB74" s="70" t="s">
        <v>1044</v>
      </c>
      <c r="BC74" s="70" t="s">
        <v>2931</v>
      </c>
      <c r="BD74" s="70" t="s">
        <v>1718</v>
      </c>
      <c r="BE74" s="70" t="s">
        <v>74</v>
      </c>
      <c r="BF74" s="70" t="s">
        <v>194</v>
      </c>
      <c r="BG74" s="70" t="s">
        <v>2932</v>
      </c>
      <c r="BH74" s="70"/>
      <c r="BI74" s="68"/>
      <c r="BJ74" s="68"/>
      <c r="BK74" s="70">
        <v>0</v>
      </c>
      <c r="BL74" s="70">
        <v>0</v>
      </c>
      <c r="BM74" s="70" t="s">
        <v>2847</v>
      </c>
    </row>
    <row r="75" spans="1:65" ht="14.4" customHeight="1" x14ac:dyDescent="0.3">
      <c r="A75" s="1" t="str">
        <f t="shared" si="1"/>
        <v>001055</v>
      </c>
      <c r="B75" s="70" t="s">
        <v>61</v>
      </c>
      <c r="C75" s="70" t="s">
        <v>194</v>
      </c>
      <c r="D75" s="70" t="s">
        <v>588</v>
      </c>
      <c r="E75" s="70" t="s">
        <v>589</v>
      </c>
      <c r="F75" s="70" t="s">
        <v>590</v>
      </c>
      <c r="G75" s="70" t="s">
        <v>2763</v>
      </c>
      <c r="H75" s="70" t="s">
        <v>2208</v>
      </c>
      <c r="I75" s="70" t="s">
        <v>76</v>
      </c>
      <c r="J75" s="70" t="s">
        <v>1116</v>
      </c>
      <c r="K75" s="71">
        <v>45817</v>
      </c>
      <c r="L75" s="71">
        <v>46182</v>
      </c>
      <c r="M75" s="72">
        <v>40000</v>
      </c>
      <c r="N75" s="72">
        <v>42136.31</v>
      </c>
      <c r="O75" s="73">
        <v>0</v>
      </c>
      <c r="P75" s="73">
        <v>12</v>
      </c>
      <c r="Q75" s="70" t="s">
        <v>68</v>
      </c>
      <c r="R75" s="72">
        <v>6636.77</v>
      </c>
      <c r="S75" s="72">
        <v>696</v>
      </c>
      <c r="T75" s="72">
        <v>0</v>
      </c>
      <c r="U75" s="72">
        <v>0</v>
      </c>
      <c r="V75" s="72">
        <v>0</v>
      </c>
      <c r="W75" s="72">
        <v>28090.87</v>
      </c>
      <c r="X75" s="72">
        <v>0</v>
      </c>
      <c r="Y75" s="72">
        <v>0</v>
      </c>
      <c r="Z75" s="72">
        <v>0</v>
      </c>
      <c r="AA75" s="74">
        <v>0</v>
      </c>
      <c r="AB75" s="72">
        <v>0</v>
      </c>
      <c r="AC75" s="72">
        <v>6637</v>
      </c>
      <c r="AD75" s="71">
        <v>45939</v>
      </c>
      <c r="AE75" s="70" t="s">
        <v>69</v>
      </c>
      <c r="AF75" s="70" t="s">
        <v>2209</v>
      </c>
      <c r="AG75" s="70" t="s">
        <v>1117</v>
      </c>
      <c r="AH75" s="68"/>
      <c r="AI75" s="70" t="s">
        <v>1118</v>
      </c>
      <c r="AJ75" s="70" t="s">
        <v>2210</v>
      </c>
      <c r="AK75" s="70" t="s">
        <v>1119</v>
      </c>
      <c r="AL75" s="68"/>
      <c r="AM75" s="70" t="s">
        <v>1120</v>
      </c>
      <c r="AN75" s="70" t="s">
        <v>2211</v>
      </c>
      <c r="AO75" s="70" t="s">
        <v>1121</v>
      </c>
      <c r="AP75" s="70" t="s">
        <v>2212</v>
      </c>
      <c r="AQ75" s="70" t="s">
        <v>1122</v>
      </c>
      <c r="AR75" s="70" t="s">
        <v>2213</v>
      </c>
      <c r="AS75" s="68"/>
      <c r="AT75" s="68"/>
      <c r="AU75" s="68"/>
      <c r="AV75" s="68"/>
      <c r="AW75" s="68"/>
      <c r="AX75" s="68"/>
      <c r="AY75" s="72">
        <v>52629.19</v>
      </c>
      <c r="AZ75" s="72">
        <v>0.93804255555555505</v>
      </c>
      <c r="BA75" s="70" t="s">
        <v>67</v>
      </c>
      <c r="BB75" s="70" t="s">
        <v>1044</v>
      </c>
      <c r="BC75" s="70" t="s">
        <v>2864</v>
      </c>
      <c r="BD75" s="70" t="s">
        <v>690</v>
      </c>
      <c r="BE75" s="70" t="s">
        <v>74</v>
      </c>
      <c r="BF75" s="70" t="s">
        <v>691</v>
      </c>
      <c r="BG75" s="70" t="s">
        <v>1123</v>
      </c>
      <c r="BH75" s="70"/>
      <c r="BI75" s="68"/>
      <c r="BJ75" s="68"/>
      <c r="BK75" s="70">
        <v>1</v>
      </c>
      <c r="BL75" s="70">
        <v>1</v>
      </c>
      <c r="BM75" s="70" t="s">
        <v>2847</v>
      </c>
    </row>
    <row r="76" spans="1:65" ht="14.4" customHeight="1" x14ac:dyDescent="0.3">
      <c r="A76" s="1" t="str">
        <f t="shared" si="1"/>
        <v>001393</v>
      </c>
      <c r="B76" s="70" t="s">
        <v>61</v>
      </c>
      <c r="C76" s="70" t="s">
        <v>194</v>
      </c>
      <c r="D76" s="70" t="s">
        <v>588</v>
      </c>
      <c r="E76" s="70" t="s">
        <v>589</v>
      </c>
      <c r="F76" s="70" t="s">
        <v>590</v>
      </c>
      <c r="G76" s="70" t="s">
        <v>2763</v>
      </c>
      <c r="H76" s="70" t="s">
        <v>2214</v>
      </c>
      <c r="I76" s="70" t="s">
        <v>67</v>
      </c>
      <c r="J76" s="70" t="s">
        <v>1149</v>
      </c>
      <c r="K76" s="71">
        <v>45820</v>
      </c>
      <c r="L76" s="71">
        <v>46003</v>
      </c>
      <c r="M76" s="72">
        <v>10000</v>
      </c>
      <c r="N76" s="72">
        <v>10534.08</v>
      </c>
      <c r="O76" s="73">
        <v>1</v>
      </c>
      <c r="P76" s="73">
        <v>6</v>
      </c>
      <c r="Q76" s="70" t="s">
        <v>68</v>
      </c>
      <c r="R76" s="72">
        <v>2582.63</v>
      </c>
      <c r="S76" s="72">
        <v>348</v>
      </c>
      <c r="T76" s="72">
        <v>580</v>
      </c>
      <c r="U76" s="72">
        <v>0</v>
      </c>
      <c r="V76" s="72">
        <v>1</v>
      </c>
      <c r="W76" s="72">
        <v>5267.04</v>
      </c>
      <c r="X76" s="72">
        <v>3161.9009056</v>
      </c>
      <c r="Y76" s="72">
        <v>1755.68</v>
      </c>
      <c r="Z76" s="72">
        <v>768.95</v>
      </c>
      <c r="AA76" s="72">
        <v>57.27</v>
      </c>
      <c r="AB76" s="72">
        <v>580</v>
      </c>
      <c r="AC76" s="72">
        <v>2583</v>
      </c>
      <c r="AD76" s="71">
        <v>45917</v>
      </c>
      <c r="AE76" s="70" t="s">
        <v>69</v>
      </c>
      <c r="AF76" s="70" t="s">
        <v>2215</v>
      </c>
      <c r="AG76" s="70" t="s">
        <v>1150</v>
      </c>
      <c r="AH76" s="68"/>
      <c r="AI76" s="70" t="s">
        <v>1151</v>
      </c>
      <c r="AJ76" s="70" t="s">
        <v>2216</v>
      </c>
      <c r="AK76" s="70" t="s">
        <v>1152</v>
      </c>
      <c r="AL76" s="68"/>
      <c r="AM76" s="70" t="s">
        <v>1153</v>
      </c>
      <c r="AN76" s="70" t="s">
        <v>2217</v>
      </c>
      <c r="AO76" s="70" t="s">
        <v>1154</v>
      </c>
      <c r="AP76" s="70" t="s">
        <v>2218</v>
      </c>
      <c r="AQ76" s="70" t="s">
        <v>1155</v>
      </c>
      <c r="AR76" s="70" t="s">
        <v>2219</v>
      </c>
      <c r="AS76" s="68"/>
      <c r="AT76" s="68"/>
      <c r="AU76" s="68"/>
      <c r="AV76" s="68"/>
      <c r="AW76" s="68"/>
      <c r="AX76" s="68"/>
      <c r="AY76" s="72">
        <v>8211.17</v>
      </c>
      <c r="AZ76" s="72">
        <v>0</v>
      </c>
      <c r="BA76" s="70" t="s">
        <v>67</v>
      </c>
      <c r="BB76" s="70" t="s">
        <v>1044</v>
      </c>
      <c r="BC76" s="70" t="s">
        <v>2971</v>
      </c>
      <c r="BD76" s="70" t="s">
        <v>651</v>
      </c>
      <c r="BE76" s="70" t="s">
        <v>74</v>
      </c>
      <c r="BF76" s="70" t="s">
        <v>646</v>
      </c>
      <c r="BG76" s="70" t="s">
        <v>1156</v>
      </c>
      <c r="BH76" s="70"/>
      <c r="BI76" s="68"/>
      <c r="BJ76" s="68"/>
      <c r="BK76" s="70">
        <v>3</v>
      </c>
      <c r="BL76" s="70">
        <v>3</v>
      </c>
      <c r="BM76" s="70" t="s">
        <v>2847</v>
      </c>
    </row>
    <row r="77" spans="1:65" ht="14.4" customHeight="1" x14ac:dyDescent="0.3">
      <c r="A77" s="1" t="str">
        <f t="shared" si="1"/>
        <v>001281</v>
      </c>
      <c r="B77" s="70" t="s">
        <v>61</v>
      </c>
      <c r="C77" s="70" t="s">
        <v>194</v>
      </c>
      <c r="D77" s="70" t="s">
        <v>408</v>
      </c>
      <c r="E77" s="70" t="s">
        <v>409</v>
      </c>
      <c r="F77" s="70" t="s">
        <v>590</v>
      </c>
      <c r="G77" s="70" t="s">
        <v>2763</v>
      </c>
      <c r="H77" s="70" t="s">
        <v>1464</v>
      </c>
      <c r="I77" s="70" t="s">
        <v>76</v>
      </c>
      <c r="J77" s="70" t="s">
        <v>468</v>
      </c>
      <c r="K77" s="71">
        <v>45926</v>
      </c>
      <c r="L77" s="71">
        <v>46094</v>
      </c>
      <c r="M77" s="72">
        <v>10000</v>
      </c>
      <c r="N77" s="72">
        <v>10534.08</v>
      </c>
      <c r="O77" s="73">
        <v>0</v>
      </c>
      <c r="P77" s="73">
        <v>12</v>
      </c>
      <c r="Q77" s="70" t="s">
        <v>496</v>
      </c>
      <c r="R77" s="72">
        <v>1288.8</v>
      </c>
      <c r="S77" s="72">
        <v>696</v>
      </c>
      <c r="T77" s="72">
        <v>0</v>
      </c>
      <c r="U77" s="72">
        <v>1</v>
      </c>
      <c r="V77" s="72">
        <v>0</v>
      </c>
      <c r="W77" s="72">
        <v>9665.0400000000009</v>
      </c>
      <c r="X77" s="72">
        <v>8.8019072000000005</v>
      </c>
      <c r="Y77" s="72">
        <v>8.8000000000000007</v>
      </c>
      <c r="Z77" s="72">
        <v>0</v>
      </c>
      <c r="AA77" s="72">
        <v>0</v>
      </c>
      <c r="AB77" s="72">
        <v>0</v>
      </c>
      <c r="AC77" s="72">
        <v>1280</v>
      </c>
      <c r="AD77" s="71">
        <v>45940</v>
      </c>
      <c r="AE77" s="70" t="s">
        <v>69</v>
      </c>
      <c r="AF77" s="70" t="s">
        <v>1465</v>
      </c>
      <c r="AG77" s="70" t="s">
        <v>2844</v>
      </c>
      <c r="AH77" s="68"/>
      <c r="AI77" s="70" t="s">
        <v>283</v>
      </c>
      <c r="AJ77" s="70" t="s">
        <v>284</v>
      </c>
      <c r="AK77" s="68"/>
      <c r="AL77" s="68"/>
      <c r="AM77" s="70" t="s">
        <v>803</v>
      </c>
      <c r="AN77" s="70" t="s">
        <v>1466</v>
      </c>
      <c r="AO77" s="70" t="s">
        <v>801</v>
      </c>
      <c r="AP77" s="70" t="s">
        <v>1467</v>
      </c>
      <c r="AQ77" s="70" t="s">
        <v>802</v>
      </c>
      <c r="AR77" s="70" t="s">
        <v>1468</v>
      </c>
      <c r="AS77" s="68"/>
      <c r="AT77" s="68"/>
      <c r="AU77" s="68"/>
      <c r="AV77" s="68"/>
      <c r="AW77" s="68"/>
      <c r="AX77" s="68"/>
      <c r="AY77" s="72">
        <v>13547.62</v>
      </c>
      <c r="AZ77" s="72">
        <v>0</v>
      </c>
      <c r="BA77" s="70" t="s">
        <v>67</v>
      </c>
      <c r="BB77" s="70" t="s">
        <v>1044</v>
      </c>
      <c r="BC77" s="70" t="s">
        <v>2934</v>
      </c>
      <c r="BD77" s="70" t="s">
        <v>470</v>
      </c>
      <c r="BE77" s="70" t="s">
        <v>74</v>
      </c>
      <c r="BF77" s="70" t="s">
        <v>194</v>
      </c>
      <c r="BG77" s="68"/>
      <c r="BI77" s="68"/>
      <c r="BJ77" s="68"/>
      <c r="BK77" s="70">
        <v>0</v>
      </c>
      <c r="BL77" s="70">
        <v>0</v>
      </c>
      <c r="BM77" s="70" t="s">
        <v>2847</v>
      </c>
    </row>
    <row r="78" spans="1:65" ht="14.4" customHeight="1" x14ac:dyDescent="0.3">
      <c r="A78" s="1" t="str">
        <f t="shared" si="1"/>
        <v>001409</v>
      </c>
      <c r="B78" s="70" t="s">
        <v>61</v>
      </c>
      <c r="C78" s="70" t="s">
        <v>194</v>
      </c>
      <c r="D78" s="70" t="s">
        <v>588</v>
      </c>
      <c r="E78" s="70" t="s">
        <v>589</v>
      </c>
      <c r="F78" s="70" t="s">
        <v>590</v>
      </c>
      <c r="G78" s="70" t="s">
        <v>2763</v>
      </c>
      <c r="H78" s="70" t="s">
        <v>1479</v>
      </c>
      <c r="I78" s="70" t="s">
        <v>76</v>
      </c>
      <c r="J78" s="70" t="s">
        <v>1193</v>
      </c>
      <c r="K78" s="71">
        <v>45926</v>
      </c>
      <c r="L78" s="71">
        <v>46113</v>
      </c>
      <c r="M78" s="72">
        <v>10000</v>
      </c>
      <c r="N78" s="72">
        <v>10534.08</v>
      </c>
      <c r="O78" s="73">
        <v>0</v>
      </c>
      <c r="P78" s="73">
        <v>6</v>
      </c>
      <c r="Q78" s="70" t="s">
        <v>68</v>
      </c>
      <c r="R78" s="72">
        <v>2599.44</v>
      </c>
      <c r="S78" s="72">
        <v>348</v>
      </c>
      <c r="T78" s="72">
        <v>0</v>
      </c>
      <c r="U78" s="72">
        <v>0</v>
      </c>
      <c r="V78" s="72">
        <v>0</v>
      </c>
      <c r="W78" s="72">
        <v>10534.08</v>
      </c>
      <c r="X78" s="72">
        <v>0</v>
      </c>
      <c r="Y78" s="72">
        <v>0</v>
      </c>
      <c r="Z78" s="72">
        <v>0</v>
      </c>
      <c r="AA78" s="72">
        <v>0</v>
      </c>
      <c r="AB78" s="72">
        <v>0</v>
      </c>
      <c r="AC78" s="68"/>
      <c r="AD78" s="68"/>
      <c r="AE78" s="70" t="s">
        <v>69</v>
      </c>
      <c r="AF78" s="70" t="s">
        <v>1480</v>
      </c>
      <c r="AG78" s="70" t="s">
        <v>2842</v>
      </c>
      <c r="AH78" s="68"/>
      <c r="AI78" s="70" t="s">
        <v>526</v>
      </c>
      <c r="AJ78" s="70" t="s">
        <v>527</v>
      </c>
      <c r="AK78" s="70" t="s">
        <v>1194</v>
      </c>
      <c r="AL78" s="68"/>
      <c r="AM78" s="70" t="s">
        <v>1195</v>
      </c>
      <c r="AN78" s="70" t="s">
        <v>1481</v>
      </c>
      <c r="AO78" s="70" t="s">
        <v>1196</v>
      </c>
      <c r="AP78" s="70" t="s">
        <v>1482</v>
      </c>
      <c r="AQ78" s="70" t="s">
        <v>1197</v>
      </c>
      <c r="AR78" s="70" t="s">
        <v>1483</v>
      </c>
      <c r="AS78" s="68"/>
      <c r="AT78" s="68"/>
      <c r="AU78" s="68"/>
      <c r="AV78" s="68"/>
      <c r="AW78" s="68"/>
      <c r="AX78" s="68"/>
      <c r="AY78" s="72">
        <v>15248.64</v>
      </c>
      <c r="AZ78" s="72">
        <v>0</v>
      </c>
      <c r="BA78" s="70" t="s">
        <v>67</v>
      </c>
      <c r="BB78" s="70" t="s">
        <v>1044</v>
      </c>
      <c r="BC78" s="70" t="s">
        <v>2845</v>
      </c>
      <c r="BD78" s="70" t="s">
        <v>424</v>
      </c>
      <c r="BE78" s="70" t="s">
        <v>74</v>
      </c>
      <c r="BF78" s="70" t="s">
        <v>194</v>
      </c>
      <c r="BG78" s="70" t="s">
        <v>1198</v>
      </c>
      <c r="BH78" s="70"/>
      <c r="BI78" s="68"/>
      <c r="BJ78" s="68"/>
      <c r="BK78" s="70">
        <v>0</v>
      </c>
      <c r="BL78" s="70">
        <v>0</v>
      </c>
      <c r="BM78" s="70" t="s">
        <v>2847</v>
      </c>
    </row>
    <row r="79" spans="1:65" ht="14.4" customHeight="1" x14ac:dyDescent="0.3">
      <c r="A79" s="1" t="str">
        <f t="shared" si="1"/>
        <v>001374</v>
      </c>
      <c r="B79" s="70" t="s">
        <v>61</v>
      </c>
      <c r="C79" s="70" t="s">
        <v>194</v>
      </c>
      <c r="D79" s="70" t="s">
        <v>588</v>
      </c>
      <c r="E79" s="70" t="s">
        <v>589</v>
      </c>
      <c r="F79" s="70" t="s">
        <v>590</v>
      </c>
      <c r="G79" s="70" t="s">
        <v>2763</v>
      </c>
      <c r="H79" s="70" t="s">
        <v>2225</v>
      </c>
      <c r="I79" s="70" t="s">
        <v>67</v>
      </c>
      <c r="J79" s="70" t="s">
        <v>1109</v>
      </c>
      <c r="K79" s="71">
        <v>45814</v>
      </c>
      <c r="L79" s="71">
        <v>46179</v>
      </c>
      <c r="M79" s="72">
        <v>20000</v>
      </c>
      <c r="N79" s="72">
        <v>21068.16</v>
      </c>
      <c r="O79" s="73">
        <v>8</v>
      </c>
      <c r="P79" s="73">
        <v>12</v>
      </c>
      <c r="Q79" s="70" t="s">
        <v>68</v>
      </c>
      <c r="R79" s="72">
        <v>3347.38</v>
      </c>
      <c r="S79" s="72">
        <v>696</v>
      </c>
      <c r="T79" s="72">
        <v>580</v>
      </c>
      <c r="U79" s="72">
        <v>0</v>
      </c>
      <c r="V79" s="72">
        <v>1</v>
      </c>
      <c r="W79" s="72">
        <v>15801.12</v>
      </c>
      <c r="X79" s="72">
        <v>3901.5341013333332</v>
      </c>
      <c r="Y79" s="72">
        <v>1755.68</v>
      </c>
      <c r="Z79" s="72">
        <v>1533.7</v>
      </c>
      <c r="AA79" s="72">
        <v>32.15</v>
      </c>
      <c r="AB79" s="72">
        <v>580</v>
      </c>
      <c r="AC79" s="72">
        <v>3350</v>
      </c>
      <c r="AD79" s="71">
        <v>45908</v>
      </c>
      <c r="AE79" s="70" t="s">
        <v>69</v>
      </c>
      <c r="AF79" s="70" t="s">
        <v>2226</v>
      </c>
      <c r="AG79" s="70" t="s">
        <v>1110</v>
      </c>
      <c r="AH79" s="68"/>
      <c r="AI79" s="70" t="s">
        <v>481</v>
      </c>
      <c r="AJ79" s="70" t="s">
        <v>482</v>
      </c>
      <c r="AK79" s="68"/>
      <c r="AL79" s="68"/>
      <c r="AM79" s="70" t="s">
        <v>1111</v>
      </c>
      <c r="AN79" s="70" t="s">
        <v>2227</v>
      </c>
      <c r="AO79" s="70" t="s">
        <v>1112</v>
      </c>
      <c r="AP79" s="70" t="s">
        <v>2228</v>
      </c>
      <c r="AQ79" s="70" t="s">
        <v>1113</v>
      </c>
      <c r="AR79" s="70" t="s">
        <v>2204</v>
      </c>
      <c r="AS79" s="68"/>
      <c r="AT79" s="68"/>
      <c r="AU79" s="68"/>
      <c r="AV79" s="68"/>
      <c r="AW79" s="68"/>
      <c r="AX79" s="68"/>
      <c r="AY79" s="72">
        <v>30216.600000000002</v>
      </c>
      <c r="AZ79" s="72">
        <v>0</v>
      </c>
      <c r="BA79" s="70" t="s">
        <v>67</v>
      </c>
      <c r="BB79" s="70" t="s">
        <v>1044</v>
      </c>
      <c r="BC79" s="70" t="s">
        <v>2893</v>
      </c>
      <c r="BD79" s="70" t="s">
        <v>1114</v>
      </c>
      <c r="BE79" s="70" t="s">
        <v>74</v>
      </c>
      <c r="BF79" s="70" t="s">
        <v>646</v>
      </c>
      <c r="BG79" s="70" t="s">
        <v>1115</v>
      </c>
      <c r="BH79" s="70"/>
      <c r="BI79" s="68"/>
      <c r="BJ79" s="68"/>
      <c r="BK79" s="70">
        <v>2</v>
      </c>
      <c r="BL79" s="70">
        <v>1</v>
      </c>
      <c r="BM79" s="70" t="s">
        <v>2847</v>
      </c>
    </row>
    <row r="80" spans="1:65" ht="14.4" customHeight="1" x14ac:dyDescent="0.3">
      <c r="A80" s="1" t="str">
        <f t="shared" si="1"/>
        <v>001456</v>
      </c>
      <c r="B80" s="70" t="s">
        <v>61</v>
      </c>
      <c r="C80" s="70" t="s">
        <v>194</v>
      </c>
      <c r="D80" s="70" t="s">
        <v>594</v>
      </c>
      <c r="E80" s="70" t="s">
        <v>595</v>
      </c>
      <c r="F80" s="70" t="s">
        <v>590</v>
      </c>
      <c r="G80" s="70" t="s">
        <v>2763</v>
      </c>
      <c r="H80" s="70" t="s">
        <v>2229</v>
      </c>
      <c r="I80" s="70" t="s">
        <v>67</v>
      </c>
      <c r="J80" s="70" t="s">
        <v>1394</v>
      </c>
      <c r="K80" s="71">
        <v>45838</v>
      </c>
      <c r="L80" s="71">
        <v>46023</v>
      </c>
      <c r="M80" s="72">
        <v>5000</v>
      </c>
      <c r="N80" s="72">
        <v>5267.04</v>
      </c>
      <c r="O80" s="73">
        <v>0</v>
      </c>
      <c r="P80" s="73">
        <v>6</v>
      </c>
      <c r="Q80" s="70" t="s">
        <v>68</v>
      </c>
      <c r="R80" s="72">
        <v>1324.52</v>
      </c>
      <c r="S80" s="72">
        <v>348</v>
      </c>
      <c r="T80" s="72">
        <v>0</v>
      </c>
      <c r="U80" s="72">
        <v>0</v>
      </c>
      <c r="V80" s="72">
        <v>0</v>
      </c>
      <c r="W80" s="72">
        <v>2633.52</v>
      </c>
      <c r="X80" s="72">
        <v>0</v>
      </c>
      <c r="Y80" s="72">
        <v>0</v>
      </c>
      <c r="Z80" s="72">
        <v>0</v>
      </c>
      <c r="AA80" s="72">
        <v>0</v>
      </c>
      <c r="AB80" s="72">
        <v>0</v>
      </c>
      <c r="AC80" s="72">
        <v>1324.52</v>
      </c>
      <c r="AD80" s="71">
        <v>45931</v>
      </c>
      <c r="AE80" s="70" t="s">
        <v>69</v>
      </c>
      <c r="AF80" s="70" t="s">
        <v>2230</v>
      </c>
      <c r="AG80" s="70" t="s">
        <v>1395</v>
      </c>
      <c r="AH80" s="68"/>
      <c r="AI80" s="70" t="s">
        <v>644</v>
      </c>
      <c r="AJ80" s="70" t="s">
        <v>2141</v>
      </c>
      <c r="AK80" s="70" t="s">
        <v>1396</v>
      </c>
      <c r="AL80" s="68"/>
      <c r="AM80" s="70" t="s">
        <v>1397</v>
      </c>
      <c r="AN80" s="70" t="s">
        <v>2231</v>
      </c>
      <c r="AO80" s="70" t="s">
        <v>1398</v>
      </c>
      <c r="AP80" s="70" t="s">
        <v>2232</v>
      </c>
      <c r="AQ80" s="70" t="s">
        <v>1399</v>
      </c>
      <c r="AR80" s="70" t="s">
        <v>2233</v>
      </c>
      <c r="AS80" s="68"/>
      <c r="AT80" s="68"/>
      <c r="AU80" s="68"/>
      <c r="AV80" s="68"/>
      <c r="AW80" s="68"/>
      <c r="AX80" s="68"/>
      <c r="AY80" s="72">
        <v>3799.55</v>
      </c>
      <c r="AZ80" s="72">
        <v>3.0192000000000001E-3</v>
      </c>
      <c r="BA80" s="70" t="s">
        <v>67</v>
      </c>
      <c r="BB80" s="70" t="s">
        <v>1044</v>
      </c>
      <c r="BC80" s="70" t="s">
        <v>3000</v>
      </c>
      <c r="BD80" s="70" t="s">
        <v>1400</v>
      </c>
      <c r="BE80" s="70" t="s">
        <v>74</v>
      </c>
      <c r="BF80" s="70" t="s">
        <v>194</v>
      </c>
      <c r="BG80" s="70" t="s">
        <v>1401</v>
      </c>
      <c r="BH80" s="70"/>
      <c r="BI80" s="68"/>
      <c r="BJ80" s="68"/>
      <c r="BK80" s="70">
        <v>0</v>
      </c>
      <c r="BL80" s="70">
        <v>0</v>
      </c>
      <c r="BM80" s="70" t="s">
        <v>2847</v>
      </c>
    </row>
    <row r="81" spans="1:65" ht="14.4" customHeight="1" x14ac:dyDescent="0.3">
      <c r="A81" s="1" t="str">
        <f t="shared" si="1"/>
        <v>001680</v>
      </c>
      <c r="B81" s="70" t="s">
        <v>61</v>
      </c>
      <c r="C81" s="70" t="s">
        <v>194</v>
      </c>
      <c r="D81" s="70" t="s">
        <v>588</v>
      </c>
      <c r="E81" s="70" t="s">
        <v>589</v>
      </c>
      <c r="F81" s="70" t="s">
        <v>590</v>
      </c>
      <c r="G81" s="70" t="s">
        <v>2763</v>
      </c>
      <c r="H81" s="70" t="s">
        <v>2593</v>
      </c>
      <c r="I81" s="70" t="s">
        <v>67</v>
      </c>
      <c r="J81" s="70" t="s">
        <v>2594</v>
      </c>
      <c r="K81" s="71">
        <v>45874</v>
      </c>
      <c r="L81" s="71">
        <v>46239</v>
      </c>
      <c r="M81" s="72">
        <v>15000</v>
      </c>
      <c r="N81" s="72">
        <v>15801.12</v>
      </c>
      <c r="O81" s="73">
        <v>0</v>
      </c>
      <c r="P81" s="73">
        <v>12</v>
      </c>
      <c r="Q81" s="70" t="s">
        <v>68</v>
      </c>
      <c r="R81" s="72">
        <v>2525.04</v>
      </c>
      <c r="S81" s="72">
        <v>696</v>
      </c>
      <c r="T81" s="72">
        <v>0</v>
      </c>
      <c r="U81" s="72">
        <v>0</v>
      </c>
      <c r="V81" s="72">
        <v>0</v>
      </c>
      <c r="W81" s="72">
        <v>13167.6</v>
      </c>
      <c r="X81" s="72">
        <v>0</v>
      </c>
      <c r="Y81" s="72">
        <v>0</v>
      </c>
      <c r="Z81" s="72">
        <v>0</v>
      </c>
      <c r="AA81" s="72">
        <v>0</v>
      </c>
      <c r="AB81" s="72">
        <v>0</v>
      </c>
      <c r="AC81" s="72">
        <v>2525.04</v>
      </c>
      <c r="AD81" s="71">
        <v>45936</v>
      </c>
      <c r="AE81" s="70" t="s">
        <v>69</v>
      </c>
      <c r="AF81" s="70" t="s">
        <v>2595</v>
      </c>
      <c r="AG81" s="70" t="s">
        <v>2596</v>
      </c>
      <c r="AH81" s="68"/>
      <c r="AI81" s="70" t="s">
        <v>393</v>
      </c>
      <c r="AJ81" s="70" t="s">
        <v>394</v>
      </c>
      <c r="AK81" s="70" t="s">
        <v>2597</v>
      </c>
      <c r="AL81" s="68"/>
      <c r="AM81" s="70" t="s">
        <v>2598</v>
      </c>
      <c r="AN81" s="70" t="s">
        <v>2599</v>
      </c>
      <c r="AO81" s="70" t="s">
        <v>2600</v>
      </c>
      <c r="AP81" s="70" t="s">
        <v>2601</v>
      </c>
      <c r="AQ81" s="70" t="s">
        <v>2602</v>
      </c>
      <c r="AR81" s="70" t="s">
        <v>2603</v>
      </c>
      <c r="AS81" s="68"/>
      <c r="AT81" s="68"/>
      <c r="AU81" s="68"/>
      <c r="AV81" s="68"/>
      <c r="AW81" s="68"/>
      <c r="AX81" s="68"/>
      <c r="AY81" s="72">
        <v>24670.37</v>
      </c>
      <c r="AZ81" s="72">
        <v>4.712E-3</v>
      </c>
      <c r="BA81" s="70" t="s">
        <v>67</v>
      </c>
      <c r="BB81" s="70" t="s">
        <v>1044</v>
      </c>
      <c r="BC81" s="70" t="s">
        <v>2866</v>
      </c>
      <c r="BD81" s="70" t="s">
        <v>2604</v>
      </c>
      <c r="BE81" s="70" t="s">
        <v>74</v>
      </c>
      <c r="BF81" s="70" t="s">
        <v>503</v>
      </c>
      <c r="BG81" s="70" t="s">
        <v>2605</v>
      </c>
      <c r="BH81" s="70"/>
      <c r="BI81" s="68"/>
      <c r="BJ81" s="68"/>
      <c r="BK81" s="70">
        <v>0</v>
      </c>
      <c r="BL81" s="70">
        <v>0</v>
      </c>
      <c r="BM81" s="70" t="s">
        <v>2847</v>
      </c>
    </row>
    <row r="82" spans="1:65" ht="14.4" customHeight="1" x14ac:dyDescent="0.3">
      <c r="A82" s="1" t="str">
        <f t="shared" si="1"/>
        <v>001756</v>
      </c>
      <c r="B82" s="70" t="s">
        <v>61</v>
      </c>
      <c r="C82" s="70" t="s">
        <v>194</v>
      </c>
      <c r="D82" s="70" t="s">
        <v>594</v>
      </c>
      <c r="E82" s="70" t="s">
        <v>595</v>
      </c>
      <c r="F82" s="70" t="s">
        <v>590</v>
      </c>
      <c r="G82" s="70" t="s">
        <v>2763</v>
      </c>
      <c r="H82" s="70" t="s">
        <v>2606</v>
      </c>
      <c r="I82" s="70" t="s">
        <v>67</v>
      </c>
      <c r="J82" s="70" t="s">
        <v>2607</v>
      </c>
      <c r="K82" s="71">
        <v>45880</v>
      </c>
      <c r="L82" s="71">
        <v>46245</v>
      </c>
      <c r="M82" s="72">
        <v>30000</v>
      </c>
      <c r="N82" s="72">
        <v>31602.23</v>
      </c>
      <c r="O82" s="73">
        <v>1</v>
      </c>
      <c r="P82" s="73">
        <v>12</v>
      </c>
      <c r="Q82" s="70" t="s">
        <v>68</v>
      </c>
      <c r="R82" s="72">
        <v>4992.07</v>
      </c>
      <c r="S82" s="72">
        <v>696</v>
      </c>
      <c r="T82" s="72">
        <v>580</v>
      </c>
      <c r="U82" s="72">
        <v>0</v>
      </c>
      <c r="V82" s="72">
        <v>1</v>
      </c>
      <c r="W82" s="72">
        <v>28968.71</v>
      </c>
      <c r="X82" s="72">
        <v>5572.0783000000001</v>
      </c>
      <c r="Y82" s="72">
        <v>2633.52</v>
      </c>
      <c r="Z82" s="72">
        <v>2300.56</v>
      </c>
      <c r="AA82" s="72">
        <v>58</v>
      </c>
      <c r="AB82" s="72">
        <v>580</v>
      </c>
      <c r="AC82" s="72">
        <v>4992.07</v>
      </c>
      <c r="AD82" s="71">
        <v>45911</v>
      </c>
      <c r="AE82" s="70" t="s">
        <v>69</v>
      </c>
      <c r="AF82" s="70" t="s">
        <v>2608</v>
      </c>
      <c r="AG82" s="70" t="s">
        <v>2609</v>
      </c>
      <c r="AH82" s="68"/>
      <c r="AI82" s="70" t="s">
        <v>336</v>
      </c>
      <c r="AJ82" s="70" t="s">
        <v>1850</v>
      </c>
      <c r="AK82" s="70" t="s">
        <v>2610</v>
      </c>
      <c r="AL82" s="68"/>
      <c r="AM82" s="70" t="s">
        <v>2611</v>
      </c>
      <c r="AN82" s="70" t="s">
        <v>2612</v>
      </c>
      <c r="AO82" s="70" t="s">
        <v>2613</v>
      </c>
      <c r="AP82" s="70" t="s">
        <v>2614</v>
      </c>
      <c r="AQ82" s="70" t="s">
        <v>2615</v>
      </c>
      <c r="AR82" s="70" t="s">
        <v>2616</v>
      </c>
      <c r="AS82" s="68"/>
      <c r="AT82" s="68"/>
      <c r="AU82" s="68"/>
      <c r="AV82" s="68"/>
      <c r="AW82" s="68"/>
      <c r="AX82" s="68"/>
      <c r="AY82" s="72">
        <v>54912.81</v>
      </c>
      <c r="AZ82" s="72">
        <v>0</v>
      </c>
      <c r="BA82" s="70" t="s">
        <v>67</v>
      </c>
      <c r="BB82" s="70" t="s">
        <v>1044</v>
      </c>
      <c r="BC82" s="70" t="s">
        <v>3014</v>
      </c>
      <c r="BD82" s="70" t="s">
        <v>2617</v>
      </c>
      <c r="BE82" s="70" t="s">
        <v>74</v>
      </c>
      <c r="BF82" s="70" t="s">
        <v>194</v>
      </c>
      <c r="BG82" s="70" t="s">
        <v>2618</v>
      </c>
      <c r="BH82" s="70"/>
      <c r="BI82" s="68"/>
      <c r="BJ82" s="68"/>
      <c r="BK82" s="70">
        <v>1</v>
      </c>
      <c r="BL82" s="70">
        <v>1</v>
      </c>
      <c r="BM82" s="70" t="s">
        <v>2847</v>
      </c>
    </row>
    <row r="83" spans="1:65" ht="14.4" customHeight="1" x14ac:dyDescent="0.3">
      <c r="A83" s="1" t="str">
        <f t="shared" si="1"/>
        <v>001557</v>
      </c>
      <c r="B83" s="70" t="s">
        <v>61</v>
      </c>
      <c r="C83" s="70" t="s">
        <v>194</v>
      </c>
      <c r="D83" s="70" t="s">
        <v>588</v>
      </c>
      <c r="E83" s="70" t="s">
        <v>589</v>
      </c>
      <c r="F83" s="70" t="s">
        <v>590</v>
      </c>
      <c r="G83" s="70" t="s">
        <v>2763</v>
      </c>
      <c r="H83" s="70" t="s">
        <v>2566</v>
      </c>
      <c r="I83" s="70" t="s">
        <v>67</v>
      </c>
      <c r="J83" s="70" t="s">
        <v>2567</v>
      </c>
      <c r="K83" s="71">
        <v>45873</v>
      </c>
      <c r="L83" s="71">
        <v>46238</v>
      </c>
      <c r="M83" s="72">
        <v>100000</v>
      </c>
      <c r="N83" s="72">
        <v>105340.78</v>
      </c>
      <c r="O83" s="73">
        <v>8</v>
      </c>
      <c r="P83" s="73">
        <v>12</v>
      </c>
      <c r="Q83" s="70" t="s">
        <v>68</v>
      </c>
      <c r="R83" s="72">
        <v>16504.91</v>
      </c>
      <c r="S83" s="72">
        <v>696</v>
      </c>
      <c r="T83" s="72">
        <v>580</v>
      </c>
      <c r="U83" s="72">
        <v>0</v>
      </c>
      <c r="V83" s="72">
        <v>1</v>
      </c>
      <c r="W83" s="72">
        <v>96562.38</v>
      </c>
      <c r="X83" s="72">
        <v>17084.829008111101</v>
      </c>
      <c r="Y83" s="72">
        <v>8778.4</v>
      </c>
      <c r="Z83" s="72">
        <v>7668.51</v>
      </c>
      <c r="AA83" s="72">
        <v>57.92</v>
      </c>
      <c r="AB83" s="72">
        <v>580</v>
      </c>
      <c r="AC83" s="72">
        <v>17085</v>
      </c>
      <c r="AD83" s="71">
        <v>45908</v>
      </c>
      <c r="AE83" s="70" t="s">
        <v>69</v>
      </c>
      <c r="AF83" s="70" t="s">
        <v>2568</v>
      </c>
      <c r="AG83" s="70" t="s">
        <v>2569</v>
      </c>
      <c r="AH83" s="68"/>
      <c r="AI83" s="70" t="s">
        <v>82</v>
      </c>
      <c r="AJ83" s="70" t="s">
        <v>83</v>
      </c>
      <c r="AK83" s="70" t="s">
        <v>2570</v>
      </c>
      <c r="AL83" s="68"/>
      <c r="AM83" s="70" t="s">
        <v>2571</v>
      </c>
      <c r="AN83" s="70" t="s">
        <v>2572</v>
      </c>
      <c r="AO83" s="70" t="s">
        <v>2573</v>
      </c>
      <c r="AP83" s="70" t="s">
        <v>2574</v>
      </c>
      <c r="AQ83" s="70" t="s">
        <v>2575</v>
      </c>
      <c r="AR83" s="70" t="s">
        <v>2576</v>
      </c>
      <c r="AS83" s="70" t="s">
        <v>122</v>
      </c>
      <c r="AT83" s="68" t="s">
        <v>2577</v>
      </c>
      <c r="AU83" s="70" t="s">
        <v>2578</v>
      </c>
      <c r="AV83" s="68"/>
      <c r="AW83" s="68"/>
      <c r="AX83" s="68"/>
      <c r="AY83" s="72">
        <v>181553.97</v>
      </c>
      <c r="AZ83" s="72">
        <v>0</v>
      </c>
      <c r="BA83" s="70" t="s">
        <v>76</v>
      </c>
      <c r="BB83" s="70" t="s">
        <v>1600</v>
      </c>
      <c r="BC83" s="70" t="s">
        <v>2982</v>
      </c>
      <c r="BD83" s="70" t="s">
        <v>651</v>
      </c>
      <c r="BE83" s="70" t="s">
        <v>74</v>
      </c>
      <c r="BF83" s="70" t="s">
        <v>646</v>
      </c>
      <c r="BG83" s="70" t="s">
        <v>2579</v>
      </c>
      <c r="BH83" s="70"/>
      <c r="BI83" s="68"/>
      <c r="BJ83" s="68"/>
      <c r="BK83" s="70">
        <v>2</v>
      </c>
      <c r="BL83" s="70">
        <v>2</v>
      </c>
      <c r="BM83" s="70" t="s">
        <v>2847</v>
      </c>
    </row>
    <row r="84" spans="1:65" ht="14.4" customHeight="1" x14ac:dyDescent="0.3">
      <c r="A84" s="1" t="str">
        <f t="shared" si="1"/>
        <v>001770</v>
      </c>
      <c r="B84" s="70" t="s">
        <v>61</v>
      </c>
      <c r="C84" s="70" t="s">
        <v>194</v>
      </c>
      <c r="D84" s="70" t="s">
        <v>594</v>
      </c>
      <c r="E84" s="70" t="s">
        <v>595</v>
      </c>
      <c r="F84" s="70" t="s">
        <v>590</v>
      </c>
      <c r="G84" s="70" t="s">
        <v>2763</v>
      </c>
      <c r="H84" s="70" t="s">
        <v>2730</v>
      </c>
      <c r="I84" s="70" t="s">
        <v>67</v>
      </c>
      <c r="J84" s="70" t="s">
        <v>2731</v>
      </c>
      <c r="K84" s="71">
        <v>45884</v>
      </c>
      <c r="L84" s="71">
        <v>46068</v>
      </c>
      <c r="M84" s="72">
        <v>8000</v>
      </c>
      <c r="N84" s="72">
        <v>8427.26</v>
      </c>
      <c r="O84" s="73">
        <v>0</v>
      </c>
      <c r="P84" s="73">
        <v>6</v>
      </c>
      <c r="Q84" s="70" t="s">
        <v>68</v>
      </c>
      <c r="R84" s="72">
        <v>2081.0700000000002</v>
      </c>
      <c r="S84" s="72">
        <v>348</v>
      </c>
      <c r="T84" s="72">
        <v>0</v>
      </c>
      <c r="U84" s="72">
        <v>0</v>
      </c>
      <c r="V84" s="72">
        <v>0</v>
      </c>
      <c r="W84" s="72">
        <v>7022.72</v>
      </c>
      <c r="X84" s="72">
        <v>0</v>
      </c>
      <c r="Y84" s="72">
        <v>0</v>
      </c>
      <c r="Z84" s="72">
        <v>0</v>
      </c>
      <c r="AA84" s="74">
        <v>0</v>
      </c>
      <c r="AB84" s="72">
        <v>0</v>
      </c>
      <c r="AC84" s="72">
        <v>2662</v>
      </c>
      <c r="AD84" s="71">
        <v>45922</v>
      </c>
      <c r="AE84" s="70" t="s">
        <v>69</v>
      </c>
      <c r="AF84" s="70" t="s">
        <v>2732</v>
      </c>
      <c r="AG84" s="70" t="s">
        <v>2733</v>
      </c>
      <c r="AH84" s="68"/>
      <c r="AI84" s="70" t="s">
        <v>481</v>
      </c>
      <c r="AJ84" s="70" t="s">
        <v>482</v>
      </c>
      <c r="AK84" s="70" t="s">
        <v>2734</v>
      </c>
      <c r="AL84" s="68"/>
      <c r="AM84" s="70" t="s">
        <v>2735</v>
      </c>
      <c r="AN84" s="70" t="s">
        <v>2736</v>
      </c>
      <c r="AO84" s="70" t="s">
        <v>2737</v>
      </c>
      <c r="AP84" s="70" t="s">
        <v>2738</v>
      </c>
      <c r="AQ84" s="70" t="s">
        <v>2739</v>
      </c>
      <c r="AR84" s="70" t="s">
        <v>2740</v>
      </c>
      <c r="AS84" s="68"/>
      <c r="AT84" s="68"/>
      <c r="AU84" s="68"/>
      <c r="AV84" s="68"/>
      <c r="AW84" s="68"/>
      <c r="AX84" s="68"/>
      <c r="AY84" s="72">
        <v>10114.4</v>
      </c>
      <c r="AZ84" s="72">
        <v>0.93669999999999998</v>
      </c>
      <c r="BA84" s="70" t="s">
        <v>67</v>
      </c>
      <c r="BB84" s="70" t="s">
        <v>1044</v>
      </c>
      <c r="BC84" s="70" t="s">
        <v>2894</v>
      </c>
      <c r="BD84" s="70" t="s">
        <v>2741</v>
      </c>
      <c r="BE84" s="70" t="s">
        <v>74</v>
      </c>
      <c r="BF84" s="70" t="s">
        <v>194</v>
      </c>
      <c r="BG84" s="70" t="s">
        <v>2742</v>
      </c>
      <c r="BH84" s="70"/>
      <c r="BI84" s="68"/>
      <c r="BJ84" s="68"/>
      <c r="BK84" s="70">
        <v>1</v>
      </c>
      <c r="BL84" s="70">
        <v>1</v>
      </c>
      <c r="BM84" s="70" t="s">
        <v>2847</v>
      </c>
    </row>
    <row r="85" spans="1:65" ht="14.4" customHeight="1" x14ac:dyDescent="0.3">
      <c r="A85" s="1" t="str">
        <f t="shared" si="1"/>
        <v>001510</v>
      </c>
      <c r="B85" s="70" t="s">
        <v>61</v>
      </c>
      <c r="C85" s="70" t="s">
        <v>194</v>
      </c>
      <c r="D85" s="70" t="s">
        <v>588</v>
      </c>
      <c r="E85" s="70" t="s">
        <v>589</v>
      </c>
      <c r="F85" s="70" t="s">
        <v>590</v>
      </c>
      <c r="G85" s="70" t="s">
        <v>2763</v>
      </c>
      <c r="H85" s="70" t="s">
        <v>2234</v>
      </c>
      <c r="I85" s="70" t="s">
        <v>67</v>
      </c>
      <c r="J85" s="70" t="s">
        <v>1610</v>
      </c>
      <c r="K85" s="71">
        <v>45849</v>
      </c>
      <c r="L85" s="71">
        <v>46214</v>
      </c>
      <c r="M85" s="72">
        <v>15000</v>
      </c>
      <c r="N85" s="72">
        <v>15801.12</v>
      </c>
      <c r="O85" s="73">
        <v>1</v>
      </c>
      <c r="P85" s="73">
        <v>12</v>
      </c>
      <c r="Q85" s="70" t="s">
        <v>68</v>
      </c>
      <c r="R85" s="72">
        <v>2525.04</v>
      </c>
      <c r="S85" s="72">
        <v>696</v>
      </c>
      <c r="T85" s="72">
        <v>580</v>
      </c>
      <c r="U85" s="72">
        <v>0</v>
      </c>
      <c r="V85" s="72">
        <v>1</v>
      </c>
      <c r="W85" s="72">
        <v>13167.6</v>
      </c>
      <c r="X85" s="72">
        <v>3104.072932</v>
      </c>
      <c r="Y85" s="72">
        <v>1316.76</v>
      </c>
      <c r="Z85" s="72">
        <v>1150.27</v>
      </c>
      <c r="AA85" s="72">
        <v>57.04</v>
      </c>
      <c r="AB85" s="72">
        <v>580</v>
      </c>
      <c r="AC85" s="72">
        <v>3106</v>
      </c>
      <c r="AD85" s="71">
        <v>45913</v>
      </c>
      <c r="AE85" s="70" t="s">
        <v>69</v>
      </c>
      <c r="AF85" s="70" t="s">
        <v>2235</v>
      </c>
      <c r="AG85" s="70" t="s">
        <v>1611</v>
      </c>
      <c r="AH85" s="68"/>
      <c r="AI85" s="70" t="s">
        <v>86</v>
      </c>
      <c r="AJ85" s="70" t="s">
        <v>87</v>
      </c>
      <c r="AK85" s="68"/>
      <c r="AL85" s="68"/>
      <c r="AM85" s="70" t="s">
        <v>1612</v>
      </c>
      <c r="AN85" s="70" t="s">
        <v>2236</v>
      </c>
      <c r="AO85" s="70" t="s">
        <v>1613</v>
      </c>
      <c r="AP85" s="70" t="s">
        <v>2237</v>
      </c>
      <c r="AQ85" s="70" t="s">
        <v>1614</v>
      </c>
      <c r="AR85" s="70" t="s">
        <v>2238</v>
      </c>
      <c r="AS85" s="68"/>
      <c r="AT85" s="68"/>
      <c r="AU85" s="68"/>
      <c r="AV85" s="68"/>
      <c r="AW85" s="68"/>
      <c r="AX85" s="68"/>
      <c r="AY85" s="72">
        <v>25307.41</v>
      </c>
      <c r="AZ85" s="72">
        <v>0</v>
      </c>
      <c r="BA85" s="70" t="s">
        <v>67</v>
      </c>
      <c r="BB85" s="70" t="s">
        <v>1044</v>
      </c>
      <c r="BC85" s="70" t="s">
        <v>2888</v>
      </c>
      <c r="BD85" s="70" t="s">
        <v>503</v>
      </c>
      <c r="BE85" s="70" t="s">
        <v>74</v>
      </c>
      <c r="BF85" s="70" t="s">
        <v>503</v>
      </c>
      <c r="BG85" s="70" t="s">
        <v>1615</v>
      </c>
      <c r="BH85" s="70"/>
      <c r="BI85" s="68"/>
      <c r="BJ85" s="68"/>
      <c r="BK85" s="70">
        <v>2</v>
      </c>
      <c r="BL85" s="70">
        <v>2</v>
      </c>
      <c r="BM85" s="70" t="s">
        <v>2847</v>
      </c>
    </row>
    <row r="86" spans="1:65" ht="14.4" customHeight="1" x14ac:dyDescent="0.3">
      <c r="A86" s="1" t="str">
        <f t="shared" si="1"/>
        <v>001511</v>
      </c>
      <c r="B86" s="70" t="s">
        <v>61</v>
      </c>
      <c r="C86" s="70" t="s">
        <v>194</v>
      </c>
      <c r="D86" s="70" t="s">
        <v>588</v>
      </c>
      <c r="E86" s="70" t="s">
        <v>589</v>
      </c>
      <c r="F86" s="70" t="s">
        <v>590</v>
      </c>
      <c r="G86" s="70" t="s">
        <v>2763</v>
      </c>
      <c r="H86" s="70" t="s">
        <v>2239</v>
      </c>
      <c r="I86" s="70" t="s">
        <v>67</v>
      </c>
      <c r="J86" s="70" t="s">
        <v>1616</v>
      </c>
      <c r="K86" s="71">
        <v>45849</v>
      </c>
      <c r="L86" s="71">
        <v>46214</v>
      </c>
      <c r="M86" s="72">
        <v>10000</v>
      </c>
      <c r="N86" s="72">
        <v>10534.08</v>
      </c>
      <c r="O86" s="73">
        <v>1</v>
      </c>
      <c r="P86" s="73">
        <v>12</v>
      </c>
      <c r="Q86" s="70" t="s">
        <v>68</v>
      </c>
      <c r="R86" s="72">
        <v>1702.69</v>
      </c>
      <c r="S86" s="72">
        <v>696</v>
      </c>
      <c r="T86" s="72">
        <v>580</v>
      </c>
      <c r="U86" s="72">
        <v>0</v>
      </c>
      <c r="V86" s="72">
        <v>1</v>
      </c>
      <c r="W86" s="72">
        <v>8778.4</v>
      </c>
      <c r="X86" s="72">
        <v>2282.08</v>
      </c>
      <c r="Y86" s="72">
        <v>877.84</v>
      </c>
      <c r="Z86" s="72">
        <v>766.86</v>
      </c>
      <c r="AA86" s="72">
        <v>57.38</v>
      </c>
      <c r="AB86" s="72">
        <v>580</v>
      </c>
      <c r="AC86" s="72">
        <v>2283</v>
      </c>
      <c r="AD86" s="71">
        <v>45922</v>
      </c>
      <c r="AE86" s="70" t="s">
        <v>69</v>
      </c>
      <c r="AF86" s="70" t="s">
        <v>2240</v>
      </c>
      <c r="AG86" s="70" t="s">
        <v>1617</v>
      </c>
      <c r="AH86" s="68"/>
      <c r="AI86" s="70" t="s">
        <v>86</v>
      </c>
      <c r="AJ86" s="70" t="s">
        <v>87</v>
      </c>
      <c r="AK86" s="68"/>
      <c r="AL86" s="68"/>
      <c r="AM86" s="70" t="s">
        <v>1618</v>
      </c>
      <c r="AN86" s="70" t="s">
        <v>2241</v>
      </c>
      <c r="AO86" s="70" t="s">
        <v>1619</v>
      </c>
      <c r="AP86" s="70" t="s">
        <v>2242</v>
      </c>
      <c r="AQ86" s="70" t="s">
        <v>1620</v>
      </c>
      <c r="AR86" s="70" t="s">
        <v>2243</v>
      </c>
      <c r="AS86" s="68"/>
      <c r="AT86" s="68"/>
      <c r="AU86" s="68"/>
      <c r="AV86" s="68"/>
      <c r="AW86" s="68"/>
      <c r="AX86" s="68"/>
      <c r="AY86" s="72">
        <v>17084.3</v>
      </c>
      <c r="AZ86" s="72">
        <v>0</v>
      </c>
      <c r="BA86" s="70" t="s">
        <v>67</v>
      </c>
      <c r="BB86" s="70" t="s">
        <v>1044</v>
      </c>
      <c r="BC86" s="70" t="s">
        <v>2889</v>
      </c>
      <c r="BD86" s="70" t="s">
        <v>1621</v>
      </c>
      <c r="BE86" s="70" t="s">
        <v>74</v>
      </c>
      <c r="BF86" s="70" t="s">
        <v>503</v>
      </c>
      <c r="BG86" s="70" t="s">
        <v>1622</v>
      </c>
      <c r="BH86" s="70"/>
      <c r="BI86" s="68"/>
      <c r="BJ86" s="68"/>
      <c r="BK86" s="70">
        <v>2</v>
      </c>
      <c r="BL86" s="70">
        <v>2</v>
      </c>
      <c r="BM86" s="70" t="s">
        <v>2847</v>
      </c>
    </row>
    <row r="87" spans="1:65" ht="14.4" customHeight="1" x14ac:dyDescent="0.3">
      <c r="A87" s="1" t="str">
        <f t="shared" ref="A87:A146" si="2">H87</f>
        <v>001587</v>
      </c>
      <c r="B87" s="70" t="s">
        <v>61</v>
      </c>
      <c r="C87" s="70" t="s">
        <v>194</v>
      </c>
      <c r="D87" s="70" t="s">
        <v>588</v>
      </c>
      <c r="E87" s="70" t="s">
        <v>589</v>
      </c>
      <c r="F87" s="70" t="s">
        <v>590</v>
      </c>
      <c r="G87" s="70" t="s">
        <v>2763</v>
      </c>
      <c r="H87" s="70" t="s">
        <v>2244</v>
      </c>
      <c r="I87" s="70" t="s">
        <v>67</v>
      </c>
      <c r="J87" s="70" t="s">
        <v>1674</v>
      </c>
      <c r="K87" s="71">
        <v>45855</v>
      </c>
      <c r="L87" s="71">
        <v>46023</v>
      </c>
      <c r="M87" s="72">
        <v>10000</v>
      </c>
      <c r="N87" s="72">
        <v>10534.08</v>
      </c>
      <c r="O87" s="73">
        <v>19</v>
      </c>
      <c r="P87" s="73">
        <v>12</v>
      </c>
      <c r="Q87" s="70" t="s">
        <v>496</v>
      </c>
      <c r="R87" s="72">
        <v>1288.8</v>
      </c>
      <c r="S87" s="72">
        <v>696</v>
      </c>
      <c r="T87" s="72">
        <v>580</v>
      </c>
      <c r="U87" s="72">
        <v>6</v>
      </c>
      <c r="V87" s="72">
        <v>1.5</v>
      </c>
      <c r="W87" s="72">
        <v>6812.89</v>
      </c>
      <c r="X87" s="72">
        <v>2536.8114432000002</v>
      </c>
      <c r="Y87" s="72">
        <v>1545.8500000000001</v>
      </c>
      <c r="Z87" s="72">
        <v>352.96</v>
      </c>
      <c r="AA87" s="72">
        <v>58</v>
      </c>
      <c r="AB87" s="72">
        <v>580</v>
      </c>
      <c r="AC87" s="72">
        <v>1200</v>
      </c>
      <c r="AD87" s="71">
        <v>45937</v>
      </c>
      <c r="AE87" s="70" t="s">
        <v>69</v>
      </c>
      <c r="AF87" s="70" t="s">
        <v>2245</v>
      </c>
      <c r="AG87" s="70" t="s">
        <v>1675</v>
      </c>
      <c r="AH87" s="68"/>
      <c r="AI87" s="70" t="s">
        <v>393</v>
      </c>
      <c r="AJ87" s="70" t="s">
        <v>394</v>
      </c>
      <c r="AK87" s="70" t="s">
        <v>1676</v>
      </c>
      <c r="AL87" s="68"/>
      <c r="AM87" s="70" t="s">
        <v>1677</v>
      </c>
      <c r="AN87" s="70" t="s">
        <v>2246</v>
      </c>
      <c r="AO87" s="70" t="s">
        <v>1678</v>
      </c>
      <c r="AP87" s="70" t="s">
        <v>2247</v>
      </c>
      <c r="AQ87" s="70" t="s">
        <v>1679</v>
      </c>
      <c r="AR87" s="70" t="s">
        <v>2248</v>
      </c>
      <c r="AS87" s="68"/>
      <c r="AT87" s="68"/>
      <c r="AU87" s="68"/>
      <c r="AV87" s="68"/>
      <c r="AW87" s="68"/>
      <c r="AX87" s="68"/>
      <c r="AY87" s="72">
        <v>9921.6200000000008</v>
      </c>
      <c r="AZ87" s="72">
        <v>0</v>
      </c>
      <c r="BA87" s="70" t="s">
        <v>67</v>
      </c>
      <c r="BB87" s="70" t="s">
        <v>1044</v>
      </c>
      <c r="BC87" s="70" t="s">
        <v>2867</v>
      </c>
      <c r="BD87" s="70" t="s">
        <v>1680</v>
      </c>
      <c r="BE87" s="70" t="s">
        <v>74</v>
      </c>
      <c r="BF87" s="70" t="s">
        <v>503</v>
      </c>
      <c r="BG87" s="70" t="s">
        <v>1681</v>
      </c>
      <c r="BH87" s="70"/>
      <c r="BI87" s="68"/>
      <c r="BJ87" s="68"/>
      <c r="BK87" s="70">
        <v>6</v>
      </c>
      <c r="BL87" s="70">
        <v>6</v>
      </c>
      <c r="BM87" s="70" t="s">
        <v>2847</v>
      </c>
    </row>
    <row r="88" spans="1:65" ht="14.4" customHeight="1" x14ac:dyDescent="0.3">
      <c r="A88" s="1" t="str">
        <f t="shared" si="2"/>
        <v>001283</v>
      </c>
      <c r="B88" s="70" t="s">
        <v>61</v>
      </c>
      <c r="C88" s="70" t="s">
        <v>194</v>
      </c>
      <c r="D88" s="70" t="s">
        <v>408</v>
      </c>
      <c r="E88" s="70" t="s">
        <v>409</v>
      </c>
      <c r="F88" s="70" t="s">
        <v>590</v>
      </c>
      <c r="G88" s="70" t="s">
        <v>2763</v>
      </c>
      <c r="H88" s="70" t="s">
        <v>2086</v>
      </c>
      <c r="I88" s="70" t="s">
        <v>67</v>
      </c>
      <c r="J88" s="70" t="s">
        <v>495</v>
      </c>
      <c r="K88" s="71">
        <v>45777</v>
      </c>
      <c r="L88" s="71">
        <v>45945</v>
      </c>
      <c r="M88" s="72">
        <v>5000</v>
      </c>
      <c r="N88" s="72">
        <v>5267.04</v>
      </c>
      <c r="O88" s="73">
        <v>0</v>
      </c>
      <c r="P88" s="73">
        <v>12</v>
      </c>
      <c r="Q88" s="70" t="s">
        <v>496</v>
      </c>
      <c r="R88" s="72">
        <v>673.4</v>
      </c>
      <c r="S88" s="72">
        <v>696</v>
      </c>
      <c r="T88" s="72">
        <v>0</v>
      </c>
      <c r="U88" s="72">
        <v>11</v>
      </c>
      <c r="V88" s="72">
        <v>0</v>
      </c>
      <c r="W88" s="72">
        <v>438.92</v>
      </c>
      <c r="X88" s="72">
        <v>0</v>
      </c>
      <c r="Y88" s="72">
        <v>0</v>
      </c>
      <c r="Z88" s="72">
        <v>0</v>
      </c>
      <c r="AA88" s="74">
        <v>0</v>
      </c>
      <c r="AB88" s="72">
        <v>0</v>
      </c>
      <c r="AC88" s="72">
        <v>674</v>
      </c>
      <c r="AD88" s="71">
        <v>45931</v>
      </c>
      <c r="AE88" s="70" t="s">
        <v>69</v>
      </c>
      <c r="AF88" s="70" t="s">
        <v>2813</v>
      </c>
      <c r="AG88" s="70" t="s">
        <v>2814</v>
      </c>
      <c r="AH88" s="68"/>
      <c r="AI88" s="70" t="s">
        <v>497</v>
      </c>
      <c r="AJ88" s="70" t="s">
        <v>2087</v>
      </c>
      <c r="AK88" s="68"/>
      <c r="AL88" s="68"/>
      <c r="AM88" s="70" t="s">
        <v>810</v>
      </c>
      <c r="AN88" s="70" t="s">
        <v>2088</v>
      </c>
      <c r="AO88" s="70" t="s">
        <v>808</v>
      </c>
      <c r="AP88" s="70" t="s">
        <v>2089</v>
      </c>
      <c r="AQ88" s="70" t="s">
        <v>809</v>
      </c>
      <c r="AR88" s="70" t="s">
        <v>2090</v>
      </c>
      <c r="AS88" s="68"/>
      <c r="AT88" s="68"/>
      <c r="AU88" s="68"/>
      <c r="AV88" s="68"/>
      <c r="AW88" s="68"/>
      <c r="AX88" s="68"/>
      <c r="AY88" s="72">
        <v>609.81000000000006</v>
      </c>
      <c r="AZ88" s="72">
        <v>5.59</v>
      </c>
      <c r="BA88" s="70" t="s">
        <v>67</v>
      </c>
      <c r="BB88" s="70" t="s">
        <v>1044</v>
      </c>
      <c r="BC88" s="70" t="s">
        <v>3006</v>
      </c>
      <c r="BD88" s="70" t="s">
        <v>430</v>
      </c>
      <c r="BE88" s="70" t="s">
        <v>74</v>
      </c>
      <c r="BF88" s="70" t="s">
        <v>194</v>
      </c>
      <c r="BG88" s="68"/>
      <c r="BI88" s="68"/>
      <c r="BJ88" s="68"/>
      <c r="BK88" s="70">
        <v>1</v>
      </c>
      <c r="BL88" s="70">
        <v>1</v>
      </c>
      <c r="BM88" s="70" t="s">
        <v>2847</v>
      </c>
    </row>
    <row r="89" spans="1:65" ht="14.4" customHeight="1" x14ac:dyDescent="0.3">
      <c r="A89" s="1" t="str">
        <f t="shared" si="2"/>
        <v>001315</v>
      </c>
      <c r="B89" s="70" t="s">
        <v>61</v>
      </c>
      <c r="C89" s="70" t="s">
        <v>194</v>
      </c>
      <c r="D89" s="70" t="s">
        <v>588</v>
      </c>
      <c r="E89" s="70" t="s">
        <v>589</v>
      </c>
      <c r="F89" s="70" t="s">
        <v>590</v>
      </c>
      <c r="G89" s="70" t="s">
        <v>2763</v>
      </c>
      <c r="H89" s="70" t="s">
        <v>566</v>
      </c>
      <c r="I89" s="70" t="s">
        <v>67</v>
      </c>
      <c r="J89" s="70" t="s">
        <v>567</v>
      </c>
      <c r="K89" s="71">
        <v>45791</v>
      </c>
      <c r="L89" s="71">
        <v>45959</v>
      </c>
      <c r="M89" s="72">
        <v>12000</v>
      </c>
      <c r="N89" s="72">
        <v>12640.89</v>
      </c>
      <c r="O89" s="73">
        <v>0</v>
      </c>
      <c r="P89" s="73">
        <v>24</v>
      </c>
      <c r="Q89" s="70" t="s">
        <v>469</v>
      </c>
      <c r="R89" s="72">
        <v>796.48</v>
      </c>
      <c r="S89" s="72">
        <v>1392</v>
      </c>
      <c r="T89" s="72">
        <v>0</v>
      </c>
      <c r="U89" s="72">
        <v>21</v>
      </c>
      <c r="V89" s="72">
        <v>0</v>
      </c>
      <c r="W89" s="72">
        <v>1580.1100000000001</v>
      </c>
      <c r="X89" s="72">
        <v>0</v>
      </c>
      <c r="Y89" s="72">
        <v>0</v>
      </c>
      <c r="Z89" s="72">
        <v>0</v>
      </c>
      <c r="AA89" s="74">
        <v>0</v>
      </c>
      <c r="AB89" s="72">
        <v>0</v>
      </c>
      <c r="AC89" s="72">
        <v>797</v>
      </c>
      <c r="AD89" s="71">
        <v>45938</v>
      </c>
      <c r="AE89" s="70" t="s">
        <v>69</v>
      </c>
      <c r="AF89" s="70" t="s">
        <v>568</v>
      </c>
      <c r="AG89" s="70" t="s">
        <v>569</v>
      </c>
      <c r="AH89" s="68"/>
      <c r="AI89" s="70" t="s">
        <v>379</v>
      </c>
      <c r="AJ89" s="70" t="s">
        <v>380</v>
      </c>
      <c r="AK89" s="68"/>
      <c r="AL89" s="68"/>
      <c r="AM89" s="70" t="s">
        <v>863</v>
      </c>
      <c r="AN89" s="70" t="s">
        <v>1274</v>
      </c>
      <c r="AO89" s="70" t="s">
        <v>860</v>
      </c>
      <c r="AP89" s="70" t="s">
        <v>861</v>
      </c>
      <c r="AQ89" s="70" t="s">
        <v>862</v>
      </c>
      <c r="AR89" s="70" t="s">
        <v>1275</v>
      </c>
      <c r="AS89" s="68"/>
      <c r="AT89" s="68"/>
      <c r="AU89" s="68"/>
      <c r="AV89" s="68"/>
      <c r="AW89" s="68"/>
      <c r="AX89" s="68"/>
      <c r="AY89" s="72">
        <v>2209.54</v>
      </c>
      <c r="AZ89" s="72">
        <v>5.9033302000000001</v>
      </c>
      <c r="BA89" s="70" t="s">
        <v>67</v>
      </c>
      <c r="BB89" s="70" t="s">
        <v>1044</v>
      </c>
      <c r="BC89" s="70" t="s">
        <v>2978</v>
      </c>
      <c r="BD89" s="70" t="s">
        <v>570</v>
      </c>
      <c r="BE89" s="70" t="s">
        <v>74</v>
      </c>
      <c r="BF89" s="70" t="s">
        <v>503</v>
      </c>
      <c r="BG89" s="68"/>
      <c r="BI89" s="68"/>
      <c r="BJ89" s="68"/>
      <c r="BK89" s="70">
        <v>7</v>
      </c>
      <c r="BL89" s="70">
        <v>3</v>
      </c>
      <c r="BM89" s="70" t="s">
        <v>2847</v>
      </c>
    </row>
    <row r="90" spans="1:65" ht="14.4" customHeight="1" x14ac:dyDescent="0.3">
      <c r="A90" s="1" t="str">
        <f t="shared" si="2"/>
        <v>001261</v>
      </c>
      <c r="B90" s="70" t="s">
        <v>61</v>
      </c>
      <c r="C90" s="70" t="s">
        <v>194</v>
      </c>
      <c r="D90" s="70" t="s">
        <v>408</v>
      </c>
      <c r="E90" s="70" t="s">
        <v>409</v>
      </c>
      <c r="F90" s="70" t="s">
        <v>590</v>
      </c>
      <c r="G90" s="70" t="s">
        <v>2763</v>
      </c>
      <c r="H90" s="70" t="s">
        <v>2091</v>
      </c>
      <c r="I90" s="70" t="s">
        <v>67</v>
      </c>
      <c r="J90" s="70" t="s">
        <v>413</v>
      </c>
      <c r="K90" s="71">
        <v>45770</v>
      </c>
      <c r="L90" s="71">
        <v>46135</v>
      </c>
      <c r="M90" s="72">
        <v>10000</v>
      </c>
      <c r="N90" s="72">
        <v>10534.08</v>
      </c>
      <c r="O90" s="73">
        <v>21</v>
      </c>
      <c r="P90" s="73">
        <v>12</v>
      </c>
      <c r="Q90" s="70" t="s">
        <v>68</v>
      </c>
      <c r="R90" s="72">
        <v>1702.69</v>
      </c>
      <c r="S90" s="72">
        <v>696</v>
      </c>
      <c r="T90" s="72">
        <v>580</v>
      </c>
      <c r="U90" s="72">
        <v>0</v>
      </c>
      <c r="V90" s="72">
        <v>1</v>
      </c>
      <c r="W90" s="72">
        <v>7022.72</v>
      </c>
      <c r="X90" s="72">
        <v>2281.46</v>
      </c>
      <c r="Y90" s="72">
        <v>877.84</v>
      </c>
      <c r="Z90" s="72">
        <v>766.85</v>
      </c>
      <c r="AA90" s="72">
        <v>56.77</v>
      </c>
      <c r="AB90" s="72">
        <v>580</v>
      </c>
      <c r="AC90" s="72">
        <v>1703</v>
      </c>
      <c r="AD90" s="71">
        <v>45909</v>
      </c>
      <c r="AE90" s="70" t="s">
        <v>69</v>
      </c>
      <c r="AF90" s="70" t="s">
        <v>2092</v>
      </c>
      <c r="AG90" s="70" t="s">
        <v>432</v>
      </c>
      <c r="AH90" s="68"/>
      <c r="AI90" s="70" t="s">
        <v>425</v>
      </c>
      <c r="AJ90" s="70" t="s">
        <v>2093</v>
      </c>
      <c r="AK90" s="68"/>
      <c r="AL90" s="68"/>
      <c r="AM90" s="70" t="s">
        <v>817</v>
      </c>
      <c r="AN90" s="70" t="s">
        <v>2094</v>
      </c>
      <c r="AO90" s="70" t="s">
        <v>815</v>
      </c>
      <c r="AP90" s="70" t="s">
        <v>2095</v>
      </c>
      <c r="AQ90" s="70" t="s">
        <v>816</v>
      </c>
      <c r="AR90" s="70" t="s">
        <v>2096</v>
      </c>
      <c r="AS90" s="68"/>
      <c r="AT90" s="68"/>
      <c r="AU90" s="68"/>
      <c r="AV90" s="68"/>
      <c r="AW90" s="68"/>
      <c r="AX90" s="68"/>
      <c r="AY90" s="72">
        <v>13794.300000000001</v>
      </c>
      <c r="AZ90" s="72">
        <v>0</v>
      </c>
      <c r="BA90" s="70" t="s">
        <v>67</v>
      </c>
      <c r="BB90" s="70" t="s">
        <v>1044</v>
      </c>
      <c r="BC90" s="70" t="s">
        <v>3010</v>
      </c>
      <c r="BD90" s="70" t="s">
        <v>414</v>
      </c>
      <c r="BE90" s="70" t="s">
        <v>74</v>
      </c>
      <c r="BF90" s="70" t="s">
        <v>415</v>
      </c>
      <c r="BG90" s="68"/>
      <c r="BI90" s="68"/>
      <c r="BJ90" s="68"/>
      <c r="BK90" s="70">
        <v>2</v>
      </c>
      <c r="BL90" s="70">
        <v>2</v>
      </c>
      <c r="BM90" s="70" t="s">
        <v>2847</v>
      </c>
    </row>
    <row r="91" spans="1:65" ht="14.4" customHeight="1" x14ac:dyDescent="0.3">
      <c r="A91" s="1" t="str">
        <f t="shared" si="2"/>
        <v>001445</v>
      </c>
      <c r="B91" s="70" t="s">
        <v>61</v>
      </c>
      <c r="C91" s="70" t="s">
        <v>194</v>
      </c>
      <c r="D91" s="70" t="s">
        <v>588</v>
      </c>
      <c r="E91" s="70" t="s">
        <v>589</v>
      </c>
      <c r="F91" s="70" t="s">
        <v>590</v>
      </c>
      <c r="G91" s="70" t="s">
        <v>2763</v>
      </c>
      <c r="H91" s="70" t="s">
        <v>2260</v>
      </c>
      <c r="I91" s="70" t="s">
        <v>67</v>
      </c>
      <c r="J91" s="70" t="s">
        <v>1342</v>
      </c>
      <c r="K91" s="71">
        <v>45833</v>
      </c>
      <c r="L91" s="71">
        <v>46001</v>
      </c>
      <c r="M91" s="72">
        <v>10000</v>
      </c>
      <c r="N91" s="72">
        <v>10534.08</v>
      </c>
      <c r="O91" s="73">
        <v>0</v>
      </c>
      <c r="P91" s="73">
        <v>12</v>
      </c>
      <c r="Q91" s="70" t="s">
        <v>496</v>
      </c>
      <c r="R91" s="72">
        <v>1288.8</v>
      </c>
      <c r="S91" s="72">
        <v>696</v>
      </c>
      <c r="T91" s="72">
        <v>0</v>
      </c>
      <c r="U91" s="72">
        <v>7</v>
      </c>
      <c r="V91" s="72">
        <v>0</v>
      </c>
      <c r="W91" s="72">
        <v>4389.21</v>
      </c>
      <c r="X91" s="72">
        <v>1.33504E-2</v>
      </c>
      <c r="Y91" s="72">
        <v>0.01</v>
      </c>
      <c r="Z91" s="72">
        <v>0</v>
      </c>
      <c r="AA91" s="72">
        <v>0</v>
      </c>
      <c r="AB91" s="72">
        <v>0</v>
      </c>
      <c r="AC91" s="72">
        <v>1288.8</v>
      </c>
      <c r="AD91" s="71">
        <v>45931</v>
      </c>
      <c r="AE91" s="70" t="s">
        <v>69</v>
      </c>
      <c r="AF91" s="70" t="s">
        <v>2261</v>
      </c>
      <c r="AG91" s="70" t="s">
        <v>1343</v>
      </c>
      <c r="AH91" s="68"/>
      <c r="AI91" s="70" t="s">
        <v>425</v>
      </c>
      <c r="AJ91" s="70" t="s">
        <v>2093</v>
      </c>
      <c r="AK91" s="68"/>
      <c r="AL91" s="68"/>
      <c r="AM91" s="70" t="s">
        <v>1344</v>
      </c>
      <c r="AN91" s="70" t="s">
        <v>2262</v>
      </c>
      <c r="AO91" s="70" t="s">
        <v>1345</v>
      </c>
      <c r="AP91" s="70" t="s">
        <v>2263</v>
      </c>
      <c r="AQ91" s="70" t="s">
        <v>1346</v>
      </c>
      <c r="AR91" s="70" t="s">
        <v>2264</v>
      </c>
      <c r="AS91" s="68"/>
      <c r="AT91" s="68"/>
      <c r="AU91" s="68"/>
      <c r="AV91" s="68"/>
      <c r="AW91" s="68"/>
      <c r="AX91" s="68"/>
      <c r="AY91" s="72">
        <v>6154.02</v>
      </c>
      <c r="AZ91" s="72">
        <v>0</v>
      </c>
      <c r="BA91" s="70" t="s">
        <v>67</v>
      </c>
      <c r="BB91" s="70" t="s">
        <v>1044</v>
      </c>
      <c r="BC91" s="70" t="s">
        <v>3011</v>
      </c>
      <c r="BD91" s="70" t="s">
        <v>414</v>
      </c>
      <c r="BE91" s="70" t="s">
        <v>74</v>
      </c>
      <c r="BF91" s="70" t="s">
        <v>415</v>
      </c>
      <c r="BG91" s="70" t="s">
        <v>1347</v>
      </c>
      <c r="BH91" s="70"/>
      <c r="BI91" s="68"/>
      <c r="BJ91" s="68"/>
      <c r="BK91" s="70">
        <v>0</v>
      </c>
      <c r="BL91" s="70">
        <v>0</v>
      </c>
      <c r="BM91" s="70" t="s">
        <v>2847</v>
      </c>
    </row>
    <row r="92" spans="1:65" ht="14.4" customHeight="1" x14ac:dyDescent="0.3">
      <c r="A92" s="1" t="str">
        <f t="shared" si="2"/>
        <v>001649</v>
      </c>
      <c r="B92" s="70" t="s">
        <v>61</v>
      </c>
      <c r="C92" s="70" t="s">
        <v>194</v>
      </c>
      <c r="D92" s="70" t="s">
        <v>594</v>
      </c>
      <c r="E92" s="70" t="s">
        <v>595</v>
      </c>
      <c r="F92" s="70" t="s">
        <v>590</v>
      </c>
      <c r="G92" s="70" t="s">
        <v>2763</v>
      </c>
      <c r="H92" s="70" t="s">
        <v>2619</v>
      </c>
      <c r="I92" s="70" t="s">
        <v>67</v>
      </c>
      <c r="J92" s="70" t="s">
        <v>2620</v>
      </c>
      <c r="K92" s="71">
        <v>45873</v>
      </c>
      <c r="L92" s="71">
        <v>46057</v>
      </c>
      <c r="M92" s="72">
        <v>5000</v>
      </c>
      <c r="N92" s="72">
        <v>5267.04</v>
      </c>
      <c r="O92" s="73">
        <v>0</v>
      </c>
      <c r="P92" s="73">
        <v>6</v>
      </c>
      <c r="Q92" s="70" t="s">
        <v>68</v>
      </c>
      <c r="R92" s="72">
        <v>1322.42</v>
      </c>
      <c r="S92" s="72">
        <v>348</v>
      </c>
      <c r="T92" s="72">
        <v>0</v>
      </c>
      <c r="U92" s="72">
        <v>0</v>
      </c>
      <c r="V92" s="72">
        <v>0</v>
      </c>
      <c r="W92" s="72">
        <v>3511.36</v>
      </c>
      <c r="X92" s="72">
        <v>0</v>
      </c>
      <c r="Y92" s="72">
        <v>0</v>
      </c>
      <c r="Z92" s="72">
        <v>0</v>
      </c>
      <c r="AA92" s="74">
        <v>0</v>
      </c>
      <c r="AB92" s="72">
        <v>0</v>
      </c>
      <c r="AC92" s="72">
        <v>1322.42</v>
      </c>
      <c r="AD92" s="71">
        <v>45936</v>
      </c>
      <c r="AE92" s="70" t="s">
        <v>69</v>
      </c>
      <c r="AF92" s="70" t="s">
        <v>2835</v>
      </c>
      <c r="AG92" s="70" t="s">
        <v>2621</v>
      </c>
      <c r="AH92" s="68"/>
      <c r="AI92" s="70" t="s">
        <v>2622</v>
      </c>
      <c r="AJ92" s="70" t="s">
        <v>2623</v>
      </c>
      <c r="AK92" s="70" t="s">
        <v>2624</v>
      </c>
      <c r="AL92" s="68"/>
      <c r="AM92" s="70" t="s">
        <v>2625</v>
      </c>
      <c r="AN92" s="70" t="s">
        <v>2626</v>
      </c>
      <c r="AO92" s="70" t="s">
        <v>2627</v>
      </c>
      <c r="AP92" s="70" t="s">
        <v>2628</v>
      </c>
      <c r="AQ92" s="70" t="s">
        <v>2629</v>
      </c>
      <c r="AR92" s="70" t="s">
        <v>2630</v>
      </c>
      <c r="AS92" s="68"/>
      <c r="AT92" s="68"/>
      <c r="AU92" s="68"/>
      <c r="AV92" s="68"/>
      <c r="AW92" s="68"/>
      <c r="AX92" s="68"/>
      <c r="AY92" s="72">
        <v>5057.66</v>
      </c>
      <c r="AZ92" s="72">
        <v>0.01</v>
      </c>
      <c r="BA92" s="70" t="s">
        <v>67</v>
      </c>
      <c r="BB92" s="70" t="s">
        <v>1044</v>
      </c>
      <c r="BC92" s="70" t="s">
        <v>2942</v>
      </c>
      <c r="BD92" s="70" t="s">
        <v>2631</v>
      </c>
      <c r="BE92" s="70" t="s">
        <v>74</v>
      </c>
      <c r="BF92" s="70" t="s">
        <v>194</v>
      </c>
      <c r="BG92" s="70" t="s">
        <v>2632</v>
      </c>
      <c r="BH92" s="70"/>
      <c r="BI92" s="68"/>
      <c r="BJ92" s="68"/>
      <c r="BK92" s="70">
        <v>0</v>
      </c>
      <c r="BL92" s="70">
        <v>0</v>
      </c>
      <c r="BM92" s="70" t="s">
        <v>2847</v>
      </c>
    </row>
    <row r="93" spans="1:65" ht="14.4" customHeight="1" x14ac:dyDescent="0.3">
      <c r="A93" s="1" t="str">
        <f t="shared" si="2"/>
        <v>001311</v>
      </c>
      <c r="B93" s="70" t="s">
        <v>61</v>
      </c>
      <c r="C93" s="70" t="s">
        <v>194</v>
      </c>
      <c r="D93" s="70" t="s">
        <v>408</v>
      </c>
      <c r="E93" s="70" t="s">
        <v>409</v>
      </c>
      <c r="F93" s="70" t="s">
        <v>590</v>
      </c>
      <c r="G93" s="70" t="s">
        <v>2763</v>
      </c>
      <c r="H93" s="70" t="s">
        <v>2097</v>
      </c>
      <c r="I93" s="70" t="s">
        <v>67</v>
      </c>
      <c r="J93" s="70" t="s">
        <v>556</v>
      </c>
      <c r="K93" s="71">
        <v>45786</v>
      </c>
      <c r="L93" s="71">
        <v>45970</v>
      </c>
      <c r="M93" s="72">
        <v>20000</v>
      </c>
      <c r="N93" s="72">
        <v>21068.16</v>
      </c>
      <c r="O93" s="73">
        <v>0</v>
      </c>
      <c r="P93" s="73">
        <v>6</v>
      </c>
      <c r="Q93" s="70" t="s">
        <v>68</v>
      </c>
      <c r="R93" s="72">
        <v>5115.67</v>
      </c>
      <c r="S93" s="72">
        <v>348</v>
      </c>
      <c r="T93" s="72">
        <v>0</v>
      </c>
      <c r="U93" s="72">
        <v>0</v>
      </c>
      <c r="V93" s="72">
        <v>0</v>
      </c>
      <c r="W93" s="72">
        <v>3511.36</v>
      </c>
      <c r="X93" s="72">
        <v>0</v>
      </c>
      <c r="Y93" s="72">
        <v>0</v>
      </c>
      <c r="Z93" s="72">
        <v>0</v>
      </c>
      <c r="AA93" s="74">
        <v>0</v>
      </c>
      <c r="AB93" s="72">
        <v>0</v>
      </c>
      <c r="AC93" s="72">
        <v>580</v>
      </c>
      <c r="AD93" s="71">
        <v>45941</v>
      </c>
      <c r="AE93" s="70" t="s">
        <v>69</v>
      </c>
      <c r="AF93" s="70" t="s">
        <v>2098</v>
      </c>
      <c r="AG93" s="70" t="s">
        <v>557</v>
      </c>
      <c r="AH93" s="68"/>
      <c r="AI93" s="70" t="s">
        <v>393</v>
      </c>
      <c r="AJ93" s="70" t="s">
        <v>394</v>
      </c>
      <c r="AK93" s="68"/>
      <c r="AL93" s="68"/>
      <c r="AM93" s="70" t="s">
        <v>820</v>
      </c>
      <c r="AN93" s="70" t="s">
        <v>2099</v>
      </c>
      <c r="AO93" s="70" t="s">
        <v>818</v>
      </c>
      <c r="AP93" s="70" t="s">
        <v>2100</v>
      </c>
      <c r="AQ93" s="70" t="s">
        <v>819</v>
      </c>
      <c r="AR93" s="70" t="s">
        <v>2101</v>
      </c>
      <c r="AS93" s="68"/>
      <c r="AT93" s="68"/>
      <c r="AU93" s="68"/>
      <c r="AV93" s="68"/>
      <c r="AW93" s="68"/>
      <c r="AX93" s="68"/>
      <c r="AY93" s="72">
        <v>5052.0200000000004</v>
      </c>
      <c r="AZ93" s="72">
        <v>5.6534613333333299</v>
      </c>
      <c r="BA93" s="70" t="s">
        <v>67</v>
      </c>
      <c r="BB93" s="70" t="s">
        <v>1044</v>
      </c>
      <c r="BC93" s="70" t="s">
        <v>2869</v>
      </c>
      <c r="BD93" s="70" t="s">
        <v>564</v>
      </c>
      <c r="BE93" s="70" t="s">
        <v>74</v>
      </c>
      <c r="BF93" s="70" t="s">
        <v>194</v>
      </c>
      <c r="BG93" s="68"/>
      <c r="BI93" s="68"/>
      <c r="BJ93" s="68"/>
      <c r="BK93" s="70">
        <v>1</v>
      </c>
      <c r="BL93" s="70">
        <v>1</v>
      </c>
      <c r="BM93" s="70" t="s">
        <v>2847</v>
      </c>
    </row>
    <row r="94" spans="1:65" ht="14.4" customHeight="1" x14ac:dyDescent="0.3">
      <c r="A94" s="1" t="str">
        <f t="shared" si="2"/>
        <v>001759</v>
      </c>
      <c r="B94" s="70" t="s">
        <v>61</v>
      </c>
      <c r="C94" s="70" t="s">
        <v>194</v>
      </c>
      <c r="D94" s="70" t="s">
        <v>588</v>
      </c>
      <c r="E94" s="70" t="s">
        <v>589</v>
      </c>
      <c r="F94" s="70" t="s">
        <v>590</v>
      </c>
      <c r="G94" s="70" t="s">
        <v>2763</v>
      </c>
      <c r="H94" s="70" t="s">
        <v>2768</v>
      </c>
      <c r="I94" s="70" t="s">
        <v>67</v>
      </c>
      <c r="J94" s="70" t="s">
        <v>2769</v>
      </c>
      <c r="K94" s="71">
        <v>45889</v>
      </c>
      <c r="L94" s="71">
        <v>46073</v>
      </c>
      <c r="M94" s="72">
        <v>8000</v>
      </c>
      <c r="N94" s="72">
        <v>8427.26</v>
      </c>
      <c r="O94" s="73">
        <v>0</v>
      </c>
      <c r="P94" s="73">
        <v>6</v>
      </c>
      <c r="Q94" s="70" t="s">
        <v>68</v>
      </c>
      <c r="R94" s="72">
        <v>2081.0700000000002</v>
      </c>
      <c r="S94" s="72">
        <v>348</v>
      </c>
      <c r="T94" s="72">
        <v>0</v>
      </c>
      <c r="U94" s="72">
        <v>0</v>
      </c>
      <c r="V94" s="72">
        <v>0</v>
      </c>
      <c r="W94" s="72">
        <v>7022.72</v>
      </c>
      <c r="X94" s="72">
        <v>0</v>
      </c>
      <c r="Y94" s="72">
        <v>0</v>
      </c>
      <c r="Z94" s="72">
        <v>0</v>
      </c>
      <c r="AA94" s="74">
        <v>0</v>
      </c>
      <c r="AB94" s="72">
        <v>0</v>
      </c>
      <c r="AC94" s="72">
        <v>2081.0700000000002</v>
      </c>
      <c r="AD94" s="71">
        <v>45920</v>
      </c>
      <c r="AE94" s="70" t="s">
        <v>69</v>
      </c>
      <c r="AF94" s="70" t="s">
        <v>2770</v>
      </c>
      <c r="AG94" s="70" t="s">
        <v>2771</v>
      </c>
      <c r="AH94" s="68"/>
      <c r="AI94" s="70" t="s">
        <v>2772</v>
      </c>
      <c r="AJ94" s="70" t="s">
        <v>2773</v>
      </c>
      <c r="AK94" s="70" t="s">
        <v>2774</v>
      </c>
      <c r="AL94" s="68"/>
      <c r="AM94" s="70" t="s">
        <v>2775</v>
      </c>
      <c r="AN94" s="70" t="s">
        <v>2776</v>
      </c>
      <c r="AO94" s="70" t="s">
        <v>2777</v>
      </c>
      <c r="AP94" s="70" t="s">
        <v>2778</v>
      </c>
      <c r="AQ94" s="70" t="s">
        <v>2779</v>
      </c>
      <c r="AR94" s="70" t="s">
        <v>2780</v>
      </c>
      <c r="AS94" s="68"/>
      <c r="AT94" s="68"/>
      <c r="AU94" s="68"/>
      <c r="AV94" s="68"/>
      <c r="AW94" s="68"/>
      <c r="AX94" s="68"/>
      <c r="AY94" s="72">
        <v>10115.33</v>
      </c>
      <c r="AZ94" s="72">
        <v>6.7000000000000002E-3</v>
      </c>
      <c r="BA94" s="70" t="s">
        <v>67</v>
      </c>
      <c r="BB94" s="70" t="s">
        <v>1044</v>
      </c>
      <c r="BC94" s="70" t="s">
        <v>2954</v>
      </c>
      <c r="BD94" s="70" t="s">
        <v>1680</v>
      </c>
      <c r="BE94" s="70" t="s">
        <v>74</v>
      </c>
      <c r="BF94" s="70" t="s">
        <v>503</v>
      </c>
      <c r="BG94" s="70" t="s">
        <v>2781</v>
      </c>
      <c r="BH94" s="70"/>
      <c r="BI94" s="68"/>
      <c r="BJ94" s="68"/>
      <c r="BK94" s="70">
        <v>0</v>
      </c>
      <c r="BL94" s="70">
        <v>0</v>
      </c>
      <c r="BM94" s="70" t="s">
        <v>2847</v>
      </c>
    </row>
    <row r="95" spans="1:65" ht="14.4" customHeight="1" x14ac:dyDescent="0.3">
      <c r="A95" s="1" t="str">
        <f t="shared" si="2"/>
        <v>001319</v>
      </c>
      <c r="B95" s="70" t="s">
        <v>61</v>
      </c>
      <c r="C95" s="70" t="s">
        <v>194</v>
      </c>
      <c r="D95" s="70" t="s">
        <v>588</v>
      </c>
      <c r="E95" s="70" t="s">
        <v>589</v>
      </c>
      <c r="F95" s="70" t="s">
        <v>590</v>
      </c>
      <c r="G95" s="70" t="s">
        <v>2763</v>
      </c>
      <c r="H95" s="70" t="s">
        <v>2265</v>
      </c>
      <c r="I95" s="70" t="s">
        <v>67</v>
      </c>
      <c r="J95" s="70" t="s">
        <v>591</v>
      </c>
      <c r="K95" s="71">
        <v>45792</v>
      </c>
      <c r="L95" s="71">
        <v>45976</v>
      </c>
      <c r="M95" s="72">
        <v>10000</v>
      </c>
      <c r="N95" s="72">
        <v>10534.08</v>
      </c>
      <c r="O95" s="73">
        <v>0</v>
      </c>
      <c r="P95" s="73">
        <v>6</v>
      </c>
      <c r="Q95" s="70" t="s">
        <v>68</v>
      </c>
      <c r="R95" s="72">
        <v>2586.83</v>
      </c>
      <c r="S95" s="72">
        <v>348</v>
      </c>
      <c r="T95" s="72">
        <v>0</v>
      </c>
      <c r="U95" s="72">
        <v>0</v>
      </c>
      <c r="V95" s="72">
        <v>0</v>
      </c>
      <c r="W95" s="72">
        <v>3511.38</v>
      </c>
      <c r="X95" s="72">
        <v>0.02</v>
      </c>
      <c r="Y95" s="72">
        <v>0.02</v>
      </c>
      <c r="Z95" s="72">
        <v>0</v>
      </c>
      <c r="AA95" s="72">
        <v>0</v>
      </c>
      <c r="AB95" s="72">
        <v>0</v>
      </c>
      <c r="AC95" s="72">
        <v>2586.83</v>
      </c>
      <c r="AD95" s="71">
        <v>45915</v>
      </c>
      <c r="AE95" s="70" t="s">
        <v>69</v>
      </c>
      <c r="AF95" s="70" t="s">
        <v>2266</v>
      </c>
      <c r="AG95" s="70" t="s">
        <v>592</v>
      </c>
      <c r="AH95" s="68"/>
      <c r="AI95" s="70" t="s">
        <v>89</v>
      </c>
      <c r="AJ95" s="70" t="s">
        <v>90</v>
      </c>
      <c r="AK95" s="68"/>
      <c r="AL95" s="68"/>
      <c r="AM95" s="70" t="s">
        <v>869</v>
      </c>
      <c r="AN95" s="70" t="s">
        <v>2267</v>
      </c>
      <c r="AO95" s="70" t="s">
        <v>867</v>
      </c>
      <c r="AP95" s="70" t="s">
        <v>2268</v>
      </c>
      <c r="AQ95" s="70" t="s">
        <v>868</v>
      </c>
      <c r="AR95" s="70" t="s">
        <v>2269</v>
      </c>
      <c r="AS95" s="68"/>
      <c r="AT95" s="68"/>
      <c r="AU95" s="68"/>
      <c r="AV95" s="68"/>
      <c r="AW95" s="68"/>
      <c r="AX95" s="68"/>
      <c r="AY95" s="72">
        <v>5057.6900000000005</v>
      </c>
      <c r="AZ95" s="72">
        <v>0</v>
      </c>
      <c r="BA95" s="70" t="s">
        <v>67</v>
      </c>
      <c r="BB95" s="70" t="s">
        <v>1044</v>
      </c>
      <c r="BC95" s="70" t="s">
        <v>2996</v>
      </c>
      <c r="BD95" s="70" t="s">
        <v>593</v>
      </c>
      <c r="BE95" s="70" t="s">
        <v>74</v>
      </c>
      <c r="BF95" s="70" t="s">
        <v>194</v>
      </c>
      <c r="BG95" s="68"/>
      <c r="BI95" s="68"/>
      <c r="BJ95" s="68"/>
      <c r="BK95" s="70">
        <v>0</v>
      </c>
      <c r="BL95" s="70">
        <v>0</v>
      </c>
      <c r="BM95" s="70" t="s">
        <v>2847</v>
      </c>
    </row>
    <row r="96" spans="1:65" ht="14.4" customHeight="1" x14ac:dyDescent="0.3">
      <c r="A96" s="1" t="str">
        <f t="shared" si="2"/>
        <v>001320</v>
      </c>
      <c r="B96" s="70" t="s">
        <v>61</v>
      </c>
      <c r="C96" s="70" t="s">
        <v>194</v>
      </c>
      <c r="D96" s="70" t="s">
        <v>588</v>
      </c>
      <c r="E96" s="70" t="s">
        <v>589</v>
      </c>
      <c r="F96" s="70" t="s">
        <v>590</v>
      </c>
      <c r="G96" s="70" t="s">
        <v>2763</v>
      </c>
      <c r="H96" s="70" t="s">
        <v>2270</v>
      </c>
      <c r="I96" s="70" t="s">
        <v>67</v>
      </c>
      <c r="J96" s="70" t="s">
        <v>585</v>
      </c>
      <c r="K96" s="71">
        <v>45792</v>
      </c>
      <c r="L96" s="71">
        <v>45960</v>
      </c>
      <c r="M96" s="72">
        <v>7000</v>
      </c>
      <c r="N96" s="72">
        <v>7373.85</v>
      </c>
      <c r="O96" s="73">
        <v>0</v>
      </c>
      <c r="P96" s="73">
        <v>12</v>
      </c>
      <c r="Q96" s="70" t="s">
        <v>496</v>
      </c>
      <c r="R96" s="72">
        <v>919.56000000000006</v>
      </c>
      <c r="S96" s="72">
        <v>696</v>
      </c>
      <c r="T96" s="72">
        <v>0</v>
      </c>
      <c r="U96" s="72">
        <v>10</v>
      </c>
      <c r="V96" s="72">
        <v>0</v>
      </c>
      <c r="W96" s="72">
        <v>1228.97</v>
      </c>
      <c r="X96" s="72">
        <v>0</v>
      </c>
      <c r="Y96" s="74">
        <v>0</v>
      </c>
      <c r="Z96" s="72">
        <v>0</v>
      </c>
      <c r="AA96" s="74">
        <v>0</v>
      </c>
      <c r="AB96" s="72">
        <v>0</v>
      </c>
      <c r="AC96" s="72">
        <v>920</v>
      </c>
      <c r="AD96" s="71">
        <v>45932</v>
      </c>
      <c r="AE96" s="70" t="s">
        <v>69</v>
      </c>
      <c r="AF96" s="70" t="s">
        <v>2271</v>
      </c>
      <c r="AG96" s="70" t="s">
        <v>586</v>
      </c>
      <c r="AH96" s="68"/>
      <c r="AI96" s="70" t="s">
        <v>283</v>
      </c>
      <c r="AJ96" s="70" t="s">
        <v>284</v>
      </c>
      <c r="AK96" s="68"/>
      <c r="AL96" s="68"/>
      <c r="AM96" s="70" t="s">
        <v>872</v>
      </c>
      <c r="AN96" s="70" t="s">
        <v>2272</v>
      </c>
      <c r="AO96" s="70" t="s">
        <v>870</v>
      </c>
      <c r="AP96" s="70" t="s">
        <v>2273</v>
      </c>
      <c r="AQ96" s="70" t="s">
        <v>871</v>
      </c>
      <c r="AR96" s="70" t="s">
        <v>2274</v>
      </c>
      <c r="AS96" s="68"/>
      <c r="AT96" s="68"/>
      <c r="AU96" s="68"/>
      <c r="AV96" s="68"/>
      <c r="AW96" s="68"/>
      <c r="AX96" s="68"/>
      <c r="AY96" s="72">
        <v>1708.73</v>
      </c>
      <c r="AZ96" s="72">
        <v>14.395000000000001</v>
      </c>
      <c r="BA96" s="70" t="s">
        <v>67</v>
      </c>
      <c r="BB96" s="70" t="s">
        <v>1044</v>
      </c>
      <c r="BC96" s="70" t="s">
        <v>2937</v>
      </c>
      <c r="BD96" s="70" t="s">
        <v>587</v>
      </c>
      <c r="BE96" s="70" t="s">
        <v>74</v>
      </c>
      <c r="BF96" s="70" t="s">
        <v>415</v>
      </c>
      <c r="BG96" s="68"/>
      <c r="BI96" s="68"/>
      <c r="BJ96" s="68"/>
      <c r="BK96" s="70">
        <v>0</v>
      </c>
      <c r="BL96" s="70">
        <v>0</v>
      </c>
      <c r="BM96" s="70" t="s">
        <v>2847</v>
      </c>
    </row>
    <row r="97" spans="1:65" ht="14.4" customHeight="1" x14ac:dyDescent="0.3">
      <c r="A97" s="1" t="str">
        <f t="shared" si="2"/>
        <v>001343</v>
      </c>
      <c r="B97" s="70" t="s">
        <v>61</v>
      </c>
      <c r="C97" s="70" t="s">
        <v>194</v>
      </c>
      <c r="D97" s="70" t="s">
        <v>588</v>
      </c>
      <c r="E97" s="70" t="s">
        <v>589</v>
      </c>
      <c r="F97" s="70" t="s">
        <v>590</v>
      </c>
      <c r="G97" s="70" t="s">
        <v>2763</v>
      </c>
      <c r="H97" s="70" t="s">
        <v>2275</v>
      </c>
      <c r="I97" s="70" t="s">
        <v>67</v>
      </c>
      <c r="J97" s="70" t="s">
        <v>672</v>
      </c>
      <c r="K97" s="71">
        <v>45804</v>
      </c>
      <c r="L97" s="71">
        <v>46169</v>
      </c>
      <c r="M97" s="72">
        <v>20000</v>
      </c>
      <c r="N97" s="72">
        <v>21068.16</v>
      </c>
      <c r="O97" s="73">
        <v>0</v>
      </c>
      <c r="P97" s="73">
        <v>12</v>
      </c>
      <c r="Q97" s="70" t="s">
        <v>68</v>
      </c>
      <c r="R97" s="72">
        <v>3347.38</v>
      </c>
      <c r="S97" s="72">
        <v>696</v>
      </c>
      <c r="T97" s="72">
        <v>0</v>
      </c>
      <c r="U97" s="72">
        <v>0</v>
      </c>
      <c r="V97" s="72">
        <v>0</v>
      </c>
      <c r="W97" s="72">
        <v>14045.44</v>
      </c>
      <c r="X97" s="72">
        <v>0</v>
      </c>
      <c r="Y97" s="72">
        <v>0</v>
      </c>
      <c r="Z97" s="72">
        <v>0</v>
      </c>
      <c r="AA97" s="74">
        <v>0</v>
      </c>
      <c r="AB97" s="72">
        <v>0</v>
      </c>
      <c r="AC97" s="72">
        <v>3348</v>
      </c>
      <c r="AD97" s="71">
        <v>45926</v>
      </c>
      <c r="AE97" s="70" t="s">
        <v>69</v>
      </c>
      <c r="AF97" s="70" t="s">
        <v>2276</v>
      </c>
      <c r="AG97" s="70" t="s">
        <v>673</v>
      </c>
      <c r="AH97" s="68"/>
      <c r="AI97" s="70" t="s">
        <v>674</v>
      </c>
      <c r="AJ97" s="70" t="s">
        <v>2119</v>
      </c>
      <c r="AK97" s="68"/>
      <c r="AL97" s="68"/>
      <c r="AM97" s="70" t="s">
        <v>875</v>
      </c>
      <c r="AN97" s="70" t="s">
        <v>2277</v>
      </c>
      <c r="AO97" s="70" t="s">
        <v>873</v>
      </c>
      <c r="AP97" s="70" t="s">
        <v>2278</v>
      </c>
      <c r="AQ97" s="70" t="s">
        <v>874</v>
      </c>
      <c r="AR97" s="70" t="s">
        <v>2279</v>
      </c>
      <c r="AS97" s="68"/>
      <c r="AT97" s="68"/>
      <c r="AU97" s="68"/>
      <c r="AV97" s="68"/>
      <c r="AW97" s="68"/>
      <c r="AX97" s="68"/>
      <c r="AY97" s="72">
        <v>26312.600000000002</v>
      </c>
      <c r="AZ97" s="72">
        <v>2.4700000000000002</v>
      </c>
      <c r="BA97" s="70" t="s">
        <v>67</v>
      </c>
      <c r="BB97" s="70" t="s">
        <v>1044</v>
      </c>
      <c r="BC97" s="70" t="s">
        <v>2974</v>
      </c>
      <c r="BD97" s="70" t="s">
        <v>675</v>
      </c>
      <c r="BE97" s="70" t="s">
        <v>74</v>
      </c>
      <c r="BF97" s="70" t="s">
        <v>503</v>
      </c>
      <c r="BG97" s="68"/>
      <c r="BI97" s="68"/>
      <c r="BJ97" s="68"/>
      <c r="BK97" s="70">
        <v>0</v>
      </c>
      <c r="BL97" s="70">
        <v>0</v>
      </c>
      <c r="BM97" s="70" t="s">
        <v>2847</v>
      </c>
    </row>
    <row r="98" spans="1:65" ht="14.4" customHeight="1" x14ac:dyDescent="0.3">
      <c r="A98" s="1" t="str">
        <f t="shared" si="2"/>
        <v>001747</v>
      </c>
      <c r="B98" s="70" t="s">
        <v>61</v>
      </c>
      <c r="C98" s="70" t="s">
        <v>194</v>
      </c>
      <c r="D98" s="70" t="s">
        <v>588</v>
      </c>
      <c r="E98" s="70" t="s">
        <v>589</v>
      </c>
      <c r="F98" s="70" t="s">
        <v>590</v>
      </c>
      <c r="G98" s="70" t="s">
        <v>2763</v>
      </c>
      <c r="H98" s="70" t="s">
        <v>2743</v>
      </c>
      <c r="I98" s="70" t="s">
        <v>67</v>
      </c>
      <c r="J98" s="70" t="s">
        <v>2744</v>
      </c>
      <c r="K98" s="71">
        <v>45883</v>
      </c>
      <c r="L98" s="71">
        <v>46248</v>
      </c>
      <c r="M98" s="72">
        <v>20000</v>
      </c>
      <c r="N98" s="72">
        <v>21068.16</v>
      </c>
      <c r="O98" s="73">
        <v>29</v>
      </c>
      <c r="P98" s="73">
        <v>12</v>
      </c>
      <c r="Q98" s="70" t="s">
        <v>68</v>
      </c>
      <c r="R98" s="72">
        <v>3347.38</v>
      </c>
      <c r="S98" s="72">
        <v>696</v>
      </c>
      <c r="T98" s="72">
        <v>0</v>
      </c>
      <c r="U98" s="72">
        <v>0</v>
      </c>
      <c r="V98" s="72">
        <v>1</v>
      </c>
      <c r="W98" s="72">
        <v>19389.86</v>
      </c>
      <c r="X98" s="72">
        <v>3424.77</v>
      </c>
      <c r="Y98" s="72">
        <v>1833.06</v>
      </c>
      <c r="Z98" s="72">
        <v>1533.71</v>
      </c>
      <c r="AA98" s="72">
        <v>58</v>
      </c>
      <c r="AB98" s="72">
        <v>0</v>
      </c>
      <c r="AC98" s="72">
        <v>3850</v>
      </c>
      <c r="AD98" s="71">
        <v>45924</v>
      </c>
      <c r="AE98" s="70" t="s">
        <v>69</v>
      </c>
      <c r="AF98" s="70" t="s">
        <v>2745</v>
      </c>
      <c r="AG98" s="70" t="s">
        <v>2746</v>
      </c>
      <c r="AH98" s="68"/>
      <c r="AI98" s="70" t="s">
        <v>393</v>
      </c>
      <c r="AJ98" s="70" t="s">
        <v>394</v>
      </c>
      <c r="AK98" s="70" t="s">
        <v>2747</v>
      </c>
      <c r="AL98" s="68"/>
      <c r="AM98" s="70" t="s">
        <v>2748</v>
      </c>
      <c r="AN98" s="70" t="s">
        <v>2749</v>
      </c>
      <c r="AO98" s="70" t="s">
        <v>2750</v>
      </c>
      <c r="AP98" s="70" t="s">
        <v>2751</v>
      </c>
      <c r="AQ98" s="70" t="s">
        <v>2752</v>
      </c>
      <c r="AR98" s="70" t="s">
        <v>2753</v>
      </c>
      <c r="AS98" s="68"/>
      <c r="AT98" s="68"/>
      <c r="AU98" s="68"/>
      <c r="AV98" s="68"/>
      <c r="AW98" s="68"/>
      <c r="AX98" s="68"/>
      <c r="AY98" s="72">
        <v>36318.6</v>
      </c>
      <c r="AZ98" s="72">
        <v>0</v>
      </c>
      <c r="BA98" s="70" t="s">
        <v>67</v>
      </c>
      <c r="BB98" s="70" t="s">
        <v>1044</v>
      </c>
      <c r="BC98" s="70" t="s">
        <v>2870</v>
      </c>
      <c r="BD98" s="70" t="s">
        <v>2754</v>
      </c>
      <c r="BE98" s="70" t="s">
        <v>74</v>
      </c>
      <c r="BF98" s="70" t="s">
        <v>503</v>
      </c>
      <c r="BG98" s="70" t="s">
        <v>2755</v>
      </c>
      <c r="BH98" s="70"/>
      <c r="BI98" s="68"/>
      <c r="BJ98" s="68"/>
      <c r="BK98" s="70">
        <v>2</v>
      </c>
      <c r="BL98" s="70">
        <v>2</v>
      </c>
      <c r="BM98" s="70" t="s">
        <v>2847</v>
      </c>
    </row>
    <row r="99" spans="1:65" ht="14.4" customHeight="1" x14ac:dyDescent="0.3">
      <c r="A99" s="1" t="str">
        <f t="shared" si="2"/>
        <v>001350</v>
      </c>
      <c r="B99" s="70" t="s">
        <v>61</v>
      </c>
      <c r="C99" s="70" t="s">
        <v>194</v>
      </c>
      <c r="D99" s="70" t="s">
        <v>594</v>
      </c>
      <c r="E99" s="70" t="s">
        <v>595</v>
      </c>
      <c r="F99" s="70" t="s">
        <v>590</v>
      </c>
      <c r="G99" s="70" t="s">
        <v>2763</v>
      </c>
      <c r="H99" s="70" t="s">
        <v>2199</v>
      </c>
      <c r="I99" s="70" t="s">
        <v>76</v>
      </c>
      <c r="J99" s="70" t="s">
        <v>679</v>
      </c>
      <c r="K99" s="71">
        <v>45915</v>
      </c>
      <c r="L99" s="71">
        <v>46083</v>
      </c>
      <c r="M99" s="72">
        <v>10000</v>
      </c>
      <c r="N99" s="72">
        <v>10534.08</v>
      </c>
      <c r="O99" s="73">
        <v>1</v>
      </c>
      <c r="P99" s="73">
        <v>12</v>
      </c>
      <c r="Q99" s="70" t="s">
        <v>496</v>
      </c>
      <c r="R99" s="72">
        <v>1288.8</v>
      </c>
      <c r="S99" s="72">
        <v>696</v>
      </c>
      <c r="T99" s="72">
        <v>580</v>
      </c>
      <c r="U99" s="72">
        <v>2</v>
      </c>
      <c r="V99" s="72">
        <v>1</v>
      </c>
      <c r="W99" s="72">
        <v>9656.24</v>
      </c>
      <c r="X99" s="72">
        <v>1868.6038143999999</v>
      </c>
      <c r="Y99" s="72">
        <v>877.84</v>
      </c>
      <c r="Z99" s="72">
        <v>352.96</v>
      </c>
      <c r="AA99" s="72">
        <v>57.800000000000004</v>
      </c>
      <c r="AB99" s="72">
        <v>580</v>
      </c>
      <c r="AC99" s="72">
        <v>1289</v>
      </c>
      <c r="AD99" s="71">
        <v>45929</v>
      </c>
      <c r="AE99" s="70" t="s">
        <v>69</v>
      </c>
      <c r="AF99" s="70" t="s">
        <v>2200</v>
      </c>
      <c r="AG99" s="70" t="s">
        <v>680</v>
      </c>
      <c r="AH99" s="68"/>
      <c r="AI99" s="70" t="s">
        <v>283</v>
      </c>
      <c r="AJ99" s="70" t="s">
        <v>284</v>
      </c>
      <c r="AK99" s="68"/>
      <c r="AL99" s="68"/>
      <c r="AM99" s="70" t="s">
        <v>851</v>
      </c>
      <c r="AN99" s="70" t="s">
        <v>2841</v>
      </c>
      <c r="AO99" s="70" t="s">
        <v>849</v>
      </c>
      <c r="AP99" s="70" t="s">
        <v>2201</v>
      </c>
      <c r="AQ99" s="70" t="s">
        <v>850</v>
      </c>
      <c r="AR99" s="70" t="s">
        <v>2202</v>
      </c>
      <c r="AS99" s="68"/>
      <c r="AT99" s="68"/>
      <c r="AU99" s="68"/>
      <c r="AV99" s="68"/>
      <c r="AW99" s="68"/>
      <c r="AX99" s="68"/>
      <c r="AY99" s="72">
        <v>14176.62</v>
      </c>
      <c r="AZ99" s="72">
        <v>0</v>
      </c>
      <c r="BA99" s="70" t="s">
        <v>67</v>
      </c>
      <c r="BB99" s="70" t="s">
        <v>1044</v>
      </c>
      <c r="BC99" s="70" t="s">
        <v>2938</v>
      </c>
      <c r="BD99" s="70" t="s">
        <v>681</v>
      </c>
      <c r="BE99" s="70" t="s">
        <v>74</v>
      </c>
      <c r="BF99" s="70" t="s">
        <v>194</v>
      </c>
      <c r="BG99" s="68"/>
      <c r="BI99" s="68"/>
      <c r="BJ99" s="68"/>
      <c r="BK99" s="70">
        <v>1</v>
      </c>
      <c r="BL99" s="70">
        <v>1</v>
      </c>
      <c r="BM99" s="70" t="s">
        <v>2847</v>
      </c>
    </row>
    <row r="100" spans="1:65" ht="14.4" customHeight="1" x14ac:dyDescent="0.3">
      <c r="A100" s="1" t="str">
        <f t="shared" si="2"/>
        <v>001741</v>
      </c>
      <c r="B100" s="70" t="s">
        <v>61</v>
      </c>
      <c r="C100" s="70" t="s">
        <v>194</v>
      </c>
      <c r="D100" s="70" t="s">
        <v>594</v>
      </c>
      <c r="E100" s="70" t="s">
        <v>595</v>
      </c>
      <c r="F100" s="70" t="s">
        <v>590</v>
      </c>
      <c r="G100" s="70" t="s">
        <v>2763</v>
      </c>
      <c r="H100" s="70" t="s">
        <v>2633</v>
      </c>
      <c r="I100" s="70" t="s">
        <v>67</v>
      </c>
      <c r="J100" s="70" t="s">
        <v>2634</v>
      </c>
      <c r="K100" s="71">
        <v>45876</v>
      </c>
      <c r="L100" s="71">
        <v>46241</v>
      </c>
      <c r="M100" s="72">
        <v>10000</v>
      </c>
      <c r="N100" s="72">
        <v>10534.08</v>
      </c>
      <c r="O100" s="73">
        <v>0</v>
      </c>
      <c r="P100" s="73">
        <v>12</v>
      </c>
      <c r="Q100" s="70" t="s">
        <v>68</v>
      </c>
      <c r="R100" s="72">
        <v>1702.69</v>
      </c>
      <c r="S100" s="72">
        <v>696</v>
      </c>
      <c r="T100" s="72">
        <v>0</v>
      </c>
      <c r="U100" s="72">
        <v>0</v>
      </c>
      <c r="V100" s="72">
        <v>0</v>
      </c>
      <c r="W100" s="72">
        <v>8778.4</v>
      </c>
      <c r="X100" s="72">
        <v>0</v>
      </c>
      <c r="Y100" s="72">
        <v>0</v>
      </c>
      <c r="Z100" s="72">
        <v>0</v>
      </c>
      <c r="AA100" s="74">
        <v>0</v>
      </c>
      <c r="AB100" s="72">
        <v>0</v>
      </c>
      <c r="AC100" s="72">
        <v>1703</v>
      </c>
      <c r="AD100" s="71">
        <v>45937</v>
      </c>
      <c r="AE100" s="70" t="s">
        <v>69</v>
      </c>
      <c r="AF100" s="70" t="s">
        <v>2635</v>
      </c>
      <c r="AG100" s="70" t="s">
        <v>2636</v>
      </c>
      <c r="AH100" s="68"/>
      <c r="AI100" s="70" t="s">
        <v>644</v>
      </c>
      <c r="AJ100" s="70" t="s">
        <v>2141</v>
      </c>
      <c r="AK100" s="70" t="s">
        <v>2637</v>
      </c>
      <c r="AL100" s="68"/>
      <c r="AM100" s="70" t="s">
        <v>2638</v>
      </c>
      <c r="AN100" s="70" t="s">
        <v>2639</v>
      </c>
      <c r="AO100" s="70" t="s">
        <v>2640</v>
      </c>
      <c r="AP100" s="70" t="s">
        <v>2641</v>
      </c>
      <c r="AQ100" s="70" t="s">
        <v>2642</v>
      </c>
      <c r="AR100" s="70" t="s">
        <v>2643</v>
      </c>
      <c r="AS100" s="68"/>
      <c r="AT100" s="68"/>
      <c r="AU100" s="68"/>
      <c r="AV100" s="68"/>
      <c r="AW100" s="68"/>
      <c r="AX100" s="68"/>
      <c r="AY100" s="72">
        <v>16446.3</v>
      </c>
      <c r="AZ100" s="72">
        <v>0.62</v>
      </c>
      <c r="BA100" s="70" t="s">
        <v>67</v>
      </c>
      <c r="BB100" s="70" t="s">
        <v>1044</v>
      </c>
      <c r="BC100" s="70" t="s">
        <v>3001</v>
      </c>
      <c r="BD100" s="70" t="s">
        <v>2644</v>
      </c>
      <c r="BE100" s="70" t="s">
        <v>74</v>
      </c>
      <c r="BF100" s="70" t="s">
        <v>194</v>
      </c>
      <c r="BG100" s="70" t="s">
        <v>2645</v>
      </c>
      <c r="BH100" s="70"/>
      <c r="BI100" s="68"/>
      <c r="BJ100" s="68"/>
      <c r="BK100" s="70">
        <v>0</v>
      </c>
      <c r="BL100" s="70">
        <v>0</v>
      </c>
      <c r="BM100" s="70" t="s">
        <v>2847</v>
      </c>
    </row>
    <row r="101" spans="1:65" ht="14.4" customHeight="1" x14ac:dyDescent="0.3">
      <c r="A101" s="1" t="str">
        <f t="shared" si="2"/>
        <v>002226</v>
      </c>
      <c r="B101" s="70" t="s">
        <v>61</v>
      </c>
      <c r="C101" s="70" t="s">
        <v>194</v>
      </c>
      <c r="D101" s="70" t="s">
        <v>2882</v>
      </c>
      <c r="E101" s="70" t="s">
        <v>2883</v>
      </c>
      <c r="F101" s="70" t="s">
        <v>590</v>
      </c>
      <c r="G101" s="70" t="s">
        <v>2763</v>
      </c>
      <c r="H101" s="70" t="s">
        <v>2817</v>
      </c>
      <c r="I101" s="70" t="s">
        <v>67</v>
      </c>
      <c r="J101" s="70" t="s">
        <v>2818</v>
      </c>
      <c r="K101" s="71">
        <v>45904</v>
      </c>
      <c r="L101" s="71">
        <v>46085</v>
      </c>
      <c r="M101" s="72">
        <v>5000</v>
      </c>
      <c r="N101" s="72">
        <v>5267.04</v>
      </c>
      <c r="O101" s="73">
        <v>0</v>
      </c>
      <c r="P101" s="73">
        <v>6</v>
      </c>
      <c r="Q101" s="70" t="s">
        <v>68</v>
      </c>
      <c r="R101" s="72">
        <v>1316.1100000000001</v>
      </c>
      <c r="S101" s="72">
        <v>348</v>
      </c>
      <c r="T101" s="72">
        <v>0</v>
      </c>
      <c r="U101" s="72">
        <v>0</v>
      </c>
      <c r="V101" s="72">
        <v>0</v>
      </c>
      <c r="W101" s="72">
        <v>4389.2</v>
      </c>
      <c r="X101" s="72">
        <v>4.435733333333E-3</v>
      </c>
      <c r="Y101" s="72">
        <v>0</v>
      </c>
      <c r="Z101" s="72">
        <v>0</v>
      </c>
      <c r="AA101" s="72">
        <v>0</v>
      </c>
      <c r="AB101" s="72">
        <v>0</v>
      </c>
      <c r="AC101" s="72">
        <v>1316.1100000000001</v>
      </c>
      <c r="AD101" s="71">
        <v>45933</v>
      </c>
      <c r="AE101" s="70" t="s">
        <v>69</v>
      </c>
      <c r="AF101" s="70" t="s">
        <v>2819</v>
      </c>
      <c r="AG101" s="70" t="s">
        <v>2820</v>
      </c>
      <c r="AH101" s="68"/>
      <c r="AI101" s="70" t="s">
        <v>89</v>
      </c>
      <c r="AJ101" s="70" t="s">
        <v>90</v>
      </c>
      <c r="AK101" s="68"/>
      <c r="AL101" s="68"/>
      <c r="AM101" s="70" t="s">
        <v>2821</v>
      </c>
      <c r="AN101" s="70" t="s">
        <v>2822</v>
      </c>
      <c r="AO101" s="70" t="s">
        <v>2823</v>
      </c>
      <c r="AP101" s="70" t="s">
        <v>2824</v>
      </c>
      <c r="AQ101" s="70" t="s">
        <v>2825</v>
      </c>
      <c r="AR101" s="70" t="s">
        <v>2109</v>
      </c>
      <c r="AS101" s="68"/>
      <c r="AT101" s="68"/>
      <c r="AU101" s="68"/>
      <c r="AV101" s="68"/>
      <c r="AW101" s="68"/>
      <c r="AX101" s="68"/>
      <c r="AY101" s="72">
        <v>6290.58</v>
      </c>
      <c r="AZ101" s="72">
        <v>0</v>
      </c>
      <c r="BA101" s="70" t="s">
        <v>67</v>
      </c>
      <c r="BB101" s="70" t="s">
        <v>1044</v>
      </c>
      <c r="BC101" s="70" t="s">
        <v>2997</v>
      </c>
      <c r="BD101" s="70" t="s">
        <v>503</v>
      </c>
      <c r="BE101" s="70" t="s">
        <v>74</v>
      </c>
      <c r="BF101" s="70" t="s">
        <v>503</v>
      </c>
      <c r="BG101" s="70" t="s">
        <v>2826</v>
      </c>
      <c r="BH101" s="70"/>
      <c r="BI101" s="68"/>
      <c r="BJ101" s="68"/>
      <c r="BK101" s="70">
        <v>0</v>
      </c>
      <c r="BL101" s="70">
        <v>0</v>
      </c>
      <c r="BM101" s="70" t="s">
        <v>2847</v>
      </c>
    </row>
    <row r="102" spans="1:65" ht="14.4" customHeight="1" x14ac:dyDescent="0.3">
      <c r="A102" s="1" t="str">
        <f t="shared" si="2"/>
        <v>001402</v>
      </c>
      <c r="B102" s="70" t="s">
        <v>61</v>
      </c>
      <c r="C102" s="70" t="s">
        <v>194</v>
      </c>
      <c r="D102" s="70" t="s">
        <v>588</v>
      </c>
      <c r="E102" s="70" t="s">
        <v>589</v>
      </c>
      <c r="F102" s="70" t="s">
        <v>590</v>
      </c>
      <c r="G102" s="70" t="s">
        <v>2763</v>
      </c>
      <c r="H102" s="70" t="s">
        <v>2285</v>
      </c>
      <c r="I102" s="70" t="s">
        <v>67</v>
      </c>
      <c r="J102" s="70" t="s">
        <v>1157</v>
      </c>
      <c r="K102" s="71">
        <v>45821</v>
      </c>
      <c r="L102" s="71">
        <v>45989</v>
      </c>
      <c r="M102" s="72">
        <v>5000</v>
      </c>
      <c r="N102" s="72">
        <v>5267.04</v>
      </c>
      <c r="O102" s="73">
        <v>0</v>
      </c>
      <c r="P102" s="73">
        <v>12</v>
      </c>
      <c r="Q102" s="70" t="s">
        <v>496</v>
      </c>
      <c r="R102" s="72">
        <v>673.4</v>
      </c>
      <c r="S102" s="72">
        <v>696</v>
      </c>
      <c r="T102" s="72">
        <v>580</v>
      </c>
      <c r="U102" s="72">
        <v>8</v>
      </c>
      <c r="V102" s="72">
        <v>0</v>
      </c>
      <c r="W102" s="72">
        <v>1757.0900000000001</v>
      </c>
      <c r="X102" s="72">
        <v>581.41</v>
      </c>
      <c r="Y102" s="72">
        <v>1.41</v>
      </c>
      <c r="Z102" s="72">
        <v>0</v>
      </c>
      <c r="AA102" s="72">
        <v>0</v>
      </c>
      <c r="AB102" s="72">
        <v>580</v>
      </c>
      <c r="AC102" s="72">
        <v>673</v>
      </c>
      <c r="AD102" s="71">
        <v>45934</v>
      </c>
      <c r="AE102" s="70" t="s">
        <v>69</v>
      </c>
      <c r="AF102" s="70" t="s">
        <v>2286</v>
      </c>
      <c r="AG102" s="70" t="s">
        <v>1158</v>
      </c>
      <c r="AH102" s="68"/>
      <c r="AI102" s="70" t="s">
        <v>1159</v>
      </c>
      <c r="AJ102" s="70" t="s">
        <v>2287</v>
      </c>
      <c r="AK102" s="70" t="s">
        <v>1160</v>
      </c>
      <c r="AL102" s="68"/>
      <c r="AM102" s="70" t="s">
        <v>1161</v>
      </c>
      <c r="AN102" s="70" t="s">
        <v>2288</v>
      </c>
      <c r="AO102" s="70" t="s">
        <v>1162</v>
      </c>
      <c r="AP102" s="70" t="s">
        <v>2289</v>
      </c>
      <c r="AQ102" s="70" t="s">
        <v>1163</v>
      </c>
      <c r="AR102" s="70" t="s">
        <v>2290</v>
      </c>
      <c r="AS102" s="68"/>
      <c r="AT102" s="68"/>
      <c r="AU102" s="68"/>
      <c r="AV102" s="68"/>
      <c r="AW102" s="68"/>
      <c r="AX102" s="68"/>
      <c r="AY102" s="72">
        <v>3043.01</v>
      </c>
      <c r="AZ102" s="72">
        <v>0</v>
      </c>
      <c r="BA102" s="70" t="s">
        <v>67</v>
      </c>
      <c r="BB102" s="70" t="s">
        <v>1044</v>
      </c>
      <c r="BC102" s="70" t="s">
        <v>2967</v>
      </c>
      <c r="BD102" s="70" t="s">
        <v>415</v>
      </c>
      <c r="BE102" s="70" t="s">
        <v>74</v>
      </c>
      <c r="BF102" s="70" t="s">
        <v>415</v>
      </c>
      <c r="BG102" s="70" t="s">
        <v>1165</v>
      </c>
      <c r="BH102" s="70"/>
      <c r="BI102" s="68"/>
      <c r="BJ102" s="68"/>
      <c r="BK102" s="70">
        <v>3</v>
      </c>
      <c r="BL102" s="70">
        <v>2</v>
      </c>
      <c r="BM102" s="70" t="s">
        <v>2847</v>
      </c>
    </row>
    <row r="103" spans="1:65" ht="14.4" customHeight="1" x14ac:dyDescent="0.3">
      <c r="A103" s="1" t="str">
        <f t="shared" si="2"/>
        <v>001307</v>
      </c>
      <c r="B103" s="70" t="s">
        <v>61</v>
      </c>
      <c r="C103" s="70" t="s">
        <v>194</v>
      </c>
      <c r="D103" s="70" t="s">
        <v>408</v>
      </c>
      <c r="E103" s="70" t="s">
        <v>409</v>
      </c>
      <c r="F103" s="70" t="s">
        <v>590</v>
      </c>
      <c r="G103" s="70" t="s">
        <v>2763</v>
      </c>
      <c r="H103" s="70" t="s">
        <v>2081</v>
      </c>
      <c r="I103" s="70" t="s">
        <v>76</v>
      </c>
      <c r="J103" s="70" t="s">
        <v>549</v>
      </c>
      <c r="K103" s="71">
        <v>45933</v>
      </c>
      <c r="L103" s="71">
        <v>46101</v>
      </c>
      <c r="M103" s="72">
        <v>12000</v>
      </c>
      <c r="N103" s="72">
        <v>12640.89</v>
      </c>
      <c r="O103" s="73">
        <v>0</v>
      </c>
      <c r="P103" s="73">
        <v>12</v>
      </c>
      <c r="Q103" s="70" t="s">
        <v>496</v>
      </c>
      <c r="R103" s="72">
        <v>1534.96</v>
      </c>
      <c r="S103" s="72">
        <v>696</v>
      </c>
      <c r="T103" s="72">
        <v>0</v>
      </c>
      <c r="U103" s="72">
        <v>0</v>
      </c>
      <c r="V103" s="72">
        <v>0</v>
      </c>
      <c r="W103" s="72">
        <v>12640.89</v>
      </c>
      <c r="X103" s="72">
        <v>0</v>
      </c>
      <c r="Y103" s="72">
        <v>0</v>
      </c>
      <c r="Z103" s="72">
        <v>0</v>
      </c>
      <c r="AA103" s="72">
        <v>0</v>
      </c>
      <c r="AB103" s="72">
        <v>0</v>
      </c>
      <c r="AC103" s="68"/>
      <c r="AD103" s="68"/>
      <c r="AE103" s="70" t="s">
        <v>69</v>
      </c>
      <c r="AF103" s="70" t="s">
        <v>2082</v>
      </c>
      <c r="AG103" s="70" t="s">
        <v>2850</v>
      </c>
      <c r="AH103" s="68"/>
      <c r="AI103" s="70" t="s">
        <v>393</v>
      </c>
      <c r="AJ103" s="70" t="s">
        <v>394</v>
      </c>
      <c r="AK103" s="70" t="s">
        <v>2851</v>
      </c>
      <c r="AL103" s="68"/>
      <c r="AM103" s="70" t="s">
        <v>797</v>
      </c>
      <c r="AN103" s="70" t="s">
        <v>2083</v>
      </c>
      <c r="AO103" s="70" t="s">
        <v>795</v>
      </c>
      <c r="AP103" s="70" t="s">
        <v>2084</v>
      </c>
      <c r="AQ103" s="70" t="s">
        <v>796</v>
      </c>
      <c r="AR103" s="70" t="s">
        <v>2085</v>
      </c>
      <c r="AS103" s="68"/>
      <c r="AT103" s="68"/>
      <c r="AU103" s="68"/>
      <c r="AV103" s="68"/>
      <c r="AW103" s="68"/>
      <c r="AX103" s="68"/>
      <c r="AY103" s="72">
        <v>17723.54</v>
      </c>
      <c r="AZ103" s="72">
        <v>0</v>
      </c>
      <c r="BA103" s="70" t="s">
        <v>67</v>
      </c>
      <c r="BB103" s="70" t="s">
        <v>1044</v>
      </c>
      <c r="BC103" s="70" t="s">
        <v>2871</v>
      </c>
      <c r="BD103" s="70" t="s">
        <v>550</v>
      </c>
      <c r="BE103" s="70" t="s">
        <v>74</v>
      </c>
      <c r="BF103" s="70" t="s">
        <v>503</v>
      </c>
      <c r="BG103" s="68"/>
      <c r="BI103" s="68"/>
      <c r="BJ103" s="68"/>
      <c r="BK103" s="70">
        <v>0</v>
      </c>
      <c r="BL103" s="70">
        <v>0</v>
      </c>
      <c r="BM103" s="70" t="s">
        <v>2847</v>
      </c>
    </row>
    <row r="104" spans="1:65" ht="14.4" customHeight="1" x14ac:dyDescent="0.3">
      <c r="A104" s="1" t="str">
        <f t="shared" si="2"/>
        <v>001619</v>
      </c>
      <c r="B104" s="70" t="s">
        <v>61</v>
      </c>
      <c r="C104" s="70" t="s">
        <v>194</v>
      </c>
      <c r="D104" s="70" t="s">
        <v>594</v>
      </c>
      <c r="E104" s="70" t="s">
        <v>595</v>
      </c>
      <c r="F104" s="70" t="s">
        <v>2800</v>
      </c>
      <c r="G104" s="70" t="s">
        <v>2801</v>
      </c>
      <c r="H104" s="70" t="s">
        <v>2112</v>
      </c>
      <c r="I104" s="70" t="s">
        <v>67</v>
      </c>
      <c r="J104" s="70" t="s">
        <v>1713</v>
      </c>
      <c r="K104" s="71">
        <v>45860</v>
      </c>
      <c r="L104" s="71">
        <v>46044</v>
      </c>
      <c r="M104" s="72">
        <v>5000</v>
      </c>
      <c r="N104" s="72">
        <v>5267.04</v>
      </c>
      <c r="O104" s="73">
        <v>22</v>
      </c>
      <c r="P104" s="73">
        <v>6</v>
      </c>
      <c r="Q104" s="70" t="s">
        <v>68</v>
      </c>
      <c r="R104" s="72">
        <v>1322.42</v>
      </c>
      <c r="S104" s="72">
        <v>348</v>
      </c>
      <c r="T104" s="72">
        <v>0</v>
      </c>
      <c r="U104" s="72">
        <v>0</v>
      </c>
      <c r="V104" s="72">
        <v>0.5</v>
      </c>
      <c r="W104" s="72">
        <v>4090.19</v>
      </c>
      <c r="X104" s="72">
        <v>578.83465386666705</v>
      </c>
      <c r="Y104" s="72">
        <v>578.83000000000004</v>
      </c>
      <c r="Z104" s="72">
        <v>0</v>
      </c>
      <c r="AA104" s="72">
        <v>0</v>
      </c>
      <c r="AB104" s="72">
        <v>0</v>
      </c>
      <c r="AC104" s="72">
        <v>580</v>
      </c>
      <c r="AD104" s="71">
        <v>45933</v>
      </c>
      <c r="AE104" s="70" t="s">
        <v>69</v>
      </c>
      <c r="AF104" s="70" t="s">
        <v>2113</v>
      </c>
      <c r="AG104" s="70" t="s">
        <v>1714</v>
      </c>
      <c r="AH104" s="68"/>
      <c r="AI104" s="70" t="s">
        <v>1201</v>
      </c>
      <c r="AJ104" s="70" t="s">
        <v>2049</v>
      </c>
      <c r="AK104" s="68"/>
      <c r="AL104" s="68"/>
      <c r="AM104" s="70" t="s">
        <v>1715</v>
      </c>
      <c r="AN104" s="70" t="s">
        <v>2114</v>
      </c>
      <c r="AO104" s="70" t="s">
        <v>1716</v>
      </c>
      <c r="AP104" s="70" t="s">
        <v>2115</v>
      </c>
      <c r="AQ104" s="70" t="s">
        <v>1717</v>
      </c>
      <c r="AR104" s="70" t="s">
        <v>2116</v>
      </c>
      <c r="AS104" s="68"/>
      <c r="AT104" s="68"/>
      <c r="AU104" s="68"/>
      <c r="AV104" s="68"/>
      <c r="AW104" s="68"/>
      <c r="AX104" s="68"/>
      <c r="AY104" s="72">
        <v>5636.5</v>
      </c>
      <c r="AZ104" s="72">
        <v>0</v>
      </c>
      <c r="BA104" s="70" t="s">
        <v>67</v>
      </c>
      <c r="BB104" s="70" t="s">
        <v>1044</v>
      </c>
      <c r="BC104" s="70" t="s">
        <v>2904</v>
      </c>
      <c r="BD104" s="70" t="s">
        <v>1718</v>
      </c>
      <c r="BE104" s="70" t="s">
        <v>74</v>
      </c>
      <c r="BF104" s="70" t="s">
        <v>194</v>
      </c>
      <c r="BG104" s="70" t="s">
        <v>1719</v>
      </c>
      <c r="BH104" s="70"/>
      <c r="BI104" s="68"/>
      <c r="BJ104" s="68"/>
      <c r="BK104" s="70">
        <v>2</v>
      </c>
      <c r="BL104" s="70">
        <v>2</v>
      </c>
      <c r="BM104" s="70" t="s">
        <v>2847</v>
      </c>
    </row>
    <row r="105" spans="1:65" ht="14.4" customHeight="1" x14ac:dyDescent="0.3">
      <c r="A105" s="1" t="str">
        <f t="shared" si="2"/>
        <v>001298</v>
      </c>
      <c r="B105" s="70" t="s">
        <v>61</v>
      </c>
      <c r="C105" s="70" t="s">
        <v>194</v>
      </c>
      <c r="D105" s="70" t="s">
        <v>408</v>
      </c>
      <c r="E105" s="70" t="s">
        <v>409</v>
      </c>
      <c r="F105" s="70" t="s">
        <v>2800</v>
      </c>
      <c r="G105" s="70" t="s">
        <v>2801</v>
      </c>
      <c r="H105" s="70" t="s">
        <v>531</v>
      </c>
      <c r="I105" s="70" t="s">
        <v>67</v>
      </c>
      <c r="J105" s="70" t="s">
        <v>532</v>
      </c>
      <c r="K105" s="71">
        <v>45783</v>
      </c>
      <c r="L105" s="71">
        <v>45967</v>
      </c>
      <c r="M105" s="72">
        <v>6000</v>
      </c>
      <c r="N105" s="72">
        <v>6320.45</v>
      </c>
      <c r="O105" s="73">
        <v>8</v>
      </c>
      <c r="P105" s="73">
        <v>6</v>
      </c>
      <c r="Q105" s="70" t="s">
        <v>68</v>
      </c>
      <c r="R105" s="72">
        <v>1575.3</v>
      </c>
      <c r="S105" s="72">
        <v>348</v>
      </c>
      <c r="T105" s="72">
        <v>580</v>
      </c>
      <c r="U105" s="72">
        <v>0</v>
      </c>
      <c r="V105" s="72">
        <v>1</v>
      </c>
      <c r="W105" s="72">
        <v>2106.8200000000002</v>
      </c>
      <c r="X105" s="72">
        <v>2154.6063622222218</v>
      </c>
      <c r="Y105" s="72">
        <v>1053.4100000000001</v>
      </c>
      <c r="Z105" s="72">
        <v>463.89</v>
      </c>
      <c r="AA105" s="72">
        <v>57.300000000000004</v>
      </c>
      <c r="AB105" s="72">
        <v>580</v>
      </c>
      <c r="AC105" s="72">
        <v>1575.3</v>
      </c>
      <c r="AD105" s="71">
        <v>45908</v>
      </c>
      <c r="AE105" s="70" t="s">
        <v>69</v>
      </c>
      <c r="AF105" s="70" t="s">
        <v>533</v>
      </c>
      <c r="AG105" s="70" t="s">
        <v>534</v>
      </c>
      <c r="AH105" s="68"/>
      <c r="AI105" s="70" t="s">
        <v>526</v>
      </c>
      <c r="AJ105" s="70" t="s">
        <v>527</v>
      </c>
      <c r="AK105" s="68"/>
      <c r="AL105" s="68"/>
      <c r="AM105" s="70" t="s">
        <v>788</v>
      </c>
      <c r="AN105" s="70" t="s">
        <v>1262</v>
      </c>
      <c r="AO105" s="70" t="s">
        <v>785</v>
      </c>
      <c r="AP105" s="70" t="s">
        <v>786</v>
      </c>
      <c r="AQ105" s="70" t="s">
        <v>787</v>
      </c>
      <c r="AR105" s="70" t="s">
        <v>1263</v>
      </c>
      <c r="AS105" s="68"/>
      <c r="AT105" s="68"/>
      <c r="AU105" s="68"/>
      <c r="AV105" s="68"/>
      <c r="AW105" s="68"/>
      <c r="AX105" s="68"/>
      <c r="AY105" s="72">
        <v>3671.91</v>
      </c>
      <c r="AZ105" s="72">
        <v>0</v>
      </c>
      <c r="BA105" s="70" t="s">
        <v>67</v>
      </c>
      <c r="BB105" s="70" t="s">
        <v>1044</v>
      </c>
      <c r="BC105" s="70" t="s">
        <v>2987</v>
      </c>
      <c r="BD105" s="70" t="s">
        <v>535</v>
      </c>
      <c r="BE105" s="70" t="s">
        <v>74</v>
      </c>
      <c r="BF105" s="70" t="s">
        <v>194</v>
      </c>
      <c r="BG105" s="68"/>
      <c r="BI105" s="68"/>
      <c r="BJ105" s="68"/>
      <c r="BK105" s="70">
        <v>2</v>
      </c>
      <c r="BL105" s="70">
        <v>1</v>
      </c>
      <c r="BM105" s="70" t="s">
        <v>2847</v>
      </c>
    </row>
    <row r="106" spans="1:65" ht="14.4" customHeight="1" x14ac:dyDescent="0.3">
      <c r="A106" s="1" t="str">
        <f t="shared" si="2"/>
        <v>001301</v>
      </c>
      <c r="B106" s="70" t="s">
        <v>61</v>
      </c>
      <c r="C106" s="70" t="s">
        <v>194</v>
      </c>
      <c r="D106" s="70" t="s">
        <v>408</v>
      </c>
      <c r="E106" s="70" t="s">
        <v>409</v>
      </c>
      <c r="F106" s="70" t="s">
        <v>2800</v>
      </c>
      <c r="G106" s="70" t="s">
        <v>2801</v>
      </c>
      <c r="H106" s="70" t="s">
        <v>2071</v>
      </c>
      <c r="I106" s="70" t="s">
        <v>67</v>
      </c>
      <c r="J106" s="70" t="s">
        <v>536</v>
      </c>
      <c r="K106" s="71">
        <v>45783</v>
      </c>
      <c r="L106" s="71">
        <v>45967</v>
      </c>
      <c r="M106" s="72">
        <v>5000</v>
      </c>
      <c r="N106" s="72">
        <v>5267.04</v>
      </c>
      <c r="O106" s="73">
        <v>8</v>
      </c>
      <c r="P106" s="73">
        <v>12</v>
      </c>
      <c r="Q106" s="70" t="s">
        <v>453</v>
      </c>
      <c r="R106" s="72">
        <v>690.21</v>
      </c>
      <c r="S106" s="72">
        <v>696</v>
      </c>
      <c r="T106" s="72">
        <v>1105.4000000000001</v>
      </c>
      <c r="U106" s="72">
        <v>0</v>
      </c>
      <c r="V106" s="72">
        <v>1</v>
      </c>
      <c r="W106" s="72">
        <v>1316.76</v>
      </c>
      <c r="X106" s="72">
        <v>1737.6200000000001</v>
      </c>
      <c r="Y106" s="72">
        <v>438.92</v>
      </c>
      <c r="Z106" s="72">
        <v>193.3</v>
      </c>
      <c r="AA106" s="72">
        <v>0</v>
      </c>
      <c r="AB106" s="72">
        <v>1105.4000000000001</v>
      </c>
      <c r="AC106" s="72">
        <v>691</v>
      </c>
      <c r="AD106" s="71">
        <v>45936</v>
      </c>
      <c r="AE106" s="70" t="s">
        <v>69</v>
      </c>
      <c r="AF106" s="70" t="s">
        <v>2072</v>
      </c>
      <c r="AG106" s="70" t="s">
        <v>562</v>
      </c>
      <c r="AH106" s="68"/>
      <c r="AI106" s="70" t="s">
        <v>537</v>
      </c>
      <c r="AJ106" s="70" t="s">
        <v>1457</v>
      </c>
      <c r="AK106" s="68"/>
      <c r="AL106" s="68"/>
      <c r="AM106" s="70" t="s">
        <v>791</v>
      </c>
      <c r="AN106" s="70" t="s">
        <v>2073</v>
      </c>
      <c r="AO106" s="70" t="s">
        <v>789</v>
      </c>
      <c r="AP106" s="70" t="s">
        <v>2074</v>
      </c>
      <c r="AQ106" s="70" t="s">
        <v>790</v>
      </c>
      <c r="AR106" s="70" t="s">
        <v>2075</v>
      </c>
      <c r="AS106" s="68"/>
      <c r="AT106" s="68"/>
      <c r="AU106" s="68"/>
      <c r="AV106" s="68"/>
      <c r="AW106" s="68"/>
      <c r="AX106" s="68"/>
      <c r="AY106" s="72">
        <v>3002.03</v>
      </c>
      <c r="AZ106" s="72">
        <v>0</v>
      </c>
      <c r="BA106" s="70" t="s">
        <v>67</v>
      </c>
      <c r="BB106" s="70" t="s">
        <v>1044</v>
      </c>
      <c r="BC106" s="70" t="s">
        <v>3002</v>
      </c>
      <c r="BD106" s="70" t="s">
        <v>381</v>
      </c>
      <c r="BE106" s="70" t="s">
        <v>74</v>
      </c>
      <c r="BF106" s="70" t="s">
        <v>194</v>
      </c>
      <c r="BG106" s="68"/>
      <c r="BI106" s="68"/>
      <c r="BJ106" s="68"/>
      <c r="BK106" s="70">
        <v>3</v>
      </c>
      <c r="BL106" s="70">
        <v>3</v>
      </c>
      <c r="BM106" s="70" t="s">
        <v>2847</v>
      </c>
    </row>
    <row r="107" spans="1:65" ht="14.4" customHeight="1" x14ac:dyDescent="0.3">
      <c r="A107" s="1" t="str">
        <f t="shared" si="2"/>
        <v>001303</v>
      </c>
      <c r="B107" s="70" t="s">
        <v>61</v>
      </c>
      <c r="C107" s="70" t="s">
        <v>194</v>
      </c>
      <c r="D107" s="70" t="s">
        <v>408</v>
      </c>
      <c r="E107" s="70" t="s">
        <v>409</v>
      </c>
      <c r="F107" s="70" t="s">
        <v>2800</v>
      </c>
      <c r="G107" s="70" t="s">
        <v>2801</v>
      </c>
      <c r="H107" s="70" t="s">
        <v>2076</v>
      </c>
      <c r="I107" s="70" t="s">
        <v>67</v>
      </c>
      <c r="J107" s="70" t="s">
        <v>546</v>
      </c>
      <c r="K107" s="71">
        <v>45785</v>
      </c>
      <c r="L107" s="71">
        <v>46150</v>
      </c>
      <c r="M107" s="72">
        <v>10000</v>
      </c>
      <c r="N107" s="72">
        <v>10534.08</v>
      </c>
      <c r="O107" s="73">
        <v>21</v>
      </c>
      <c r="P107" s="73">
        <v>24</v>
      </c>
      <c r="Q107" s="70" t="s">
        <v>453</v>
      </c>
      <c r="R107" s="72">
        <v>880.35</v>
      </c>
      <c r="S107" s="72">
        <v>1392</v>
      </c>
      <c r="T107" s="72">
        <v>1677.77</v>
      </c>
      <c r="U107" s="72">
        <v>0</v>
      </c>
      <c r="V107" s="72">
        <v>2</v>
      </c>
      <c r="W107" s="72">
        <v>7022.72</v>
      </c>
      <c r="X107" s="72">
        <v>3380.46</v>
      </c>
      <c r="Y107" s="72">
        <v>877.84</v>
      </c>
      <c r="Z107" s="72">
        <v>766.85</v>
      </c>
      <c r="AA107" s="72">
        <v>58</v>
      </c>
      <c r="AB107" s="72">
        <v>1677.77</v>
      </c>
      <c r="AC107" s="72">
        <v>1000</v>
      </c>
      <c r="AD107" s="71">
        <v>45937</v>
      </c>
      <c r="AE107" s="70" t="s">
        <v>69</v>
      </c>
      <c r="AF107" s="70" t="s">
        <v>2077</v>
      </c>
      <c r="AG107" s="70" t="s">
        <v>547</v>
      </c>
      <c r="AH107" s="68"/>
      <c r="AI107" s="70" t="s">
        <v>283</v>
      </c>
      <c r="AJ107" s="70" t="s">
        <v>284</v>
      </c>
      <c r="AK107" s="68"/>
      <c r="AL107" s="68"/>
      <c r="AM107" s="70" t="s">
        <v>794</v>
      </c>
      <c r="AN107" s="70" t="s">
        <v>2078</v>
      </c>
      <c r="AO107" s="70" t="s">
        <v>792</v>
      </c>
      <c r="AP107" s="70" t="s">
        <v>2079</v>
      </c>
      <c r="AQ107" s="70" t="s">
        <v>793</v>
      </c>
      <c r="AR107" s="70" t="s">
        <v>2080</v>
      </c>
      <c r="AS107" s="68"/>
      <c r="AT107" s="68"/>
      <c r="AU107" s="68"/>
      <c r="AV107" s="68"/>
      <c r="AW107" s="68"/>
      <c r="AX107" s="68"/>
      <c r="AY107" s="72">
        <v>14893.300000000001</v>
      </c>
      <c r="AZ107" s="72">
        <v>0</v>
      </c>
      <c r="BA107" s="70" t="s">
        <v>67</v>
      </c>
      <c r="BB107" s="70" t="s">
        <v>1044</v>
      </c>
      <c r="BC107" s="70" t="s">
        <v>2919</v>
      </c>
      <c r="BD107" s="70" t="s">
        <v>548</v>
      </c>
      <c r="BE107" s="70" t="s">
        <v>74</v>
      </c>
      <c r="BF107" s="70" t="s">
        <v>194</v>
      </c>
      <c r="BG107" s="68"/>
      <c r="BI107" s="68"/>
      <c r="BJ107" s="68"/>
      <c r="BK107" s="70">
        <v>7</v>
      </c>
      <c r="BL107" s="70">
        <v>5</v>
      </c>
      <c r="BM107" s="70" t="s">
        <v>2847</v>
      </c>
    </row>
    <row r="108" spans="1:65" ht="14.4" customHeight="1" x14ac:dyDescent="0.3">
      <c r="A108" s="1" t="str">
        <f t="shared" si="2"/>
        <v>001324</v>
      </c>
      <c r="B108" s="70" t="s">
        <v>61</v>
      </c>
      <c r="C108" s="70" t="s">
        <v>194</v>
      </c>
      <c r="D108" s="70" t="s">
        <v>588</v>
      </c>
      <c r="E108" s="70" t="s">
        <v>589</v>
      </c>
      <c r="F108" s="70" t="s">
        <v>2800</v>
      </c>
      <c r="G108" s="70" t="s">
        <v>2801</v>
      </c>
      <c r="H108" s="70" t="s">
        <v>610</v>
      </c>
      <c r="I108" s="70" t="s">
        <v>67</v>
      </c>
      <c r="J108" s="70" t="s">
        <v>611</v>
      </c>
      <c r="K108" s="71">
        <v>45797</v>
      </c>
      <c r="L108" s="71">
        <v>45965</v>
      </c>
      <c r="M108" s="72">
        <v>5000</v>
      </c>
      <c r="N108" s="72">
        <v>5267.04</v>
      </c>
      <c r="O108" s="73">
        <v>126</v>
      </c>
      <c r="P108" s="73">
        <v>24</v>
      </c>
      <c r="Q108" s="70" t="s">
        <v>469</v>
      </c>
      <c r="R108" s="72">
        <v>365.7</v>
      </c>
      <c r="S108" s="72">
        <v>1392</v>
      </c>
      <c r="T108" s="72">
        <v>10440</v>
      </c>
      <c r="U108" s="72">
        <v>21</v>
      </c>
      <c r="V108" s="72">
        <v>18.8</v>
      </c>
      <c r="W108" s="72">
        <v>4828.12</v>
      </c>
      <c r="X108" s="72">
        <v>17253.710012799998</v>
      </c>
      <c r="Y108" s="72">
        <v>4169.74</v>
      </c>
      <c r="Z108" s="72">
        <v>1599.97</v>
      </c>
      <c r="AA108" s="72">
        <v>1044</v>
      </c>
      <c r="AB108" s="72">
        <v>10440</v>
      </c>
      <c r="AC108" s="72">
        <v>500</v>
      </c>
      <c r="AD108" s="71">
        <v>45812</v>
      </c>
      <c r="AE108" s="70" t="s">
        <v>69</v>
      </c>
      <c r="AF108" s="70" t="s">
        <v>612</v>
      </c>
      <c r="AG108" s="70" t="s">
        <v>613</v>
      </c>
      <c r="AH108" s="68"/>
      <c r="AI108" s="70" t="s">
        <v>324</v>
      </c>
      <c r="AJ108" s="70" t="s">
        <v>325</v>
      </c>
      <c r="AK108" s="68"/>
      <c r="AL108" s="68"/>
      <c r="AM108" s="70" t="s">
        <v>830</v>
      </c>
      <c r="AN108" s="70" t="s">
        <v>1270</v>
      </c>
      <c r="AO108" s="70" t="s">
        <v>828</v>
      </c>
      <c r="AP108" s="70" t="s">
        <v>1271</v>
      </c>
      <c r="AQ108" s="70" t="s">
        <v>829</v>
      </c>
      <c r="AR108" s="70" t="s">
        <v>1271</v>
      </c>
      <c r="AS108" s="68"/>
      <c r="AT108" s="68"/>
      <c r="AU108" s="68"/>
      <c r="AV108" s="68"/>
      <c r="AW108" s="68"/>
      <c r="AX108" s="68"/>
      <c r="AY108" s="72">
        <v>18176.810000000001</v>
      </c>
      <c r="AZ108" s="72">
        <v>0</v>
      </c>
      <c r="BA108" s="70" t="s">
        <v>67</v>
      </c>
      <c r="BB108" s="70" t="s">
        <v>1044</v>
      </c>
      <c r="BC108" s="70" t="s">
        <v>2960</v>
      </c>
      <c r="BD108" s="70" t="s">
        <v>251</v>
      </c>
      <c r="BE108" s="70" t="s">
        <v>74</v>
      </c>
      <c r="BF108" s="70" t="s">
        <v>415</v>
      </c>
      <c r="BG108" s="68"/>
      <c r="BI108" s="68"/>
      <c r="BJ108" s="68"/>
      <c r="BK108" s="70">
        <v>21</v>
      </c>
      <c r="BL108" s="70">
        <v>21</v>
      </c>
      <c r="BM108" s="70" t="s">
        <v>2847</v>
      </c>
    </row>
    <row r="109" spans="1:65" ht="14.4" customHeight="1" x14ac:dyDescent="0.3">
      <c r="A109" s="1" t="str">
        <f t="shared" si="2"/>
        <v>001340</v>
      </c>
      <c r="B109" s="70" t="s">
        <v>61</v>
      </c>
      <c r="C109" s="70" t="s">
        <v>194</v>
      </c>
      <c r="D109" s="70" t="s">
        <v>588</v>
      </c>
      <c r="E109" s="70" t="s">
        <v>589</v>
      </c>
      <c r="F109" s="70" t="s">
        <v>2800</v>
      </c>
      <c r="G109" s="70" t="s">
        <v>2801</v>
      </c>
      <c r="H109" s="70" t="s">
        <v>2140</v>
      </c>
      <c r="I109" s="70" t="s">
        <v>67</v>
      </c>
      <c r="J109" s="70" t="s">
        <v>642</v>
      </c>
      <c r="K109" s="71">
        <v>45803</v>
      </c>
      <c r="L109" s="71">
        <v>45915</v>
      </c>
      <c r="M109" s="72">
        <v>5000</v>
      </c>
      <c r="N109" s="72">
        <v>5267.04</v>
      </c>
      <c r="O109" s="73">
        <v>36</v>
      </c>
      <c r="P109" s="73">
        <v>16</v>
      </c>
      <c r="Q109" s="70" t="s">
        <v>469</v>
      </c>
      <c r="R109" s="72">
        <v>475.43</v>
      </c>
      <c r="S109" s="72">
        <v>928</v>
      </c>
      <c r="T109" s="72">
        <v>1160</v>
      </c>
      <c r="U109" s="72">
        <v>16</v>
      </c>
      <c r="V109" s="72">
        <v>1.1000000000000001</v>
      </c>
      <c r="W109" s="72">
        <v>358.65000000000003</v>
      </c>
      <c r="X109" s="72">
        <v>1896.89</v>
      </c>
      <c r="Y109" s="72">
        <v>358.65000000000003</v>
      </c>
      <c r="Z109" s="72">
        <v>88.24</v>
      </c>
      <c r="AA109" s="72">
        <v>290</v>
      </c>
      <c r="AB109" s="72">
        <v>1160</v>
      </c>
      <c r="AC109" s="72">
        <v>438</v>
      </c>
      <c r="AD109" s="71">
        <v>45938</v>
      </c>
      <c r="AE109" s="70" t="s">
        <v>69</v>
      </c>
      <c r="AF109" s="70" t="s">
        <v>2812</v>
      </c>
      <c r="AG109" s="70" t="s">
        <v>643</v>
      </c>
      <c r="AH109" s="68"/>
      <c r="AI109" s="70" t="s">
        <v>644</v>
      </c>
      <c r="AJ109" s="70" t="s">
        <v>2141</v>
      </c>
      <c r="AK109" s="68"/>
      <c r="AL109" s="68"/>
      <c r="AM109" s="70" t="s">
        <v>831</v>
      </c>
      <c r="AN109" s="70" t="s">
        <v>654</v>
      </c>
      <c r="AO109" s="70" t="s">
        <v>832</v>
      </c>
      <c r="AP109" s="70" t="s">
        <v>654</v>
      </c>
      <c r="AQ109" s="70" t="s">
        <v>833</v>
      </c>
      <c r="AR109" s="70" t="s">
        <v>2142</v>
      </c>
      <c r="AS109" s="68"/>
      <c r="AT109" s="68"/>
      <c r="AU109" s="68"/>
      <c r="AV109" s="68"/>
      <c r="AW109" s="68"/>
      <c r="AX109" s="68"/>
      <c r="AY109" s="72">
        <v>1896.89</v>
      </c>
      <c r="AZ109" s="72">
        <v>0</v>
      </c>
      <c r="BA109" s="70" t="s">
        <v>67</v>
      </c>
      <c r="BB109" s="70" t="s">
        <v>1044</v>
      </c>
      <c r="BC109" s="70" t="s">
        <v>2999</v>
      </c>
      <c r="BD109" s="70" t="s">
        <v>645</v>
      </c>
      <c r="BE109" s="70" t="s">
        <v>74</v>
      </c>
      <c r="BF109" s="70" t="s">
        <v>646</v>
      </c>
      <c r="BG109" s="68"/>
      <c r="BI109" s="68"/>
      <c r="BJ109" s="68"/>
      <c r="BK109" s="70">
        <v>7</v>
      </c>
      <c r="BL109" s="70">
        <v>6</v>
      </c>
      <c r="BM109" s="70" t="s">
        <v>2847</v>
      </c>
    </row>
    <row r="110" spans="1:65" ht="14.4" customHeight="1" x14ac:dyDescent="0.3">
      <c r="A110" s="1" t="str">
        <f t="shared" si="2"/>
        <v>001297</v>
      </c>
      <c r="B110" s="70" t="s">
        <v>61</v>
      </c>
      <c r="C110" s="70" t="s">
        <v>194</v>
      </c>
      <c r="D110" s="70" t="s">
        <v>408</v>
      </c>
      <c r="E110" s="70" t="s">
        <v>409</v>
      </c>
      <c r="F110" s="70" t="s">
        <v>2800</v>
      </c>
      <c r="G110" s="70" t="s">
        <v>2801</v>
      </c>
      <c r="H110" s="70" t="s">
        <v>1458</v>
      </c>
      <c r="I110" s="70" t="s">
        <v>67</v>
      </c>
      <c r="J110" s="70" t="s">
        <v>509</v>
      </c>
      <c r="K110" s="71">
        <v>45782</v>
      </c>
      <c r="L110" s="71">
        <v>45966</v>
      </c>
      <c r="M110" s="72">
        <v>20000</v>
      </c>
      <c r="N110" s="72">
        <v>21068.16</v>
      </c>
      <c r="O110" s="73">
        <v>99</v>
      </c>
      <c r="P110" s="73">
        <v>6</v>
      </c>
      <c r="Q110" s="70" t="s">
        <v>68</v>
      </c>
      <c r="R110" s="72">
        <v>5115.67</v>
      </c>
      <c r="S110" s="72">
        <v>348</v>
      </c>
      <c r="T110" s="72">
        <v>2320</v>
      </c>
      <c r="U110" s="72">
        <v>0</v>
      </c>
      <c r="V110" s="72">
        <v>4</v>
      </c>
      <c r="W110" s="72">
        <v>17556.8</v>
      </c>
      <c r="X110" s="72">
        <v>22782.350000000002</v>
      </c>
      <c r="Y110" s="72">
        <v>14045.44</v>
      </c>
      <c r="Z110" s="72">
        <v>6185.24</v>
      </c>
      <c r="AA110" s="72">
        <v>231.67000000000002</v>
      </c>
      <c r="AB110" s="72">
        <v>2320</v>
      </c>
      <c r="AC110" s="72">
        <v>5116</v>
      </c>
      <c r="AD110" s="71">
        <v>45813</v>
      </c>
      <c r="AE110" s="70" t="s">
        <v>69</v>
      </c>
      <c r="AF110" s="70" t="s">
        <v>1459</v>
      </c>
      <c r="AG110" s="70" t="s">
        <v>510</v>
      </c>
      <c r="AH110" s="68"/>
      <c r="AI110" s="70" t="s">
        <v>563</v>
      </c>
      <c r="AJ110" s="70" t="s">
        <v>1460</v>
      </c>
      <c r="AK110" s="68"/>
      <c r="AL110" s="68"/>
      <c r="AM110" s="70" t="s">
        <v>800</v>
      </c>
      <c r="AN110" s="70" t="s">
        <v>1461</v>
      </c>
      <c r="AO110" s="70" t="s">
        <v>798</v>
      </c>
      <c r="AP110" s="70" t="s">
        <v>1462</v>
      </c>
      <c r="AQ110" s="70" t="s">
        <v>799</v>
      </c>
      <c r="AR110" s="70" t="s">
        <v>1463</v>
      </c>
      <c r="AS110" s="68"/>
      <c r="AT110" s="68"/>
      <c r="AU110" s="68"/>
      <c r="AV110" s="68"/>
      <c r="AW110" s="68"/>
      <c r="AX110" s="68"/>
      <c r="AY110" s="72">
        <v>27840.02</v>
      </c>
      <c r="AZ110" s="72">
        <v>0</v>
      </c>
      <c r="BA110" s="70" t="s">
        <v>67</v>
      </c>
      <c r="BB110" s="70" t="s">
        <v>1044</v>
      </c>
      <c r="BC110" s="70" t="s">
        <v>2989</v>
      </c>
      <c r="BD110" s="70" t="s">
        <v>414</v>
      </c>
      <c r="BE110" s="70" t="s">
        <v>74</v>
      </c>
      <c r="BF110" s="70" t="s">
        <v>415</v>
      </c>
      <c r="BG110" s="68"/>
      <c r="BI110" s="68"/>
      <c r="BJ110" s="68"/>
      <c r="BK110" s="70">
        <v>4</v>
      </c>
      <c r="BL110" s="70">
        <v>4</v>
      </c>
      <c r="BM110" s="70" t="s">
        <v>2847</v>
      </c>
    </row>
    <row r="111" spans="1:65" ht="14.4" customHeight="1" x14ac:dyDescent="0.3">
      <c r="A111" s="1" t="str">
        <f t="shared" si="2"/>
        <v>001332</v>
      </c>
      <c r="B111" s="70" t="s">
        <v>61</v>
      </c>
      <c r="C111" s="70" t="s">
        <v>194</v>
      </c>
      <c r="D111" s="70" t="s">
        <v>594</v>
      </c>
      <c r="E111" s="70" t="s">
        <v>595</v>
      </c>
      <c r="F111" s="70" t="s">
        <v>2800</v>
      </c>
      <c r="G111" s="70" t="s">
        <v>2801</v>
      </c>
      <c r="H111" s="70" t="s">
        <v>623</v>
      </c>
      <c r="I111" s="70" t="s">
        <v>67</v>
      </c>
      <c r="J111" s="70" t="s">
        <v>624</v>
      </c>
      <c r="K111" s="71">
        <v>45799</v>
      </c>
      <c r="L111" s="71">
        <v>45983</v>
      </c>
      <c r="M111" s="72">
        <v>30000</v>
      </c>
      <c r="N111" s="72">
        <v>31602.23</v>
      </c>
      <c r="O111" s="73">
        <v>53</v>
      </c>
      <c r="P111" s="73">
        <v>6</v>
      </c>
      <c r="Q111" s="70" t="s">
        <v>68</v>
      </c>
      <c r="R111" s="72">
        <v>7059.79</v>
      </c>
      <c r="S111" s="72">
        <v>348</v>
      </c>
      <c r="T111" s="72">
        <v>1160</v>
      </c>
      <c r="U111" s="72">
        <v>0</v>
      </c>
      <c r="V111" s="72">
        <v>2</v>
      </c>
      <c r="W111" s="72">
        <v>21068.15</v>
      </c>
      <c r="X111" s="72">
        <v>15269.1633</v>
      </c>
      <c r="Y111" s="72">
        <v>10534.07</v>
      </c>
      <c r="Z111" s="72">
        <v>3469.51</v>
      </c>
      <c r="AA111" s="72">
        <v>105.58</v>
      </c>
      <c r="AB111" s="72">
        <v>1160</v>
      </c>
      <c r="AC111" s="72">
        <v>7650</v>
      </c>
      <c r="AD111" s="71">
        <v>45868</v>
      </c>
      <c r="AE111" s="70" t="s">
        <v>69</v>
      </c>
      <c r="AF111" s="70" t="s">
        <v>625</v>
      </c>
      <c r="AG111" s="70" t="s">
        <v>626</v>
      </c>
      <c r="AH111" s="68"/>
      <c r="AI111" s="70" t="s">
        <v>89</v>
      </c>
      <c r="AJ111" s="70" t="s">
        <v>90</v>
      </c>
      <c r="AK111" s="68"/>
      <c r="AL111" s="68"/>
      <c r="AM111" s="70" t="s">
        <v>837</v>
      </c>
      <c r="AN111" s="70" t="s">
        <v>1272</v>
      </c>
      <c r="AO111" s="70" t="s">
        <v>834</v>
      </c>
      <c r="AP111" s="70" t="s">
        <v>835</v>
      </c>
      <c r="AQ111" s="70" t="s">
        <v>836</v>
      </c>
      <c r="AR111" s="70" t="s">
        <v>1273</v>
      </c>
      <c r="AS111" s="68"/>
      <c r="AT111" s="68"/>
      <c r="AU111" s="68"/>
      <c r="AV111" s="68"/>
      <c r="AW111" s="68"/>
      <c r="AX111" s="68"/>
      <c r="AY111" s="72">
        <v>29272.74</v>
      </c>
      <c r="AZ111" s="72">
        <v>0</v>
      </c>
      <c r="BA111" s="70" t="s">
        <v>67</v>
      </c>
      <c r="BB111" s="70" t="s">
        <v>1044</v>
      </c>
      <c r="BC111" s="70" t="s">
        <v>2995</v>
      </c>
      <c r="BD111" s="70" t="s">
        <v>251</v>
      </c>
      <c r="BE111" s="70" t="s">
        <v>74</v>
      </c>
      <c r="BF111" s="70" t="s">
        <v>194</v>
      </c>
      <c r="BG111" s="68"/>
      <c r="BI111" s="68"/>
      <c r="BJ111" s="68"/>
      <c r="BK111" s="70">
        <v>4</v>
      </c>
      <c r="BL111" s="70">
        <v>4</v>
      </c>
      <c r="BM111" s="70" t="s">
        <v>2847</v>
      </c>
    </row>
    <row r="112" spans="1:65" x14ac:dyDescent="0.3">
      <c r="A112" s="1" t="str">
        <f t="shared" si="2"/>
        <v>001342</v>
      </c>
      <c r="B112" s="70" t="s">
        <v>61</v>
      </c>
      <c r="C112" s="70" t="s">
        <v>194</v>
      </c>
      <c r="D112" s="70" t="s">
        <v>588</v>
      </c>
      <c r="E112" s="70" t="s">
        <v>589</v>
      </c>
      <c r="F112" s="70" t="s">
        <v>2800</v>
      </c>
      <c r="G112" s="70" t="s">
        <v>2801</v>
      </c>
      <c r="H112" s="70" t="s">
        <v>647</v>
      </c>
      <c r="I112" s="70" t="s">
        <v>67</v>
      </c>
      <c r="J112" s="70" t="s">
        <v>648</v>
      </c>
      <c r="K112" s="71">
        <v>45803</v>
      </c>
      <c r="L112" s="71">
        <v>45987</v>
      </c>
      <c r="M112" s="72">
        <v>5000</v>
      </c>
      <c r="N112" s="72">
        <v>5267.04</v>
      </c>
      <c r="O112" s="73">
        <v>110</v>
      </c>
      <c r="P112" s="73">
        <v>6</v>
      </c>
      <c r="Q112" s="70" t="s">
        <v>68</v>
      </c>
      <c r="R112" s="72">
        <v>1322.42</v>
      </c>
      <c r="S112" s="72">
        <v>348</v>
      </c>
      <c r="T112" s="72">
        <v>2320</v>
      </c>
      <c r="U112" s="72">
        <v>0</v>
      </c>
      <c r="V112" s="72">
        <v>4</v>
      </c>
      <c r="W112" s="72">
        <v>5267.04</v>
      </c>
      <c r="X112" s="72">
        <v>7609.67</v>
      </c>
      <c r="Y112" s="72">
        <v>3511.36</v>
      </c>
      <c r="Z112" s="72">
        <v>1546.31</v>
      </c>
      <c r="AA112" s="72">
        <v>232</v>
      </c>
      <c r="AB112" s="72">
        <v>2320</v>
      </c>
      <c r="AC112" s="68"/>
      <c r="AD112" s="68"/>
      <c r="AE112" s="70" t="s">
        <v>69</v>
      </c>
      <c r="AF112" s="70" t="s">
        <v>649</v>
      </c>
      <c r="AG112" s="70" t="s">
        <v>650</v>
      </c>
      <c r="AH112" s="68"/>
      <c r="AI112" s="70" t="s">
        <v>328</v>
      </c>
      <c r="AJ112" s="70" t="s">
        <v>329</v>
      </c>
      <c r="AK112" s="68"/>
      <c r="AL112" s="68"/>
      <c r="AM112" s="70" t="s">
        <v>844</v>
      </c>
      <c r="AN112" s="70" t="s">
        <v>1012</v>
      </c>
      <c r="AO112" s="70" t="s">
        <v>841</v>
      </c>
      <c r="AP112" s="70" t="s">
        <v>842</v>
      </c>
      <c r="AQ112" s="70" t="s">
        <v>843</v>
      </c>
      <c r="AR112" s="70" t="s">
        <v>1013</v>
      </c>
      <c r="AS112" s="68"/>
      <c r="AT112" s="68"/>
      <c r="AU112" s="68"/>
      <c r="AV112" s="68"/>
      <c r="AW112" s="68"/>
      <c r="AX112" s="68"/>
      <c r="AY112" s="72">
        <v>10138.5</v>
      </c>
      <c r="AZ112" s="72">
        <v>0</v>
      </c>
      <c r="BA112" s="70" t="s">
        <v>67</v>
      </c>
      <c r="BB112" s="70" t="s">
        <v>1044</v>
      </c>
      <c r="BC112" s="70" t="s">
        <v>2957</v>
      </c>
      <c r="BD112" s="70" t="s">
        <v>651</v>
      </c>
      <c r="BE112" s="70" t="s">
        <v>74</v>
      </c>
      <c r="BF112" s="70" t="s">
        <v>646</v>
      </c>
      <c r="BG112" s="68"/>
      <c r="BI112" s="68"/>
      <c r="BJ112" s="68"/>
      <c r="BK112" s="70">
        <v>4</v>
      </c>
      <c r="BL112" s="70">
        <v>4</v>
      </c>
      <c r="BM112" s="70" t="s">
        <v>2847</v>
      </c>
    </row>
    <row r="113" spans="1:65" x14ac:dyDescent="0.3">
      <c r="A113" s="1" t="str">
        <f t="shared" si="2"/>
        <v>001341</v>
      </c>
      <c r="B113" s="70" t="s">
        <v>61</v>
      </c>
      <c r="C113" s="70" t="s">
        <v>194</v>
      </c>
      <c r="D113" s="70" t="s">
        <v>588</v>
      </c>
      <c r="E113" s="70" t="s">
        <v>589</v>
      </c>
      <c r="F113" s="70" t="s">
        <v>2800</v>
      </c>
      <c r="G113" s="70" t="s">
        <v>2801</v>
      </c>
      <c r="H113" s="70" t="s">
        <v>652</v>
      </c>
      <c r="I113" s="70" t="s">
        <v>67</v>
      </c>
      <c r="J113" s="70" t="s">
        <v>653</v>
      </c>
      <c r="K113" s="71">
        <v>45803</v>
      </c>
      <c r="L113" s="71">
        <v>45971</v>
      </c>
      <c r="M113" s="72">
        <v>5000</v>
      </c>
      <c r="N113" s="72">
        <v>5267.04</v>
      </c>
      <c r="O113" s="73">
        <v>113</v>
      </c>
      <c r="P113" s="73">
        <v>12</v>
      </c>
      <c r="Q113" s="70" t="s">
        <v>496</v>
      </c>
      <c r="R113" s="72">
        <v>673.4</v>
      </c>
      <c r="S113" s="72">
        <v>696</v>
      </c>
      <c r="T113" s="72">
        <v>5220</v>
      </c>
      <c r="U113" s="72">
        <v>10</v>
      </c>
      <c r="V113" s="72">
        <v>9</v>
      </c>
      <c r="W113" s="72">
        <v>4828.12</v>
      </c>
      <c r="X113" s="72">
        <v>11280.01</v>
      </c>
      <c r="Y113" s="72">
        <v>3950.28</v>
      </c>
      <c r="Z113" s="72">
        <v>1588.33</v>
      </c>
      <c r="AA113" s="72">
        <v>521.4</v>
      </c>
      <c r="AB113" s="72">
        <v>5220</v>
      </c>
      <c r="AC113" s="72">
        <v>674</v>
      </c>
      <c r="AD113" s="71">
        <v>45817</v>
      </c>
      <c r="AE113" s="70" t="s">
        <v>69</v>
      </c>
      <c r="AF113" s="70" t="s">
        <v>654</v>
      </c>
      <c r="AG113" s="70" t="s">
        <v>655</v>
      </c>
      <c r="AH113" s="68"/>
      <c r="AI113" s="70" t="s">
        <v>481</v>
      </c>
      <c r="AJ113" s="70" t="s">
        <v>482</v>
      </c>
      <c r="AK113" s="68"/>
      <c r="AL113" s="68"/>
      <c r="AM113" s="70" t="s">
        <v>848</v>
      </c>
      <c r="AN113" s="70" t="s">
        <v>1014</v>
      </c>
      <c r="AO113" s="70" t="s">
        <v>845</v>
      </c>
      <c r="AP113" s="70" t="s">
        <v>846</v>
      </c>
      <c r="AQ113" s="70" t="s">
        <v>847</v>
      </c>
      <c r="AR113" s="70" t="s">
        <v>1015</v>
      </c>
      <c r="AS113" s="68"/>
      <c r="AT113" s="68"/>
      <c r="AU113" s="68"/>
      <c r="AV113" s="68"/>
      <c r="AW113" s="68"/>
      <c r="AX113" s="68"/>
      <c r="AY113" s="72">
        <v>12510.81</v>
      </c>
      <c r="AZ113" s="72">
        <v>0</v>
      </c>
      <c r="BA113" s="70" t="s">
        <v>67</v>
      </c>
      <c r="BB113" s="70" t="s">
        <v>1044</v>
      </c>
      <c r="BC113" s="70" t="s">
        <v>2892</v>
      </c>
      <c r="BD113" s="70" t="s">
        <v>656</v>
      </c>
      <c r="BE113" s="70" t="s">
        <v>74</v>
      </c>
      <c r="BF113" s="70" t="s">
        <v>646</v>
      </c>
      <c r="BG113" s="68"/>
      <c r="BI113" s="68"/>
      <c r="BJ113" s="68"/>
      <c r="BK113" s="70">
        <v>9</v>
      </c>
      <c r="BL113" s="70">
        <v>9</v>
      </c>
      <c r="BM113" s="70" t="s">
        <v>2847</v>
      </c>
    </row>
    <row r="114" spans="1:65" x14ac:dyDescent="0.3">
      <c r="A114" s="1" t="str">
        <f t="shared" si="2"/>
        <v>001490</v>
      </c>
      <c r="B114" s="70" t="s">
        <v>61</v>
      </c>
      <c r="C114" s="70" t="s">
        <v>194</v>
      </c>
      <c r="D114" s="70" t="s">
        <v>588</v>
      </c>
      <c r="E114" s="70" t="s">
        <v>589</v>
      </c>
      <c r="F114" s="70" t="s">
        <v>2800</v>
      </c>
      <c r="G114" s="70" t="s">
        <v>2801</v>
      </c>
      <c r="H114" s="70" t="s">
        <v>2158</v>
      </c>
      <c r="I114" s="70" t="s">
        <v>67</v>
      </c>
      <c r="J114" s="70" t="s">
        <v>1591</v>
      </c>
      <c r="K114" s="71">
        <v>45848</v>
      </c>
      <c r="L114" s="71">
        <v>46032</v>
      </c>
      <c r="M114" s="72">
        <v>5000</v>
      </c>
      <c r="N114" s="72">
        <v>5267.04</v>
      </c>
      <c r="O114" s="73">
        <v>64</v>
      </c>
      <c r="P114" s="73">
        <v>6</v>
      </c>
      <c r="Q114" s="70" t="s">
        <v>68</v>
      </c>
      <c r="R114" s="72">
        <v>1322.42</v>
      </c>
      <c r="S114" s="72">
        <v>348</v>
      </c>
      <c r="T114" s="72">
        <v>1740</v>
      </c>
      <c r="U114" s="72">
        <v>0</v>
      </c>
      <c r="V114" s="72">
        <v>3</v>
      </c>
      <c r="W114" s="72">
        <v>5267.04</v>
      </c>
      <c r="X114" s="72">
        <v>5707.2519807999988</v>
      </c>
      <c r="Y114" s="72">
        <v>2633.52</v>
      </c>
      <c r="Z114" s="72">
        <v>1159.73</v>
      </c>
      <c r="AA114" s="72">
        <v>174</v>
      </c>
      <c r="AB114" s="72">
        <v>1740</v>
      </c>
      <c r="AC114" s="68"/>
      <c r="AD114" s="68"/>
      <c r="AE114" s="70" t="s">
        <v>69</v>
      </c>
      <c r="AF114" s="70" t="s">
        <v>2159</v>
      </c>
      <c r="AG114" s="70" t="s">
        <v>1592</v>
      </c>
      <c r="AH114" s="68"/>
      <c r="AI114" s="70" t="s">
        <v>526</v>
      </c>
      <c r="AJ114" s="70" t="s">
        <v>527</v>
      </c>
      <c r="AK114" s="68"/>
      <c r="AL114" s="68"/>
      <c r="AM114" s="70" t="s">
        <v>1593</v>
      </c>
      <c r="AN114" s="70" t="s">
        <v>2160</v>
      </c>
      <c r="AO114" s="70" t="s">
        <v>1594</v>
      </c>
      <c r="AP114" s="70" t="s">
        <v>2161</v>
      </c>
      <c r="AQ114" s="70" t="s">
        <v>1595</v>
      </c>
      <c r="AR114" s="70" t="s">
        <v>2162</v>
      </c>
      <c r="AS114" s="68"/>
      <c r="AT114" s="68"/>
      <c r="AU114" s="68"/>
      <c r="AV114" s="68"/>
      <c r="AW114" s="68"/>
      <c r="AX114" s="68"/>
      <c r="AY114" s="72">
        <v>9500.5</v>
      </c>
      <c r="AZ114" s="72">
        <v>0</v>
      </c>
      <c r="BA114" s="70" t="s">
        <v>67</v>
      </c>
      <c r="BB114" s="70" t="s">
        <v>1044</v>
      </c>
      <c r="BC114" s="70" t="s">
        <v>2988</v>
      </c>
      <c r="BD114" s="70" t="s">
        <v>687</v>
      </c>
      <c r="BE114" s="70" t="s">
        <v>74</v>
      </c>
      <c r="BF114" s="70" t="s">
        <v>503</v>
      </c>
      <c r="BG114" s="70" t="s">
        <v>1596</v>
      </c>
      <c r="BH114" s="70"/>
      <c r="BI114" s="68"/>
      <c r="BJ114" s="68"/>
      <c r="BK114" s="70">
        <v>3</v>
      </c>
      <c r="BL114" s="70">
        <v>3</v>
      </c>
      <c r="BM114" s="70" t="s">
        <v>2847</v>
      </c>
    </row>
    <row r="115" spans="1:65" x14ac:dyDescent="0.3">
      <c r="A115" s="1" t="str">
        <f t="shared" si="2"/>
        <v>001540</v>
      </c>
      <c r="B115" s="70" t="s">
        <v>61</v>
      </c>
      <c r="C115" s="70" t="s">
        <v>194</v>
      </c>
      <c r="D115" s="70" t="s">
        <v>594</v>
      </c>
      <c r="E115" s="70" t="s">
        <v>595</v>
      </c>
      <c r="F115" s="70" t="s">
        <v>2800</v>
      </c>
      <c r="G115" s="70" t="s">
        <v>2801</v>
      </c>
      <c r="H115" s="70" t="s">
        <v>2163</v>
      </c>
      <c r="I115" s="70" t="s">
        <v>67</v>
      </c>
      <c r="J115" s="70" t="s">
        <v>1624</v>
      </c>
      <c r="K115" s="71">
        <v>45853</v>
      </c>
      <c r="L115" s="71">
        <v>46218</v>
      </c>
      <c r="M115" s="72">
        <v>10000</v>
      </c>
      <c r="N115" s="72">
        <v>10534.08</v>
      </c>
      <c r="O115" s="73">
        <v>29</v>
      </c>
      <c r="P115" s="73">
        <v>12</v>
      </c>
      <c r="Q115" s="70" t="s">
        <v>68</v>
      </c>
      <c r="R115" s="72">
        <v>1702.69</v>
      </c>
      <c r="S115" s="72">
        <v>696</v>
      </c>
      <c r="T115" s="72">
        <v>580</v>
      </c>
      <c r="U115" s="72">
        <v>0</v>
      </c>
      <c r="V115" s="72">
        <v>1</v>
      </c>
      <c r="W115" s="72">
        <v>9656.24</v>
      </c>
      <c r="X115" s="72">
        <v>2265.3835253333327</v>
      </c>
      <c r="Y115" s="72">
        <v>877.84</v>
      </c>
      <c r="Z115" s="72">
        <v>766.85</v>
      </c>
      <c r="AA115" s="72">
        <v>40.69</v>
      </c>
      <c r="AB115" s="72">
        <v>580</v>
      </c>
      <c r="AC115" s="72">
        <v>600</v>
      </c>
      <c r="AD115" s="71">
        <v>45890</v>
      </c>
      <c r="AE115" s="70" t="s">
        <v>69</v>
      </c>
      <c r="AF115" s="70" t="s">
        <v>2164</v>
      </c>
      <c r="AG115" s="70" t="s">
        <v>1625</v>
      </c>
      <c r="AH115" s="68"/>
      <c r="AI115" s="70" t="s">
        <v>684</v>
      </c>
      <c r="AJ115" s="70" t="s">
        <v>1471</v>
      </c>
      <c r="AK115" s="70" t="s">
        <v>1626</v>
      </c>
      <c r="AL115" s="68"/>
      <c r="AM115" s="70" t="s">
        <v>1627</v>
      </c>
      <c r="AN115" s="70" t="s">
        <v>2165</v>
      </c>
      <c r="AO115" s="70" t="s">
        <v>1628</v>
      </c>
      <c r="AP115" s="70" t="s">
        <v>2166</v>
      </c>
      <c r="AQ115" s="70" t="s">
        <v>1629</v>
      </c>
      <c r="AR115" s="70" t="s">
        <v>2167</v>
      </c>
      <c r="AS115" s="68"/>
      <c r="AT115" s="68"/>
      <c r="AU115" s="68"/>
      <c r="AV115" s="68"/>
      <c r="AW115" s="68"/>
      <c r="AX115" s="68"/>
      <c r="AY115" s="72">
        <v>18712.3</v>
      </c>
      <c r="AZ115" s="72">
        <v>0</v>
      </c>
      <c r="BA115" s="70" t="s">
        <v>67</v>
      </c>
      <c r="BB115" s="70" t="s">
        <v>1044</v>
      </c>
      <c r="BC115" s="70" t="s">
        <v>2959</v>
      </c>
      <c r="BD115" s="70" t="s">
        <v>1630</v>
      </c>
      <c r="BE115" s="70" t="s">
        <v>74</v>
      </c>
      <c r="BF115" s="70" t="s">
        <v>194</v>
      </c>
      <c r="BG115" s="70" t="s">
        <v>1631</v>
      </c>
      <c r="BH115" s="70"/>
      <c r="BI115" s="68"/>
      <c r="BJ115" s="68"/>
      <c r="BK115" s="70">
        <v>2</v>
      </c>
      <c r="BL115" s="70">
        <v>2</v>
      </c>
      <c r="BM115" s="70" t="s">
        <v>2847</v>
      </c>
    </row>
    <row r="116" spans="1:65" x14ac:dyDescent="0.3">
      <c r="A116" s="1" t="str">
        <f t="shared" si="2"/>
        <v>001439</v>
      </c>
      <c r="B116" s="70" t="s">
        <v>61</v>
      </c>
      <c r="C116" s="70" t="s">
        <v>194</v>
      </c>
      <c r="D116" s="70" t="s">
        <v>594</v>
      </c>
      <c r="E116" s="70" t="s">
        <v>595</v>
      </c>
      <c r="F116" s="70" t="s">
        <v>2800</v>
      </c>
      <c r="G116" s="70" t="s">
        <v>2801</v>
      </c>
      <c r="H116" s="70" t="s">
        <v>2179</v>
      </c>
      <c r="I116" s="70" t="s">
        <v>67</v>
      </c>
      <c r="J116" s="70" t="s">
        <v>1335</v>
      </c>
      <c r="K116" s="71">
        <v>45832</v>
      </c>
      <c r="L116" s="71">
        <v>46000</v>
      </c>
      <c r="M116" s="72">
        <v>8000</v>
      </c>
      <c r="N116" s="72">
        <v>8427.26</v>
      </c>
      <c r="O116" s="73">
        <v>27</v>
      </c>
      <c r="P116" s="73">
        <v>12</v>
      </c>
      <c r="Q116" s="70" t="s">
        <v>496</v>
      </c>
      <c r="R116" s="72">
        <v>1042.6400000000001</v>
      </c>
      <c r="S116" s="72">
        <v>696</v>
      </c>
      <c r="T116" s="72">
        <v>1160</v>
      </c>
      <c r="U116" s="72">
        <v>8</v>
      </c>
      <c r="V116" s="72">
        <v>3</v>
      </c>
      <c r="W116" s="72">
        <v>4915.9000000000005</v>
      </c>
      <c r="X116" s="72">
        <v>4251.1333000000004</v>
      </c>
      <c r="Y116" s="72">
        <v>2106.81</v>
      </c>
      <c r="Z116" s="72">
        <v>847.11</v>
      </c>
      <c r="AA116" s="72">
        <v>137.21</v>
      </c>
      <c r="AB116" s="72">
        <v>1160</v>
      </c>
      <c r="AC116" s="72">
        <v>1650</v>
      </c>
      <c r="AD116" s="71">
        <v>45905</v>
      </c>
      <c r="AE116" s="70" t="s">
        <v>69</v>
      </c>
      <c r="AF116" s="70" t="s">
        <v>2180</v>
      </c>
      <c r="AG116" s="70" t="s">
        <v>1336</v>
      </c>
      <c r="AH116" s="68"/>
      <c r="AI116" s="70" t="s">
        <v>283</v>
      </c>
      <c r="AJ116" s="70" t="s">
        <v>284</v>
      </c>
      <c r="AK116" s="70" t="s">
        <v>1337</v>
      </c>
      <c r="AL116" s="68"/>
      <c r="AM116" s="70" t="s">
        <v>1338</v>
      </c>
      <c r="AN116" s="70" t="s">
        <v>2181</v>
      </c>
      <c r="AO116" s="70" t="s">
        <v>1339</v>
      </c>
      <c r="AP116" s="70" t="s">
        <v>2182</v>
      </c>
      <c r="AQ116" s="70" t="s">
        <v>1340</v>
      </c>
      <c r="AR116" s="70" t="s">
        <v>2183</v>
      </c>
      <c r="AS116" s="68"/>
      <c r="AT116" s="68"/>
      <c r="AU116" s="68"/>
      <c r="AV116" s="68"/>
      <c r="AW116" s="68"/>
      <c r="AX116" s="68"/>
      <c r="AY116" s="72">
        <v>8189.6900000000005</v>
      </c>
      <c r="AZ116" s="72">
        <v>0</v>
      </c>
      <c r="BA116" s="70" t="s">
        <v>67</v>
      </c>
      <c r="BB116" s="70" t="s">
        <v>1044</v>
      </c>
      <c r="BC116" s="70" t="s">
        <v>2920</v>
      </c>
      <c r="BD116" s="70" t="s">
        <v>1584</v>
      </c>
      <c r="BE116" s="70" t="s">
        <v>74</v>
      </c>
      <c r="BF116" s="70" t="s">
        <v>194</v>
      </c>
      <c r="BG116" s="70" t="s">
        <v>1341</v>
      </c>
      <c r="BH116" s="70"/>
      <c r="BI116" s="68"/>
      <c r="BJ116" s="68"/>
      <c r="BK116" s="70">
        <v>4</v>
      </c>
      <c r="BL116" s="70">
        <v>4</v>
      </c>
      <c r="BM116" s="70" t="s">
        <v>2847</v>
      </c>
    </row>
    <row r="117" spans="1:65" x14ac:dyDescent="0.3">
      <c r="A117" s="1" t="str">
        <f t="shared" si="2"/>
        <v>001520</v>
      </c>
      <c r="B117" s="70" t="s">
        <v>61</v>
      </c>
      <c r="C117" s="70" t="s">
        <v>194</v>
      </c>
      <c r="D117" s="70" t="s">
        <v>588</v>
      </c>
      <c r="E117" s="70" t="s">
        <v>589</v>
      </c>
      <c r="F117" s="70" t="s">
        <v>2800</v>
      </c>
      <c r="G117" s="70" t="s">
        <v>2801</v>
      </c>
      <c r="H117" s="70" t="s">
        <v>2184</v>
      </c>
      <c r="I117" s="70" t="s">
        <v>67</v>
      </c>
      <c r="J117" s="70" t="s">
        <v>1735</v>
      </c>
      <c r="K117" s="71">
        <v>45861</v>
      </c>
      <c r="L117" s="71">
        <v>46029</v>
      </c>
      <c r="M117" s="72">
        <v>10000</v>
      </c>
      <c r="N117" s="72">
        <v>10534.08</v>
      </c>
      <c r="O117" s="73">
        <v>13</v>
      </c>
      <c r="P117" s="73">
        <v>12</v>
      </c>
      <c r="Q117" s="70" t="s">
        <v>496</v>
      </c>
      <c r="R117" s="72">
        <v>1288.8</v>
      </c>
      <c r="S117" s="72">
        <v>696</v>
      </c>
      <c r="T117" s="72">
        <v>580</v>
      </c>
      <c r="U117" s="72">
        <v>5</v>
      </c>
      <c r="V117" s="72">
        <v>1</v>
      </c>
      <c r="W117" s="72">
        <v>7022.72</v>
      </c>
      <c r="X117" s="72">
        <v>1866.01</v>
      </c>
      <c r="Y117" s="72">
        <v>877.84</v>
      </c>
      <c r="Z117" s="72">
        <v>352.96</v>
      </c>
      <c r="AA117" s="72">
        <v>55.21</v>
      </c>
      <c r="AB117" s="72">
        <v>580</v>
      </c>
      <c r="AC117" s="72">
        <v>1290</v>
      </c>
      <c r="AD117" s="71">
        <v>45917</v>
      </c>
      <c r="AE117" s="70" t="s">
        <v>69</v>
      </c>
      <c r="AF117" s="70" t="s">
        <v>2185</v>
      </c>
      <c r="AG117" s="70" t="s">
        <v>1736</v>
      </c>
      <c r="AH117" s="68"/>
      <c r="AI117" s="70" t="s">
        <v>684</v>
      </c>
      <c r="AJ117" s="70" t="s">
        <v>1471</v>
      </c>
      <c r="AK117" s="70" t="s">
        <v>1737</v>
      </c>
      <c r="AL117" s="68"/>
      <c r="AM117" s="70" t="s">
        <v>1738</v>
      </c>
      <c r="AN117" s="70" t="s">
        <v>2186</v>
      </c>
      <c r="AO117" s="70" t="s">
        <v>1739</v>
      </c>
      <c r="AP117" s="70" t="s">
        <v>2187</v>
      </c>
      <c r="AQ117" s="70" t="s">
        <v>1740</v>
      </c>
      <c r="AR117" s="70" t="s">
        <v>2188</v>
      </c>
      <c r="AS117" s="68"/>
      <c r="AT117" s="68"/>
      <c r="AU117" s="68"/>
      <c r="AV117" s="68"/>
      <c r="AW117" s="68"/>
      <c r="AX117" s="68"/>
      <c r="AY117" s="72">
        <v>10481.620000000001</v>
      </c>
      <c r="AZ117" s="72">
        <v>0</v>
      </c>
      <c r="BA117" s="70" t="s">
        <v>67</v>
      </c>
      <c r="BB117" s="70" t="s">
        <v>1044</v>
      </c>
      <c r="BC117" s="70" t="s">
        <v>1741</v>
      </c>
      <c r="BD117" s="70" t="s">
        <v>503</v>
      </c>
      <c r="BE117" s="70" t="s">
        <v>74</v>
      </c>
      <c r="BF117" s="70" t="s">
        <v>503</v>
      </c>
      <c r="BG117" s="70" t="s">
        <v>1742</v>
      </c>
      <c r="BH117" s="70"/>
      <c r="BI117" s="68"/>
      <c r="BJ117" s="68"/>
      <c r="BK117" s="70">
        <v>1</v>
      </c>
      <c r="BL117" s="70">
        <v>1</v>
      </c>
      <c r="BM117" s="70" t="s">
        <v>2847</v>
      </c>
    </row>
    <row r="118" spans="1:65" x14ac:dyDescent="0.3">
      <c r="A118" s="1" t="str">
        <f t="shared" si="2"/>
        <v>001612</v>
      </c>
      <c r="B118" s="70" t="s">
        <v>61</v>
      </c>
      <c r="C118" s="70" t="s">
        <v>194</v>
      </c>
      <c r="D118" s="70" t="s">
        <v>588</v>
      </c>
      <c r="E118" s="70" t="s">
        <v>589</v>
      </c>
      <c r="F118" s="70" t="s">
        <v>2800</v>
      </c>
      <c r="G118" s="70" t="s">
        <v>2801</v>
      </c>
      <c r="H118" s="70" t="s">
        <v>2189</v>
      </c>
      <c r="I118" s="70" t="s">
        <v>67</v>
      </c>
      <c r="J118" s="70" t="s">
        <v>1743</v>
      </c>
      <c r="K118" s="71">
        <v>45861</v>
      </c>
      <c r="L118" s="71">
        <v>46045</v>
      </c>
      <c r="M118" s="72">
        <v>10000</v>
      </c>
      <c r="N118" s="72">
        <v>10534.08</v>
      </c>
      <c r="O118" s="73">
        <v>21</v>
      </c>
      <c r="P118" s="73">
        <v>6</v>
      </c>
      <c r="Q118" s="70" t="s">
        <v>68</v>
      </c>
      <c r="R118" s="72">
        <v>2586.83</v>
      </c>
      <c r="S118" s="72">
        <v>348</v>
      </c>
      <c r="T118" s="72">
        <v>580</v>
      </c>
      <c r="U118" s="72">
        <v>0</v>
      </c>
      <c r="V118" s="72">
        <v>1</v>
      </c>
      <c r="W118" s="72">
        <v>8779.23</v>
      </c>
      <c r="X118" s="72">
        <v>3167.67</v>
      </c>
      <c r="Y118" s="72">
        <v>1756.51</v>
      </c>
      <c r="Z118" s="72">
        <v>773.16</v>
      </c>
      <c r="AA118" s="72">
        <v>58</v>
      </c>
      <c r="AB118" s="72">
        <v>580</v>
      </c>
      <c r="AC118" s="72">
        <v>2586</v>
      </c>
      <c r="AD118" s="71">
        <v>45894</v>
      </c>
      <c r="AE118" s="70" t="s">
        <v>69</v>
      </c>
      <c r="AF118" s="70" t="s">
        <v>2190</v>
      </c>
      <c r="AG118" s="70" t="s">
        <v>1744</v>
      </c>
      <c r="AH118" s="68"/>
      <c r="AI118" s="70" t="s">
        <v>684</v>
      </c>
      <c r="AJ118" s="70" t="s">
        <v>1471</v>
      </c>
      <c r="AK118" s="70" t="s">
        <v>1745</v>
      </c>
      <c r="AL118" s="68"/>
      <c r="AM118" s="70" t="s">
        <v>1746</v>
      </c>
      <c r="AN118" s="70" t="s">
        <v>2191</v>
      </c>
      <c r="AO118" s="70" t="s">
        <v>1747</v>
      </c>
      <c r="AP118" s="70" t="s">
        <v>2192</v>
      </c>
      <c r="AQ118" s="70" t="s">
        <v>1748</v>
      </c>
      <c r="AR118" s="70" t="s">
        <v>2193</v>
      </c>
      <c r="AS118" s="68"/>
      <c r="AT118" s="68"/>
      <c r="AU118" s="68"/>
      <c r="AV118" s="68"/>
      <c r="AW118" s="68"/>
      <c r="AX118" s="68"/>
      <c r="AY118" s="72">
        <v>13283.01</v>
      </c>
      <c r="AZ118" s="72">
        <v>0</v>
      </c>
      <c r="BA118" s="70" t="s">
        <v>67</v>
      </c>
      <c r="BB118" s="70" t="s">
        <v>1044</v>
      </c>
      <c r="BC118" s="70" t="s">
        <v>1749</v>
      </c>
      <c r="BD118" s="70" t="s">
        <v>503</v>
      </c>
      <c r="BE118" s="70" t="s">
        <v>74</v>
      </c>
      <c r="BF118" s="70" t="s">
        <v>503</v>
      </c>
      <c r="BG118" s="70" t="s">
        <v>1742</v>
      </c>
      <c r="BH118" s="70"/>
      <c r="BI118" s="68"/>
      <c r="BJ118" s="68"/>
      <c r="BK118" s="70">
        <v>1</v>
      </c>
      <c r="BL118" s="70">
        <v>1</v>
      </c>
      <c r="BM118" s="70" t="s">
        <v>2847</v>
      </c>
    </row>
    <row r="119" spans="1:65" x14ac:dyDescent="0.3">
      <c r="A119" s="1" t="str">
        <f t="shared" si="2"/>
        <v>001352</v>
      </c>
      <c r="B119" s="70" t="s">
        <v>61</v>
      </c>
      <c r="C119" s="70" t="s">
        <v>194</v>
      </c>
      <c r="D119" s="70" t="s">
        <v>594</v>
      </c>
      <c r="E119" s="70" t="s">
        <v>595</v>
      </c>
      <c r="F119" s="70" t="s">
        <v>2800</v>
      </c>
      <c r="G119" s="70" t="s">
        <v>2801</v>
      </c>
      <c r="H119" s="70" t="s">
        <v>1469</v>
      </c>
      <c r="I119" s="70" t="s">
        <v>67</v>
      </c>
      <c r="J119" s="70" t="s">
        <v>682</v>
      </c>
      <c r="K119" s="71">
        <v>45805</v>
      </c>
      <c r="L119" s="71">
        <v>46141</v>
      </c>
      <c r="M119" s="72">
        <v>10000</v>
      </c>
      <c r="N119" s="72">
        <v>10534.08</v>
      </c>
      <c r="O119" s="73">
        <v>97</v>
      </c>
      <c r="P119" s="73">
        <v>24</v>
      </c>
      <c r="Q119" s="70" t="s">
        <v>496</v>
      </c>
      <c r="R119" s="72">
        <v>849.88</v>
      </c>
      <c r="S119" s="72">
        <v>1392</v>
      </c>
      <c r="T119" s="72">
        <v>4060</v>
      </c>
      <c r="U119" s="72">
        <v>9</v>
      </c>
      <c r="V119" s="72">
        <v>7</v>
      </c>
      <c r="W119" s="72">
        <v>9656.24</v>
      </c>
      <c r="X119" s="72">
        <v>10008.94</v>
      </c>
      <c r="Y119" s="72">
        <v>3072.44</v>
      </c>
      <c r="Z119" s="72">
        <v>2470.7400000000002</v>
      </c>
      <c r="AA119" s="72">
        <v>405.76</v>
      </c>
      <c r="AB119" s="72">
        <v>4060</v>
      </c>
      <c r="AC119" s="72">
        <v>850</v>
      </c>
      <c r="AD119" s="71">
        <v>45833</v>
      </c>
      <c r="AE119" s="70" t="s">
        <v>69</v>
      </c>
      <c r="AF119" s="70" t="s">
        <v>1470</v>
      </c>
      <c r="AG119" s="70" t="s">
        <v>683</v>
      </c>
      <c r="AH119" s="68"/>
      <c r="AI119" s="70" t="s">
        <v>684</v>
      </c>
      <c r="AJ119" s="70" t="s">
        <v>1471</v>
      </c>
      <c r="AK119" s="68"/>
      <c r="AL119" s="68"/>
      <c r="AM119" s="70" t="s">
        <v>854</v>
      </c>
      <c r="AN119" s="70" t="s">
        <v>1472</v>
      </c>
      <c r="AO119" s="70" t="s">
        <v>852</v>
      </c>
      <c r="AP119" s="70" t="s">
        <v>1473</v>
      </c>
      <c r="AQ119" s="70" t="s">
        <v>853</v>
      </c>
      <c r="AR119" s="70" t="s">
        <v>1474</v>
      </c>
      <c r="AS119" s="68"/>
      <c r="AT119" s="68"/>
      <c r="AU119" s="68"/>
      <c r="AV119" s="68"/>
      <c r="AW119" s="68"/>
      <c r="AX119" s="68"/>
      <c r="AY119" s="72">
        <v>21887.170000000002</v>
      </c>
      <c r="AZ119" s="72">
        <v>0</v>
      </c>
      <c r="BA119" s="70" t="s">
        <v>67</v>
      </c>
      <c r="BB119" s="70" t="s">
        <v>1044</v>
      </c>
      <c r="BC119" s="70" t="s">
        <v>2893</v>
      </c>
      <c r="BD119" s="70" t="s">
        <v>681</v>
      </c>
      <c r="BE119" s="70" t="s">
        <v>74</v>
      </c>
      <c r="BF119" s="70" t="s">
        <v>194</v>
      </c>
      <c r="BG119" s="68"/>
      <c r="BI119" s="68"/>
      <c r="BJ119" s="68"/>
      <c r="BK119" s="70">
        <v>7</v>
      </c>
      <c r="BL119" s="70">
        <v>7</v>
      </c>
      <c r="BM119" s="70" t="s">
        <v>2847</v>
      </c>
    </row>
    <row r="120" spans="1:65" x14ac:dyDescent="0.3">
      <c r="A120" s="1" t="str">
        <f t="shared" si="2"/>
        <v>001354</v>
      </c>
      <c r="B120" s="70" t="s">
        <v>61</v>
      </c>
      <c r="C120" s="70" t="s">
        <v>194</v>
      </c>
      <c r="D120" s="70" t="s">
        <v>588</v>
      </c>
      <c r="E120" s="70" t="s">
        <v>589</v>
      </c>
      <c r="F120" s="70" t="s">
        <v>2800</v>
      </c>
      <c r="G120" s="70" t="s">
        <v>2801</v>
      </c>
      <c r="H120" s="70" t="s">
        <v>2203</v>
      </c>
      <c r="I120" s="70" t="s">
        <v>67</v>
      </c>
      <c r="J120" s="70" t="s">
        <v>855</v>
      </c>
      <c r="K120" s="71">
        <v>45806</v>
      </c>
      <c r="L120" s="71">
        <v>45974</v>
      </c>
      <c r="M120" s="72">
        <v>10000</v>
      </c>
      <c r="N120" s="72">
        <v>10534.08</v>
      </c>
      <c r="O120" s="73">
        <v>68</v>
      </c>
      <c r="P120" s="73">
        <v>12</v>
      </c>
      <c r="Q120" s="70" t="s">
        <v>496</v>
      </c>
      <c r="R120" s="72">
        <v>1288.8</v>
      </c>
      <c r="S120" s="72">
        <v>696</v>
      </c>
      <c r="T120" s="72">
        <v>2900</v>
      </c>
      <c r="U120" s="72">
        <v>9</v>
      </c>
      <c r="V120" s="72">
        <v>5</v>
      </c>
      <c r="W120" s="72">
        <v>7022.7300000000005</v>
      </c>
      <c r="X120" s="72">
        <v>9344.02</v>
      </c>
      <c r="Y120" s="72">
        <v>4389.21</v>
      </c>
      <c r="Z120" s="72">
        <v>1764.81</v>
      </c>
      <c r="AA120" s="72">
        <v>290</v>
      </c>
      <c r="AB120" s="72">
        <v>2900</v>
      </c>
      <c r="AC120" s="72">
        <v>1288.8</v>
      </c>
      <c r="AD120" s="71">
        <v>45862</v>
      </c>
      <c r="AE120" s="70" t="s">
        <v>69</v>
      </c>
      <c r="AF120" s="70" t="s">
        <v>2204</v>
      </c>
      <c r="AG120" s="70" t="s">
        <v>856</v>
      </c>
      <c r="AH120" s="68"/>
      <c r="AI120" s="70" t="s">
        <v>86</v>
      </c>
      <c r="AJ120" s="70" t="s">
        <v>87</v>
      </c>
      <c r="AK120" s="68"/>
      <c r="AL120" s="68"/>
      <c r="AM120" s="70" t="s">
        <v>859</v>
      </c>
      <c r="AN120" s="70" t="s">
        <v>2205</v>
      </c>
      <c r="AO120" s="70" t="s">
        <v>857</v>
      </c>
      <c r="AP120" s="70" t="s">
        <v>2206</v>
      </c>
      <c r="AQ120" s="70" t="s">
        <v>858</v>
      </c>
      <c r="AR120" s="70" t="s">
        <v>2207</v>
      </c>
      <c r="AS120" s="68"/>
      <c r="AT120" s="68"/>
      <c r="AU120" s="68"/>
      <c r="AV120" s="68"/>
      <c r="AW120" s="68"/>
      <c r="AX120" s="68"/>
      <c r="AY120" s="72">
        <v>13036.42</v>
      </c>
      <c r="AZ120" s="72">
        <v>0</v>
      </c>
      <c r="BA120" s="70" t="s">
        <v>67</v>
      </c>
      <c r="BB120" s="70" t="s">
        <v>1044</v>
      </c>
      <c r="BC120" s="70" t="s">
        <v>2887</v>
      </c>
      <c r="BD120" s="70" t="s">
        <v>651</v>
      </c>
      <c r="BE120" s="70" t="s">
        <v>74</v>
      </c>
      <c r="BF120" s="70" t="s">
        <v>646</v>
      </c>
      <c r="BG120" s="68"/>
      <c r="BI120" s="68"/>
      <c r="BJ120" s="68"/>
      <c r="BK120" s="70">
        <v>5</v>
      </c>
      <c r="BL120" s="70">
        <v>5</v>
      </c>
      <c r="BM120" s="70" t="s">
        <v>2847</v>
      </c>
    </row>
    <row r="121" spans="1:65" x14ac:dyDescent="0.3">
      <c r="A121" s="1" t="str">
        <f t="shared" si="2"/>
        <v>001397</v>
      </c>
      <c r="B121" s="70" t="s">
        <v>61</v>
      </c>
      <c r="C121" s="70" t="s">
        <v>194</v>
      </c>
      <c r="D121" s="70" t="s">
        <v>588</v>
      </c>
      <c r="E121" s="70" t="s">
        <v>589</v>
      </c>
      <c r="F121" s="70" t="s">
        <v>2800</v>
      </c>
      <c r="G121" s="70" t="s">
        <v>2801</v>
      </c>
      <c r="H121" s="70" t="s">
        <v>1475</v>
      </c>
      <c r="I121" s="70" t="s">
        <v>67</v>
      </c>
      <c r="J121" s="70" t="s">
        <v>1143</v>
      </c>
      <c r="K121" s="71">
        <v>45820</v>
      </c>
      <c r="L121" s="71">
        <v>45988</v>
      </c>
      <c r="M121" s="72">
        <v>8000</v>
      </c>
      <c r="N121" s="72">
        <v>8427.26</v>
      </c>
      <c r="O121" s="73">
        <v>68</v>
      </c>
      <c r="P121" s="73">
        <v>12</v>
      </c>
      <c r="Q121" s="70" t="s">
        <v>496</v>
      </c>
      <c r="R121" s="72">
        <v>1042.6400000000001</v>
      </c>
      <c r="S121" s="72">
        <v>696</v>
      </c>
      <c r="T121" s="72">
        <v>2900</v>
      </c>
      <c r="U121" s="72">
        <v>8</v>
      </c>
      <c r="V121" s="72">
        <v>5</v>
      </c>
      <c r="W121" s="72">
        <v>6320.4400000000005</v>
      </c>
      <c r="X121" s="72">
        <v>8111.7033000000001</v>
      </c>
      <c r="Y121" s="72">
        <v>3511.35</v>
      </c>
      <c r="Z121" s="72">
        <v>1411.8500000000001</v>
      </c>
      <c r="AA121" s="72">
        <v>288.5</v>
      </c>
      <c r="AB121" s="72">
        <v>2900</v>
      </c>
      <c r="AC121" s="72">
        <v>43</v>
      </c>
      <c r="AD121" s="71">
        <v>45866</v>
      </c>
      <c r="AE121" s="70" t="s">
        <v>69</v>
      </c>
      <c r="AF121" s="70" t="s">
        <v>1476</v>
      </c>
      <c r="AG121" s="70" t="s">
        <v>1144</v>
      </c>
      <c r="AH121" s="68"/>
      <c r="AI121" s="70" t="s">
        <v>283</v>
      </c>
      <c r="AJ121" s="70" t="s">
        <v>284</v>
      </c>
      <c r="AK121" s="70" t="s">
        <v>1145</v>
      </c>
      <c r="AL121" s="68"/>
      <c r="AM121" s="70" t="s">
        <v>1146</v>
      </c>
      <c r="AN121" s="70" t="s">
        <v>1477</v>
      </c>
      <c r="AO121" s="70" t="s">
        <v>1147</v>
      </c>
      <c r="AP121" s="70" t="s">
        <v>1478</v>
      </c>
      <c r="AQ121" s="68"/>
      <c r="AR121" s="68"/>
      <c r="AS121" s="68"/>
      <c r="AT121" s="68"/>
      <c r="AU121" s="68"/>
      <c r="AV121" s="68"/>
      <c r="AW121" s="68"/>
      <c r="AX121" s="68"/>
      <c r="AY121" s="72">
        <v>12050.26</v>
      </c>
      <c r="AZ121" s="72">
        <v>0</v>
      </c>
      <c r="BA121" s="70" t="s">
        <v>67</v>
      </c>
      <c r="BB121" s="70" t="s">
        <v>1044</v>
      </c>
      <c r="BC121" s="70" t="s">
        <v>2933</v>
      </c>
      <c r="BD121" s="70" t="s">
        <v>645</v>
      </c>
      <c r="BE121" s="70" t="s">
        <v>74</v>
      </c>
      <c r="BF121" s="70" t="s">
        <v>646</v>
      </c>
      <c r="BG121" s="70" t="s">
        <v>1148</v>
      </c>
      <c r="BH121" s="70"/>
      <c r="BI121" s="68"/>
      <c r="BJ121" s="68"/>
      <c r="BK121" s="70">
        <v>7</v>
      </c>
      <c r="BL121" s="70">
        <v>7</v>
      </c>
      <c r="BM121" s="70" t="s">
        <v>2847</v>
      </c>
    </row>
    <row r="122" spans="1:65" x14ac:dyDescent="0.3">
      <c r="A122" s="1" t="str">
        <f t="shared" si="2"/>
        <v>001357</v>
      </c>
      <c r="B122" s="70" t="s">
        <v>61</v>
      </c>
      <c r="C122" s="70" t="s">
        <v>194</v>
      </c>
      <c r="D122" s="70" t="s">
        <v>588</v>
      </c>
      <c r="E122" s="70" t="s">
        <v>589</v>
      </c>
      <c r="F122" s="70" t="s">
        <v>2800</v>
      </c>
      <c r="G122" s="70" t="s">
        <v>2801</v>
      </c>
      <c r="H122" s="70" t="s">
        <v>2220</v>
      </c>
      <c r="I122" s="70" t="s">
        <v>67</v>
      </c>
      <c r="J122" s="70" t="s">
        <v>1016</v>
      </c>
      <c r="K122" s="71">
        <v>45807</v>
      </c>
      <c r="L122" s="71">
        <v>46031</v>
      </c>
      <c r="M122" s="72">
        <v>10000</v>
      </c>
      <c r="N122" s="72">
        <v>10534.08</v>
      </c>
      <c r="O122" s="73">
        <v>39</v>
      </c>
      <c r="P122" s="73">
        <v>16</v>
      </c>
      <c r="Q122" s="70" t="s">
        <v>496</v>
      </c>
      <c r="R122" s="72">
        <v>1069.3399999999999</v>
      </c>
      <c r="S122" s="72">
        <v>928</v>
      </c>
      <c r="T122" s="72">
        <v>1740</v>
      </c>
      <c r="U122" s="72">
        <v>9</v>
      </c>
      <c r="V122" s="72">
        <v>3</v>
      </c>
      <c r="W122" s="72">
        <v>6583.8</v>
      </c>
      <c r="X122" s="72">
        <v>4944.08</v>
      </c>
      <c r="Y122" s="72">
        <v>1975.14</v>
      </c>
      <c r="Z122" s="72">
        <v>1058.8900000000001</v>
      </c>
      <c r="AA122" s="72">
        <v>170.05</v>
      </c>
      <c r="AB122" s="72">
        <v>1740</v>
      </c>
      <c r="AC122" s="72">
        <v>1070</v>
      </c>
      <c r="AD122" s="71">
        <v>45891</v>
      </c>
      <c r="AE122" s="70" t="s">
        <v>69</v>
      </c>
      <c r="AF122" s="70" t="s">
        <v>2221</v>
      </c>
      <c r="AG122" s="70" t="s">
        <v>1017</v>
      </c>
      <c r="AH122" s="68"/>
      <c r="AI122" s="70" t="s">
        <v>283</v>
      </c>
      <c r="AJ122" s="70" t="s">
        <v>284</v>
      </c>
      <c r="AK122" s="68"/>
      <c r="AL122" s="68"/>
      <c r="AM122" s="70" t="s">
        <v>1018</v>
      </c>
      <c r="AN122" s="70" t="s">
        <v>2222</v>
      </c>
      <c r="AO122" s="70" t="s">
        <v>1019</v>
      </c>
      <c r="AP122" s="70" t="s">
        <v>2223</v>
      </c>
      <c r="AQ122" s="70" t="s">
        <v>1020</v>
      </c>
      <c r="AR122" s="70" t="s">
        <v>2224</v>
      </c>
      <c r="AS122" s="68"/>
      <c r="AT122" s="68"/>
      <c r="AU122" s="68"/>
      <c r="AV122" s="68"/>
      <c r="AW122" s="68"/>
      <c r="AX122" s="68"/>
      <c r="AY122" s="72">
        <v>12023.47</v>
      </c>
      <c r="AZ122" s="72">
        <v>0</v>
      </c>
      <c r="BA122" s="70" t="s">
        <v>67</v>
      </c>
      <c r="BB122" s="70" t="s">
        <v>1044</v>
      </c>
      <c r="BC122" s="70" t="s">
        <v>2935</v>
      </c>
      <c r="BD122" s="70" t="s">
        <v>1021</v>
      </c>
      <c r="BE122" s="70" t="s">
        <v>74</v>
      </c>
      <c r="BF122" s="70" t="s">
        <v>204</v>
      </c>
      <c r="BG122" s="68"/>
      <c r="BI122" s="68"/>
      <c r="BJ122" s="68"/>
      <c r="BK122" s="70">
        <v>3</v>
      </c>
      <c r="BL122" s="70">
        <v>3</v>
      </c>
      <c r="BM122" s="70" t="s">
        <v>2847</v>
      </c>
    </row>
    <row r="123" spans="1:65" x14ac:dyDescent="0.3">
      <c r="A123" s="1" t="str">
        <f t="shared" si="2"/>
        <v>001482</v>
      </c>
      <c r="B123" s="70" t="s">
        <v>61</v>
      </c>
      <c r="C123" s="70" t="s">
        <v>194</v>
      </c>
      <c r="D123" s="70" t="s">
        <v>588</v>
      </c>
      <c r="E123" s="70" t="s">
        <v>589</v>
      </c>
      <c r="F123" s="70" t="s">
        <v>2800</v>
      </c>
      <c r="G123" s="70" t="s">
        <v>2801</v>
      </c>
      <c r="H123" s="70" t="s">
        <v>2249</v>
      </c>
      <c r="I123" s="70" t="s">
        <v>67</v>
      </c>
      <c r="J123" s="70" t="s">
        <v>1682</v>
      </c>
      <c r="K123" s="71">
        <v>45855</v>
      </c>
      <c r="L123" s="71">
        <v>46023</v>
      </c>
      <c r="M123" s="72">
        <v>5000</v>
      </c>
      <c r="N123" s="72">
        <v>5267.04</v>
      </c>
      <c r="O123" s="73">
        <v>33</v>
      </c>
      <c r="P123" s="73">
        <v>24</v>
      </c>
      <c r="Q123" s="70" t="s">
        <v>469</v>
      </c>
      <c r="R123" s="72">
        <v>365.7</v>
      </c>
      <c r="S123" s="72">
        <v>1392</v>
      </c>
      <c r="T123" s="72">
        <v>2421.2600000000002</v>
      </c>
      <c r="U123" s="72">
        <v>12</v>
      </c>
      <c r="V123" s="72">
        <v>5</v>
      </c>
      <c r="W123" s="72">
        <v>3730.82</v>
      </c>
      <c r="X123" s="72">
        <v>4191.7700000000004</v>
      </c>
      <c r="Y123" s="72">
        <v>1097.3</v>
      </c>
      <c r="Z123" s="72">
        <v>441.21000000000004</v>
      </c>
      <c r="AA123" s="72">
        <v>232</v>
      </c>
      <c r="AB123" s="72">
        <v>2421.2600000000002</v>
      </c>
      <c r="AC123" s="72">
        <v>370</v>
      </c>
      <c r="AD123" s="71">
        <v>45939</v>
      </c>
      <c r="AE123" s="70" t="s">
        <v>69</v>
      </c>
      <c r="AF123" s="70" t="s">
        <v>2250</v>
      </c>
      <c r="AG123" s="70" t="s">
        <v>1683</v>
      </c>
      <c r="AH123" s="68"/>
      <c r="AI123" s="70" t="s">
        <v>1684</v>
      </c>
      <c r="AJ123" s="70" t="s">
        <v>2251</v>
      </c>
      <c r="AK123" s="70" t="s">
        <v>1685</v>
      </c>
      <c r="AL123" s="68"/>
      <c r="AM123" s="70" t="s">
        <v>1686</v>
      </c>
      <c r="AN123" s="70" t="s">
        <v>2252</v>
      </c>
      <c r="AO123" s="70" t="s">
        <v>1687</v>
      </c>
      <c r="AP123" s="70" t="s">
        <v>2253</v>
      </c>
      <c r="AQ123" s="70" t="s">
        <v>1688</v>
      </c>
      <c r="AR123" s="70" t="s">
        <v>2254</v>
      </c>
      <c r="AS123" s="68"/>
      <c r="AT123" s="68"/>
      <c r="AU123" s="68"/>
      <c r="AV123" s="68"/>
      <c r="AW123" s="68"/>
      <c r="AX123" s="68"/>
      <c r="AY123" s="72">
        <v>7884.17</v>
      </c>
      <c r="AZ123" s="72">
        <v>0</v>
      </c>
      <c r="BA123" s="70" t="s">
        <v>67</v>
      </c>
      <c r="BB123" s="70" t="s">
        <v>1044</v>
      </c>
      <c r="BC123" s="70" t="s">
        <v>2962</v>
      </c>
      <c r="BD123" s="70" t="s">
        <v>503</v>
      </c>
      <c r="BE123" s="70" t="s">
        <v>74</v>
      </c>
      <c r="BF123" s="70" t="s">
        <v>503</v>
      </c>
      <c r="BG123" s="70" t="s">
        <v>1689</v>
      </c>
      <c r="BH123" s="70"/>
      <c r="BI123" s="68"/>
      <c r="BJ123" s="68"/>
      <c r="BK123" s="70">
        <v>11</v>
      </c>
      <c r="BL123" s="70">
        <v>9</v>
      </c>
      <c r="BM123" s="70" t="s">
        <v>2847</v>
      </c>
    </row>
    <row r="124" spans="1:65" x14ac:dyDescent="0.3">
      <c r="A124" s="1" t="str">
        <f t="shared" si="2"/>
        <v>001285</v>
      </c>
      <c r="B124" s="70" t="s">
        <v>61</v>
      </c>
      <c r="C124" s="70" t="s">
        <v>194</v>
      </c>
      <c r="D124" s="70" t="s">
        <v>408</v>
      </c>
      <c r="E124" s="70" t="s">
        <v>409</v>
      </c>
      <c r="F124" s="70" t="s">
        <v>2800</v>
      </c>
      <c r="G124" s="70" t="s">
        <v>2801</v>
      </c>
      <c r="H124" s="70" t="s">
        <v>489</v>
      </c>
      <c r="I124" s="70" t="s">
        <v>67</v>
      </c>
      <c r="J124" s="70" t="s">
        <v>490</v>
      </c>
      <c r="K124" s="71">
        <v>45777</v>
      </c>
      <c r="L124" s="71">
        <v>46142</v>
      </c>
      <c r="M124" s="72">
        <v>12000</v>
      </c>
      <c r="N124" s="72">
        <v>12640.89</v>
      </c>
      <c r="O124" s="73">
        <v>137</v>
      </c>
      <c r="P124" s="73">
        <v>12</v>
      </c>
      <c r="Q124" s="70" t="s">
        <v>68</v>
      </c>
      <c r="R124" s="72">
        <v>2031.63</v>
      </c>
      <c r="S124" s="72">
        <v>696</v>
      </c>
      <c r="T124" s="72">
        <v>2900</v>
      </c>
      <c r="U124" s="72">
        <v>0</v>
      </c>
      <c r="V124" s="72">
        <v>5</v>
      </c>
      <c r="W124" s="72">
        <v>12640.89</v>
      </c>
      <c r="X124" s="72">
        <v>13058.147499999999</v>
      </c>
      <c r="Y124" s="72">
        <v>5267.04</v>
      </c>
      <c r="Z124" s="72">
        <v>4601.1099999999997</v>
      </c>
      <c r="AA124" s="72">
        <v>290</v>
      </c>
      <c r="AB124" s="72">
        <v>2900</v>
      </c>
      <c r="AC124" s="68"/>
      <c r="AD124" s="68"/>
      <c r="AE124" s="70" t="s">
        <v>69</v>
      </c>
      <c r="AF124" s="70" t="s">
        <v>491</v>
      </c>
      <c r="AG124" s="70" t="s">
        <v>492</v>
      </c>
      <c r="AH124" s="68"/>
      <c r="AI124" s="70" t="s">
        <v>86</v>
      </c>
      <c r="AJ124" s="70" t="s">
        <v>87</v>
      </c>
      <c r="AK124" s="70" t="s">
        <v>493</v>
      </c>
      <c r="AL124" s="68"/>
      <c r="AM124" s="70" t="s">
        <v>807</v>
      </c>
      <c r="AN124" s="70" t="s">
        <v>1264</v>
      </c>
      <c r="AO124" s="70" t="s">
        <v>804</v>
      </c>
      <c r="AP124" s="70" t="s">
        <v>805</v>
      </c>
      <c r="AQ124" s="70" t="s">
        <v>806</v>
      </c>
      <c r="AR124" s="70" t="s">
        <v>1265</v>
      </c>
      <c r="AS124" s="68"/>
      <c r="AT124" s="68"/>
      <c r="AU124" s="68"/>
      <c r="AV124" s="68"/>
      <c r="AW124" s="68"/>
      <c r="AX124" s="68"/>
      <c r="AY124" s="72">
        <v>26873.55</v>
      </c>
      <c r="AZ124" s="72">
        <v>0</v>
      </c>
      <c r="BA124" s="70" t="s">
        <v>67</v>
      </c>
      <c r="BB124" s="70" t="s">
        <v>1044</v>
      </c>
      <c r="BC124" s="70" t="s">
        <v>2890</v>
      </c>
      <c r="BD124" s="70" t="s">
        <v>494</v>
      </c>
      <c r="BE124" s="70" t="s">
        <v>74</v>
      </c>
      <c r="BF124" s="70" t="s">
        <v>194</v>
      </c>
      <c r="BG124" s="68"/>
      <c r="BI124" s="68"/>
      <c r="BJ124" s="68"/>
      <c r="BK124" s="70">
        <v>5</v>
      </c>
      <c r="BL124" s="70">
        <v>5</v>
      </c>
      <c r="BM124" s="70" t="s">
        <v>2847</v>
      </c>
    </row>
    <row r="125" spans="1:65" x14ac:dyDescent="0.3">
      <c r="A125" s="1" t="str">
        <f t="shared" si="2"/>
        <v>001274</v>
      </c>
      <c r="B125" s="70" t="s">
        <v>61</v>
      </c>
      <c r="C125" s="70" t="s">
        <v>194</v>
      </c>
      <c r="D125" s="70" t="s">
        <v>408</v>
      </c>
      <c r="E125" s="70" t="s">
        <v>409</v>
      </c>
      <c r="F125" s="70" t="s">
        <v>2800</v>
      </c>
      <c r="G125" s="70" t="s">
        <v>2801</v>
      </c>
      <c r="H125" s="70" t="s">
        <v>498</v>
      </c>
      <c r="I125" s="70" t="s">
        <v>67</v>
      </c>
      <c r="J125" s="70" t="s">
        <v>499</v>
      </c>
      <c r="K125" s="71">
        <v>45777</v>
      </c>
      <c r="L125" s="71">
        <v>45960</v>
      </c>
      <c r="M125" s="72">
        <v>15000</v>
      </c>
      <c r="N125" s="72">
        <v>15801.12</v>
      </c>
      <c r="O125" s="73">
        <v>137</v>
      </c>
      <c r="P125" s="73">
        <v>6</v>
      </c>
      <c r="Q125" s="70" t="s">
        <v>68</v>
      </c>
      <c r="R125" s="72">
        <v>3844.9500000000003</v>
      </c>
      <c r="S125" s="72">
        <v>348</v>
      </c>
      <c r="T125" s="72">
        <v>2900</v>
      </c>
      <c r="U125" s="72">
        <v>0</v>
      </c>
      <c r="V125" s="72">
        <v>5</v>
      </c>
      <c r="W125" s="72">
        <v>15801.12</v>
      </c>
      <c r="X125" s="72">
        <v>22124.75</v>
      </c>
      <c r="Y125" s="72">
        <v>13167.6</v>
      </c>
      <c r="Z125" s="72">
        <v>5767.1500000000005</v>
      </c>
      <c r="AA125" s="72">
        <v>290</v>
      </c>
      <c r="AB125" s="72">
        <v>2900</v>
      </c>
      <c r="AC125" s="68"/>
      <c r="AD125" s="68"/>
      <c r="AE125" s="70" t="s">
        <v>69</v>
      </c>
      <c r="AF125" s="70" t="s">
        <v>500</v>
      </c>
      <c r="AG125" s="70" t="s">
        <v>501</v>
      </c>
      <c r="AH125" s="68"/>
      <c r="AI125" s="70" t="s">
        <v>393</v>
      </c>
      <c r="AJ125" s="70" t="s">
        <v>394</v>
      </c>
      <c r="AK125" s="70" t="s">
        <v>502</v>
      </c>
      <c r="AL125" s="68"/>
      <c r="AM125" s="70" t="s">
        <v>814</v>
      </c>
      <c r="AN125" s="70" t="s">
        <v>1266</v>
      </c>
      <c r="AO125" s="70" t="s">
        <v>811</v>
      </c>
      <c r="AP125" s="70" t="s">
        <v>812</v>
      </c>
      <c r="AQ125" s="70" t="s">
        <v>813</v>
      </c>
      <c r="AR125" s="70" t="s">
        <v>1267</v>
      </c>
      <c r="AS125" s="68"/>
      <c r="AT125" s="68"/>
      <c r="AU125" s="68"/>
      <c r="AV125" s="68"/>
      <c r="AW125" s="68"/>
      <c r="AX125" s="68"/>
      <c r="AY125" s="72">
        <v>25911.690000000002</v>
      </c>
      <c r="AZ125" s="72">
        <v>0</v>
      </c>
      <c r="BA125" s="70" t="s">
        <v>67</v>
      </c>
      <c r="BB125" s="70" t="s">
        <v>1044</v>
      </c>
      <c r="BC125" s="70" t="s">
        <v>2868</v>
      </c>
      <c r="BD125" s="70" t="s">
        <v>503</v>
      </c>
      <c r="BE125" s="70" t="s">
        <v>74</v>
      </c>
      <c r="BF125" s="70" t="s">
        <v>503</v>
      </c>
      <c r="BG125" s="68"/>
      <c r="BI125" s="68"/>
      <c r="BJ125" s="68"/>
      <c r="BK125" s="70">
        <v>5</v>
      </c>
      <c r="BL125" s="70">
        <v>5</v>
      </c>
      <c r="BM125" s="70" t="s">
        <v>2847</v>
      </c>
    </row>
    <row r="126" spans="1:65" x14ac:dyDescent="0.3">
      <c r="A126" s="1" t="str">
        <f t="shared" si="2"/>
        <v>001317</v>
      </c>
      <c r="B126" s="70" t="s">
        <v>61</v>
      </c>
      <c r="C126" s="70" t="s">
        <v>194</v>
      </c>
      <c r="D126" s="70" t="s">
        <v>594</v>
      </c>
      <c r="E126" s="70" t="s">
        <v>595</v>
      </c>
      <c r="F126" s="70" t="s">
        <v>2800</v>
      </c>
      <c r="G126" s="70" t="s">
        <v>2801</v>
      </c>
      <c r="H126" s="70" t="s">
        <v>2255</v>
      </c>
      <c r="I126" s="70" t="s">
        <v>67</v>
      </c>
      <c r="J126" s="70" t="s">
        <v>571</v>
      </c>
      <c r="K126" s="71">
        <v>45791</v>
      </c>
      <c r="L126" s="71">
        <v>46156</v>
      </c>
      <c r="M126" s="72">
        <v>20000</v>
      </c>
      <c r="N126" s="72">
        <v>21068.16</v>
      </c>
      <c r="O126" s="73">
        <v>61</v>
      </c>
      <c r="P126" s="73">
        <v>12</v>
      </c>
      <c r="Q126" s="70" t="s">
        <v>68</v>
      </c>
      <c r="R126" s="72">
        <v>3347.38</v>
      </c>
      <c r="S126" s="72">
        <v>696</v>
      </c>
      <c r="T126" s="72">
        <v>1160</v>
      </c>
      <c r="U126" s="72">
        <v>0</v>
      </c>
      <c r="V126" s="72">
        <v>2.9</v>
      </c>
      <c r="W126" s="72">
        <v>17556.8</v>
      </c>
      <c r="X126" s="72">
        <v>10702.16</v>
      </c>
      <c r="Y126" s="72">
        <v>5267.04</v>
      </c>
      <c r="Z126" s="72">
        <v>4159.12</v>
      </c>
      <c r="AA126" s="72">
        <v>116</v>
      </c>
      <c r="AB126" s="72">
        <v>1160</v>
      </c>
      <c r="AC126" s="72">
        <v>500</v>
      </c>
      <c r="AD126" s="71">
        <v>45922</v>
      </c>
      <c r="AE126" s="70" t="s">
        <v>69</v>
      </c>
      <c r="AF126" s="70" t="s">
        <v>2256</v>
      </c>
      <c r="AG126" s="70" t="s">
        <v>572</v>
      </c>
      <c r="AH126" s="68"/>
      <c r="AI126" s="70" t="s">
        <v>283</v>
      </c>
      <c r="AJ126" s="70" t="s">
        <v>284</v>
      </c>
      <c r="AK126" s="68"/>
      <c r="AL126" s="68"/>
      <c r="AM126" s="70" t="s">
        <v>866</v>
      </c>
      <c r="AN126" s="70" t="s">
        <v>2257</v>
      </c>
      <c r="AO126" s="70" t="s">
        <v>864</v>
      </c>
      <c r="AP126" s="70" t="s">
        <v>2258</v>
      </c>
      <c r="AQ126" s="70" t="s">
        <v>865</v>
      </c>
      <c r="AR126" s="70" t="s">
        <v>2259</v>
      </c>
      <c r="AS126" s="68"/>
      <c r="AT126" s="68"/>
      <c r="AU126" s="68"/>
      <c r="AV126" s="68"/>
      <c r="AW126" s="68"/>
      <c r="AX126" s="68"/>
      <c r="AY126" s="72">
        <v>33727.840000000004</v>
      </c>
      <c r="AZ126" s="72">
        <v>0</v>
      </c>
      <c r="BA126" s="70" t="s">
        <v>67</v>
      </c>
      <c r="BB126" s="70" t="s">
        <v>1044</v>
      </c>
      <c r="BC126" s="70" t="s">
        <v>2936</v>
      </c>
      <c r="BD126" s="70" t="s">
        <v>381</v>
      </c>
      <c r="BE126" s="70" t="s">
        <v>74</v>
      </c>
      <c r="BF126" s="70" t="s">
        <v>194</v>
      </c>
      <c r="BG126" s="68"/>
      <c r="BI126" s="68"/>
      <c r="BJ126" s="68"/>
      <c r="BK126" s="70">
        <v>3</v>
      </c>
      <c r="BL126" s="70">
        <v>3</v>
      </c>
      <c r="BM126" s="70" t="s">
        <v>2847</v>
      </c>
    </row>
    <row r="127" spans="1:65" x14ac:dyDescent="0.3">
      <c r="A127" s="1" t="str">
        <f t="shared" si="2"/>
        <v>001807</v>
      </c>
      <c r="B127" s="70" t="s">
        <v>61</v>
      </c>
      <c r="C127" s="70" t="s">
        <v>194</v>
      </c>
      <c r="D127" s="70" t="s">
        <v>588</v>
      </c>
      <c r="E127" s="70" t="s">
        <v>589</v>
      </c>
      <c r="F127" s="70" t="s">
        <v>2800</v>
      </c>
      <c r="G127" s="70" t="s">
        <v>2801</v>
      </c>
      <c r="H127" s="70" t="s">
        <v>2787</v>
      </c>
      <c r="I127" s="70" t="s">
        <v>67</v>
      </c>
      <c r="J127" s="70" t="s">
        <v>2788</v>
      </c>
      <c r="K127" s="71">
        <v>45891</v>
      </c>
      <c r="L127" s="71">
        <v>46059</v>
      </c>
      <c r="M127" s="72">
        <v>10000</v>
      </c>
      <c r="N127" s="72">
        <v>10534.08</v>
      </c>
      <c r="O127" s="73">
        <v>25</v>
      </c>
      <c r="P127" s="73">
        <v>12</v>
      </c>
      <c r="Q127" s="70" t="s">
        <v>496</v>
      </c>
      <c r="R127" s="72">
        <v>1288.8</v>
      </c>
      <c r="S127" s="72">
        <v>696</v>
      </c>
      <c r="T127" s="72">
        <v>1160</v>
      </c>
      <c r="U127" s="72">
        <v>3</v>
      </c>
      <c r="V127" s="72">
        <v>2</v>
      </c>
      <c r="W127" s="72">
        <v>9656.24</v>
      </c>
      <c r="X127" s="72">
        <v>3737.61</v>
      </c>
      <c r="Y127" s="72">
        <v>1755.68</v>
      </c>
      <c r="Z127" s="72">
        <v>705.93000000000006</v>
      </c>
      <c r="AA127" s="72">
        <v>116</v>
      </c>
      <c r="AB127" s="72">
        <v>1160</v>
      </c>
      <c r="AC127" s="72">
        <v>1288.8</v>
      </c>
      <c r="AD127" s="71">
        <v>45905</v>
      </c>
      <c r="AE127" s="70" t="s">
        <v>69</v>
      </c>
      <c r="AF127" s="70" t="s">
        <v>2789</v>
      </c>
      <c r="AG127" s="70" t="s">
        <v>2790</v>
      </c>
      <c r="AH127" s="68"/>
      <c r="AI127" s="70" t="s">
        <v>481</v>
      </c>
      <c r="AJ127" s="70" t="s">
        <v>482</v>
      </c>
      <c r="AK127" s="70" t="s">
        <v>2791</v>
      </c>
      <c r="AL127" s="68"/>
      <c r="AM127" s="70" t="s">
        <v>2792</v>
      </c>
      <c r="AN127" s="70" t="s">
        <v>2793</v>
      </c>
      <c r="AO127" s="70" t="s">
        <v>2794</v>
      </c>
      <c r="AP127" s="70" t="s">
        <v>2795</v>
      </c>
      <c r="AQ127" s="70" t="s">
        <v>2796</v>
      </c>
      <c r="AR127" s="70" t="s">
        <v>2797</v>
      </c>
      <c r="AS127" s="68"/>
      <c r="AT127" s="68"/>
      <c r="AU127" s="68"/>
      <c r="AV127" s="68"/>
      <c r="AW127" s="68"/>
      <c r="AX127" s="68"/>
      <c r="AY127" s="72">
        <v>14814.82</v>
      </c>
      <c r="AZ127" s="72">
        <v>0</v>
      </c>
      <c r="BA127" s="70" t="s">
        <v>67</v>
      </c>
      <c r="BB127" s="70" t="s">
        <v>1044</v>
      </c>
      <c r="BC127" s="70" t="s">
        <v>2895</v>
      </c>
      <c r="BD127" s="70" t="s">
        <v>2798</v>
      </c>
      <c r="BE127" s="70" t="s">
        <v>74</v>
      </c>
      <c r="BF127" s="70" t="s">
        <v>194</v>
      </c>
      <c r="BG127" s="70" t="s">
        <v>2799</v>
      </c>
      <c r="BH127" s="70"/>
      <c r="BI127" s="68"/>
      <c r="BJ127" s="68"/>
      <c r="BK127" s="70">
        <v>2</v>
      </c>
      <c r="BL127" s="70">
        <v>2</v>
      </c>
      <c r="BM127" s="70" t="s">
        <v>2847</v>
      </c>
    </row>
    <row r="128" spans="1:65" x14ac:dyDescent="0.3">
      <c r="A128" s="1" t="str">
        <f t="shared" si="2"/>
        <v>001473</v>
      </c>
      <c r="B128" s="70" t="s">
        <v>61</v>
      </c>
      <c r="C128" s="70" t="s">
        <v>194</v>
      </c>
      <c r="D128" s="70" t="s">
        <v>588</v>
      </c>
      <c r="E128" s="70" t="s">
        <v>589</v>
      </c>
      <c r="F128" s="70" t="s">
        <v>2800</v>
      </c>
      <c r="G128" s="70" t="s">
        <v>2801</v>
      </c>
      <c r="H128" s="70" t="s">
        <v>2280</v>
      </c>
      <c r="I128" s="70" t="s">
        <v>67</v>
      </c>
      <c r="J128" s="70" t="s">
        <v>1585</v>
      </c>
      <c r="K128" s="71">
        <v>45846</v>
      </c>
      <c r="L128" s="71">
        <v>46211</v>
      </c>
      <c r="M128" s="72">
        <v>10000</v>
      </c>
      <c r="N128" s="72">
        <v>10534.08</v>
      </c>
      <c r="O128" s="73">
        <v>36</v>
      </c>
      <c r="P128" s="73">
        <v>12</v>
      </c>
      <c r="Q128" s="70" t="s">
        <v>68</v>
      </c>
      <c r="R128" s="72">
        <v>1702.69</v>
      </c>
      <c r="S128" s="72">
        <v>696</v>
      </c>
      <c r="T128" s="72">
        <v>1160</v>
      </c>
      <c r="U128" s="72">
        <v>0</v>
      </c>
      <c r="V128" s="72">
        <v>2</v>
      </c>
      <c r="W128" s="72">
        <v>9656.24</v>
      </c>
      <c r="X128" s="72">
        <v>4564.08</v>
      </c>
      <c r="Y128" s="72">
        <v>1755.68</v>
      </c>
      <c r="Z128" s="72">
        <v>1533.71</v>
      </c>
      <c r="AA128" s="72">
        <v>114.69</v>
      </c>
      <c r="AB128" s="72">
        <v>1160</v>
      </c>
      <c r="AC128" s="72">
        <v>2284</v>
      </c>
      <c r="AD128" s="71">
        <v>45890</v>
      </c>
      <c r="AE128" s="70" t="s">
        <v>69</v>
      </c>
      <c r="AF128" s="70" t="s">
        <v>2281</v>
      </c>
      <c r="AG128" s="70" t="s">
        <v>1586</v>
      </c>
      <c r="AH128" s="68"/>
      <c r="AI128" s="70" t="s">
        <v>1360</v>
      </c>
      <c r="AJ128" s="70" t="s">
        <v>1957</v>
      </c>
      <c r="AK128" s="68"/>
      <c r="AL128" s="68"/>
      <c r="AM128" s="70" t="s">
        <v>1587</v>
      </c>
      <c r="AN128" s="70" t="s">
        <v>2282</v>
      </c>
      <c r="AO128" s="70" t="s">
        <v>1588</v>
      </c>
      <c r="AP128" s="70" t="s">
        <v>2283</v>
      </c>
      <c r="AQ128" s="70" t="s">
        <v>1589</v>
      </c>
      <c r="AR128" s="70" t="s">
        <v>2284</v>
      </c>
      <c r="AS128" s="68"/>
      <c r="AT128" s="68"/>
      <c r="AU128" s="68"/>
      <c r="AV128" s="68"/>
      <c r="AW128" s="68"/>
      <c r="AX128" s="68"/>
      <c r="AY128" s="72">
        <v>19366.3</v>
      </c>
      <c r="AZ128" s="72">
        <v>0</v>
      </c>
      <c r="BA128" s="70" t="s">
        <v>67</v>
      </c>
      <c r="BB128" s="70" t="s">
        <v>1044</v>
      </c>
      <c r="BC128" s="70" t="s">
        <v>3017</v>
      </c>
      <c r="BD128" s="70" t="s">
        <v>550</v>
      </c>
      <c r="BE128" s="70" t="s">
        <v>74</v>
      </c>
      <c r="BF128" s="70" t="s">
        <v>503</v>
      </c>
      <c r="BG128" s="70" t="s">
        <v>1590</v>
      </c>
      <c r="BH128" s="70"/>
      <c r="BI128" s="68"/>
      <c r="BJ128" s="68"/>
      <c r="BK128" s="70">
        <v>3</v>
      </c>
      <c r="BL128" s="70">
        <v>3</v>
      </c>
      <c r="BM128" s="70" t="s">
        <v>2847</v>
      </c>
    </row>
    <row r="129" spans="1:65" x14ac:dyDescent="0.3">
      <c r="A129" s="1" t="str">
        <f t="shared" si="2"/>
        <v>001245</v>
      </c>
      <c r="B129" s="70" t="s">
        <v>61</v>
      </c>
      <c r="C129" s="70" t="s">
        <v>194</v>
      </c>
      <c r="D129" s="70" t="s">
        <v>408</v>
      </c>
      <c r="E129" s="70" t="s">
        <v>409</v>
      </c>
      <c r="F129" s="70" t="s">
        <v>2800</v>
      </c>
      <c r="G129" s="70" t="s">
        <v>2801</v>
      </c>
      <c r="H129" s="70" t="s">
        <v>375</v>
      </c>
      <c r="I129" s="70" t="s">
        <v>67</v>
      </c>
      <c r="J129" s="70" t="s">
        <v>376</v>
      </c>
      <c r="K129" s="71">
        <v>45761</v>
      </c>
      <c r="L129" s="71">
        <v>45944</v>
      </c>
      <c r="M129" s="72">
        <v>10000</v>
      </c>
      <c r="N129" s="72">
        <v>10534.08</v>
      </c>
      <c r="O129" s="73">
        <v>153</v>
      </c>
      <c r="P129" s="73">
        <v>6</v>
      </c>
      <c r="Q129" s="70" t="s">
        <v>68</v>
      </c>
      <c r="R129" s="72">
        <v>2351.3000000000002</v>
      </c>
      <c r="S129" s="72">
        <v>348</v>
      </c>
      <c r="T129" s="72">
        <v>2900</v>
      </c>
      <c r="U129" s="72">
        <v>0</v>
      </c>
      <c r="V129" s="72">
        <v>5.6000000000000014</v>
      </c>
      <c r="W129" s="72">
        <v>10129.700000000001</v>
      </c>
      <c r="X129" s="72">
        <v>16007.83</v>
      </c>
      <c r="Y129" s="72">
        <v>10129.700000000001</v>
      </c>
      <c r="Z129" s="72">
        <v>2688.12</v>
      </c>
      <c r="AA129" s="72">
        <v>290.01</v>
      </c>
      <c r="AB129" s="72">
        <v>2900</v>
      </c>
      <c r="AC129" s="72">
        <v>1000</v>
      </c>
      <c r="AD129" s="71">
        <v>45932</v>
      </c>
      <c r="AE129" s="70" t="s">
        <v>69</v>
      </c>
      <c r="AF129" s="70" t="s">
        <v>377</v>
      </c>
      <c r="AG129" s="70" t="s">
        <v>378</v>
      </c>
      <c r="AH129" s="68"/>
      <c r="AI129" s="70" t="s">
        <v>379</v>
      </c>
      <c r="AJ129" s="70" t="s">
        <v>380</v>
      </c>
      <c r="AK129" s="70" t="s">
        <v>416</v>
      </c>
      <c r="AL129" s="68"/>
      <c r="AM129" s="70" t="s">
        <v>824</v>
      </c>
      <c r="AN129" s="70" t="s">
        <v>1268</v>
      </c>
      <c r="AO129" s="70" t="s">
        <v>821</v>
      </c>
      <c r="AP129" s="70" t="s">
        <v>822</v>
      </c>
      <c r="AQ129" s="70" t="s">
        <v>823</v>
      </c>
      <c r="AR129" s="70" t="s">
        <v>1269</v>
      </c>
      <c r="AS129" s="68"/>
      <c r="AT129" s="68"/>
      <c r="AU129" s="68"/>
      <c r="AV129" s="68"/>
      <c r="AW129" s="68"/>
      <c r="AX129" s="68"/>
      <c r="AY129" s="72">
        <v>16007.83</v>
      </c>
      <c r="AZ129" s="72">
        <v>0</v>
      </c>
      <c r="BA129" s="70" t="s">
        <v>67</v>
      </c>
      <c r="BB129" s="70" t="s">
        <v>1044</v>
      </c>
      <c r="BC129" s="70" t="s">
        <v>2979</v>
      </c>
      <c r="BD129" s="70" t="s">
        <v>381</v>
      </c>
      <c r="BE129" s="70" t="s">
        <v>74</v>
      </c>
      <c r="BF129" s="70" t="s">
        <v>194</v>
      </c>
      <c r="BG129" s="68"/>
      <c r="BI129" s="68"/>
      <c r="BJ129" s="68"/>
      <c r="BK129" s="70">
        <v>6</v>
      </c>
      <c r="BL129" s="70">
        <v>6</v>
      </c>
      <c r="BM129" s="70" t="s">
        <v>2847</v>
      </c>
    </row>
    <row r="130" spans="1:65" x14ac:dyDescent="0.3">
      <c r="A130" s="1" t="str">
        <f t="shared" si="2"/>
        <v>001262</v>
      </c>
      <c r="B130" s="70" t="s">
        <v>61</v>
      </c>
      <c r="C130" s="70" t="s">
        <v>194</v>
      </c>
      <c r="D130" s="70" t="s">
        <v>408</v>
      </c>
      <c r="E130" s="70" t="s">
        <v>409</v>
      </c>
      <c r="F130" s="70" t="s">
        <v>2800</v>
      </c>
      <c r="G130" s="70" t="s">
        <v>2801</v>
      </c>
      <c r="H130" s="70" t="s">
        <v>2102</v>
      </c>
      <c r="I130" s="70" t="s">
        <v>67</v>
      </c>
      <c r="J130" s="70" t="s">
        <v>426</v>
      </c>
      <c r="K130" s="71">
        <v>45769</v>
      </c>
      <c r="L130" s="71">
        <v>45953</v>
      </c>
      <c r="M130" s="72">
        <v>7000</v>
      </c>
      <c r="N130" s="72">
        <v>7373.85</v>
      </c>
      <c r="O130" s="73">
        <v>21</v>
      </c>
      <c r="P130" s="73">
        <v>6</v>
      </c>
      <c r="Q130" s="70" t="s">
        <v>68</v>
      </c>
      <c r="R130" s="72">
        <v>1825.24</v>
      </c>
      <c r="S130" s="72">
        <v>348</v>
      </c>
      <c r="T130" s="72">
        <v>337.97</v>
      </c>
      <c r="U130" s="72">
        <v>0</v>
      </c>
      <c r="V130" s="72">
        <v>1</v>
      </c>
      <c r="W130" s="72">
        <v>2457.9500000000003</v>
      </c>
      <c r="X130" s="72">
        <v>2105.2073525000001</v>
      </c>
      <c r="Y130" s="72">
        <v>1228.98</v>
      </c>
      <c r="Z130" s="72">
        <v>538.26</v>
      </c>
      <c r="AA130" s="72">
        <v>0</v>
      </c>
      <c r="AB130" s="72">
        <v>337.97</v>
      </c>
      <c r="AC130" s="72">
        <v>300</v>
      </c>
      <c r="AD130" s="71">
        <v>45932</v>
      </c>
      <c r="AE130" s="70" t="s">
        <v>69</v>
      </c>
      <c r="AF130" s="70" t="s">
        <v>2103</v>
      </c>
      <c r="AG130" s="70" t="s">
        <v>427</v>
      </c>
      <c r="AH130" s="68"/>
      <c r="AI130" s="70" t="s">
        <v>428</v>
      </c>
      <c r="AJ130" s="70" t="s">
        <v>2104</v>
      </c>
      <c r="AK130" s="68"/>
      <c r="AL130" s="68"/>
      <c r="AM130" s="70" t="s">
        <v>827</v>
      </c>
      <c r="AN130" s="70" t="s">
        <v>2105</v>
      </c>
      <c r="AO130" s="70" t="s">
        <v>825</v>
      </c>
      <c r="AP130" s="70" t="s">
        <v>2106</v>
      </c>
      <c r="AQ130" s="70" t="s">
        <v>826</v>
      </c>
      <c r="AR130" s="70" t="s">
        <v>2107</v>
      </c>
      <c r="AS130" s="68"/>
      <c r="AT130" s="68"/>
      <c r="AU130" s="68"/>
      <c r="AV130" s="68"/>
      <c r="AW130" s="68"/>
      <c r="AX130" s="68"/>
      <c r="AY130" s="72">
        <v>3872.4500000000003</v>
      </c>
      <c r="AZ130" s="72">
        <v>0</v>
      </c>
      <c r="BA130" s="70" t="s">
        <v>67</v>
      </c>
      <c r="BB130" s="70" t="s">
        <v>1044</v>
      </c>
      <c r="BC130" s="70" t="s">
        <v>429</v>
      </c>
      <c r="BD130" s="70" t="s">
        <v>430</v>
      </c>
      <c r="BE130" s="70" t="s">
        <v>74</v>
      </c>
      <c r="BF130" s="70" t="s">
        <v>194</v>
      </c>
      <c r="BG130" s="68"/>
      <c r="BI130" s="68"/>
      <c r="BJ130" s="68"/>
      <c r="BK130" s="70">
        <v>2</v>
      </c>
      <c r="BL130" s="70">
        <v>2</v>
      </c>
      <c r="BM130" s="70" t="s">
        <v>2847</v>
      </c>
    </row>
    <row r="131" spans="1:65" x14ac:dyDescent="0.3">
      <c r="A131" s="1" t="str">
        <f t="shared" si="2"/>
        <v>001765</v>
      </c>
      <c r="B131" s="70" t="s">
        <v>61</v>
      </c>
      <c r="C131" s="70" t="s">
        <v>194</v>
      </c>
      <c r="D131" s="70" t="s">
        <v>588</v>
      </c>
      <c r="E131" s="70" t="s">
        <v>589</v>
      </c>
      <c r="F131" s="70" t="s">
        <v>2800</v>
      </c>
      <c r="G131" s="70" t="s">
        <v>2801</v>
      </c>
      <c r="H131" s="70" t="s">
        <v>2716</v>
      </c>
      <c r="I131" s="70" t="s">
        <v>67</v>
      </c>
      <c r="J131" s="70" t="s">
        <v>2717</v>
      </c>
      <c r="K131" s="71">
        <v>45883</v>
      </c>
      <c r="L131" s="71">
        <v>46067</v>
      </c>
      <c r="M131" s="72">
        <v>10000</v>
      </c>
      <c r="N131" s="72">
        <v>10534.08</v>
      </c>
      <c r="O131" s="73">
        <v>29</v>
      </c>
      <c r="P131" s="73">
        <v>6</v>
      </c>
      <c r="Q131" s="70" t="s">
        <v>68</v>
      </c>
      <c r="R131" s="72">
        <v>2586.83</v>
      </c>
      <c r="S131" s="72">
        <v>348</v>
      </c>
      <c r="T131" s="72">
        <v>580</v>
      </c>
      <c r="U131" s="72">
        <v>0</v>
      </c>
      <c r="V131" s="72">
        <v>2</v>
      </c>
      <c r="W131" s="72">
        <v>10534.08</v>
      </c>
      <c r="X131" s="72">
        <v>5753.67</v>
      </c>
      <c r="Y131" s="72">
        <v>3511.36</v>
      </c>
      <c r="Z131" s="72">
        <v>1546.31</v>
      </c>
      <c r="AA131" s="72">
        <v>116</v>
      </c>
      <c r="AB131" s="72">
        <v>580</v>
      </c>
      <c r="AC131" s="68"/>
      <c r="AD131" s="68"/>
      <c r="AE131" s="70" t="s">
        <v>69</v>
      </c>
      <c r="AF131" s="70" t="s">
        <v>2718</v>
      </c>
      <c r="AG131" s="70" t="s">
        <v>2719</v>
      </c>
      <c r="AH131" s="68"/>
      <c r="AI131" s="70" t="s">
        <v>393</v>
      </c>
      <c r="AJ131" s="70" t="s">
        <v>394</v>
      </c>
      <c r="AK131" s="70" t="s">
        <v>2720</v>
      </c>
      <c r="AL131" s="68"/>
      <c r="AM131" s="70" t="s">
        <v>2721</v>
      </c>
      <c r="AN131" s="70" t="s">
        <v>2722</v>
      </c>
      <c r="AO131" s="70" t="s">
        <v>2723</v>
      </c>
      <c r="AP131" s="70" t="s">
        <v>2724</v>
      </c>
      <c r="AQ131" s="70" t="s">
        <v>2725</v>
      </c>
      <c r="AR131" s="70" t="s">
        <v>2726</v>
      </c>
      <c r="AS131" s="68"/>
      <c r="AT131" s="68"/>
      <c r="AU131" s="68"/>
      <c r="AV131" s="68"/>
      <c r="AW131" s="68"/>
      <c r="AX131" s="68"/>
      <c r="AY131" s="72">
        <v>15869.01</v>
      </c>
      <c r="AZ131" s="72">
        <v>0</v>
      </c>
      <c r="BA131" s="70" t="s">
        <v>67</v>
      </c>
      <c r="BB131" s="70" t="s">
        <v>1044</v>
      </c>
      <c r="BC131" s="70" t="s">
        <v>2727</v>
      </c>
      <c r="BD131" s="70" t="s">
        <v>2728</v>
      </c>
      <c r="BE131" s="70" t="s">
        <v>74</v>
      </c>
      <c r="BF131" s="70" t="s">
        <v>194</v>
      </c>
      <c r="BG131" s="70" t="s">
        <v>2729</v>
      </c>
      <c r="BH131" s="70"/>
      <c r="BI131" s="68"/>
      <c r="BJ131" s="68"/>
      <c r="BK131" s="70">
        <v>2</v>
      </c>
      <c r="BL131" s="70">
        <v>2</v>
      </c>
      <c r="BM131" s="70" t="s">
        <v>2847</v>
      </c>
    </row>
    <row r="132" spans="1:65" x14ac:dyDescent="0.3">
      <c r="A132" s="1" t="str">
        <f t="shared" si="2"/>
        <v>001056</v>
      </c>
      <c r="B132" s="70" t="s">
        <v>61</v>
      </c>
      <c r="C132" s="70" t="s">
        <v>205</v>
      </c>
      <c r="D132" s="70" t="s">
        <v>215</v>
      </c>
      <c r="E132" s="70" t="s">
        <v>216</v>
      </c>
      <c r="F132" s="70" t="s">
        <v>2783</v>
      </c>
      <c r="G132" s="70" t="s">
        <v>2784</v>
      </c>
      <c r="H132" s="70" t="s">
        <v>224</v>
      </c>
      <c r="I132" s="70" t="s">
        <v>67</v>
      </c>
      <c r="J132" s="70" t="s">
        <v>225</v>
      </c>
      <c r="K132" s="71">
        <v>45436</v>
      </c>
      <c r="L132" s="71">
        <v>45801</v>
      </c>
      <c r="M132" s="72">
        <v>25000</v>
      </c>
      <c r="N132" s="72">
        <v>26335.190000000002</v>
      </c>
      <c r="O132" s="73">
        <v>294</v>
      </c>
      <c r="P132" s="73">
        <v>12</v>
      </c>
      <c r="Q132" s="70" t="s">
        <v>68</v>
      </c>
      <c r="R132" s="72">
        <v>4230.97</v>
      </c>
      <c r="S132" s="72">
        <v>696</v>
      </c>
      <c r="T132" s="72">
        <v>3898.82</v>
      </c>
      <c r="U132" s="72">
        <v>0</v>
      </c>
      <c r="V132" s="72">
        <v>6</v>
      </c>
      <c r="W132" s="72">
        <v>17352.87</v>
      </c>
      <c r="X132" s="72">
        <v>29458.639999999999</v>
      </c>
      <c r="Y132" s="72">
        <v>17352.87</v>
      </c>
      <c r="Z132" s="72">
        <v>7684.95</v>
      </c>
      <c r="AA132" s="72">
        <v>522</v>
      </c>
      <c r="AB132" s="72">
        <v>3898.82</v>
      </c>
      <c r="AC132" s="72">
        <v>2250</v>
      </c>
      <c r="AD132" s="71">
        <v>45656</v>
      </c>
      <c r="AE132" s="70" t="s">
        <v>69</v>
      </c>
      <c r="AF132" s="70" t="s">
        <v>226</v>
      </c>
      <c r="AG132" s="70" t="s">
        <v>227</v>
      </c>
      <c r="AH132" s="68"/>
      <c r="AI132" s="70" t="s">
        <v>228</v>
      </c>
      <c r="AJ132" s="70" t="s">
        <v>229</v>
      </c>
      <c r="AK132" s="68"/>
      <c r="AL132" s="68"/>
      <c r="AM132" s="70" t="s">
        <v>883</v>
      </c>
      <c r="AN132" s="70" t="s">
        <v>882</v>
      </c>
      <c r="AO132" s="70" t="s">
        <v>1276</v>
      </c>
      <c r="AP132" s="70" t="s">
        <v>1277</v>
      </c>
      <c r="AQ132" s="70" t="s">
        <v>1278</v>
      </c>
      <c r="AR132" s="70" t="s">
        <v>1279</v>
      </c>
      <c r="AS132" s="70" t="s">
        <v>122</v>
      </c>
      <c r="AT132" s="68" t="s">
        <v>230</v>
      </c>
      <c r="AU132" s="70" t="s">
        <v>231</v>
      </c>
      <c r="AV132" s="68"/>
      <c r="AW132" s="68"/>
      <c r="AX132" s="68"/>
      <c r="AY132" s="72">
        <v>29458.639999999999</v>
      </c>
      <c r="AZ132" s="72">
        <v>0</v>
      </c>
      <c r="BA132" s="70" t="s">
        <v>67</v>
      </c>
      <c r="BB132" s="70" t="s">
        <v>77</v>
      </c>
      <c r="BC132" s="70" t="s">
        <v>3008</v>
      </c>
      <c r="BD132" s="70" t="s">
        <v>232</v>
      </c>
      <c r="BE132" s="70" t="s">
        <v>213</v>
      </c>
      <c r="BF132" s="70" t="s">
        <v>205</v>
      </c>
      <c r="BG132" s="68"/>
      <c r="BI132" s="68"/>
      <c r="BJ132" s="68"/>
      <c r="BK132" s="70">
        <v>15</v>
      </c>
      <c r="BL132" s="70">
        <v>15</v>
      </c>
      <c r="BM132" s="70" t="s">
        <v>2847</v>
      </c>
    </row>
    <row r="133" spans="1:65" x14ac:dyDescent="0.3">
      <c r="A133" s="1" t="str">
        <f t="shared" si="2"/>
        <v>001084</v>
      </c>
      <c r="B133" s="70" t="s">
        <v>61</v>
      </c>
      <c r="C133" s="70" t="s">
        <v>205</v>
      </c>
      <c r="D133" s="70" t="s">
        <v>215</v>
      </c>
      <c r="E133" s="70" t="s">
        <v>216</v>
      </c>
      <c r="F133" s="70" t="s">
        <v>590</v>
      </c>
      <c r="G133" s="70" t="s">
        <v>2763</v>
      </c>
      <c r="H133" s="70" t="s">
        <v>2297</v>
      </c>
      <c r="I133" s="70" t="s">
        <v>67</v>
      </c>
      <c r="J133" s="70" t="s">
        <v>217</v>
      </c>
      <c r="K133" s="71">
        <v>45537</v>
      </c>
      <c r="L133" s="71">
        <v>45905</v>
      </c>
      <c r="M133" s="72">
        <v>25000</v>
      </c>
      <c r="N133" s="72">
        <v>26335.190000000002</v>
      </c>
      <c r="O133" s="73">
        <v>39</v>
      </c>
      <c r="P133" s="73">
        <v>12</v>
      </c>
      <c r="Q133" s="70" t="s">
        <v>68</v>
      </c>
      <c r="R133" s="72">
        <v>4274.34</v>
      </c>
      <c r="S133" s="72">
        <v>696</v>
      </c>
      <c r="T133" s="72">
        <v>580</v>
      </c>
      <c r="U133" s="72">
        <v>0</v>
      </c>
      <c r="V133" s="72">
        <v>0.5</v>
      </c>
      <c r="W133" s="72">
        <v>2275.06</v>
      </c>
      <c r="X133" s="72">
        <v>2913.08</v>
      </c>
      <c r="Y133" s="72">
        <v>2275.08</v>
      </c>
      <c r="Z133" s="72">
        <v>0</v>
      </c>
      <c r="AA133" s="72">
        <v>58</v>
      </c>
      <c r="AB133" s="72">
        <v>580</v>
      </c>
      <c r="AC133" s="72">
        <v>2000</v>
      </c>
      <c r="AD133" s="71">
        <v>45924</v>
      </c>
      <c r="AE133" s="70" t="s">
        <v>69</v>
      </c>
      <c r="AF133" s="70" t="s">
        <v>2298</v>
      </c>
      <c r="AG133" s="70" t="s">
        <v>218</v>
      </c>
      <c r="AH133" s="68"/>
      <c r="AI133" s="70" t="s">
        <v>102</v>
      </c>
      <c r="AJ133" s="70" t="s">
        <v>1852</v>
      </c>
      <c r="AK133" s="70" t="s">
        <v>219</v>
      </c>
      <c r="AL133" s="68"/>
      <c r="AM133" s="70" t="s">
        <v>881</v>
      </c>
      <c r="AN133" s="70" t="s">
        <v>2299</v>
      </c>
      <c r="AO133" s="70" t="s">
        <v>879</v>
      </c>
      <c r="AP133" s="70" t="s">
        <v>2300</v>
      </c>
      <c r="AQ133" s="70" t="s">
        <v>880</v>
      </c>
      <c r="AR133" s="70" t="s">
        <v>2301</v>
      </c>
      <c r="AS133" s="70" t="s">
        <v>122</v>
      </c>
      <c r="AT133" s="68" t="s">
        <v>220</v>
      </c>
      <c r="AU133" s="70" t="s">
        <v>221</v>
      </c>
      <c r="AV133" s="68"/>
      <c r="AW133" s="68"/>
      <c r="AX133" s="68"/>
      <c r="AY133" s="72">
        <v>2913.06</v>
      </c>
      <c r="AZ133" s="72">
        <v>0</v>
      </c>
      <c r="BA133" s="70" t="s">
        <v>67</v>
      </c>
      <c r="BB133" s="70" t="s">
        <v>77</v>
      </c>
      <c r="BC133" s="70" t="s">
        <v>222</v>
      </c>
      <c r="BD133" s="70" t="s">
        <v>223</v>
      </c>
      <c r="BE133" s="70" t="s">
        <v>213</v>
      </c>
      <c r="BF133" s="70" t="s">
        <v>205</v>
      </c>
      <c r="BG133" s="68"/>
      <c r="BI133" s="68"/>
      <c r="BJ133" s="68"/>
      <c r="BK133" s="70">
        <v>7</v>
      </c>
      <c r="BL133" s="70">
        <v>4</v>
      </c>
      <c r="BM133" s="70" t="s">
        <v>2847</v>
      </c>
    </row>
    <row r="134" spans="1:65" x14ac:dyDescent="0.3">
      <c r="A134" s="1" t="str">
        <f t="shared" si="2"/>
        <v>001570</v>
      </c>
      <c r="B134" s="70" t="s">
        <v>61</v>
      </c>
      <c r="C134" s="70" t="s">
        <v>205</v>
      </c>
      <c r="D134" s="70" t="s">
        <v>2332</v>
      </c>
      <c r="E134" s="70" t="s">
        <v>1756</v>
      </c>
      <c r="F134" s="70" t="s">
        <v>590</v>
      </c>
      <c r="G134" s="70" t="s">
        <v>2763</v>
      </c>
      <c r="H134" s="70" t="s">
        <v>2350</v>
      </c>
      <c r="I134" s="70" t="s">
        <v>67</v>
      </c>
      <c r="J134" s="70" t="s">
        <v>1844</v>
      </c>
      <c r="K134" s="71">
        <v>45866</v>
      </c>
      <c r="L134" s="71">
        <v>46034</v>
      </c>
      <c r="M134" s="72">
        <v>5000</v>
      </c>
      <c r="N134" s="72">
        <v>5267.04</v>
      </c>
      <c r="O134" s="73">
        <v>0</v>
      </c>
      <c r="P134" s="73">
        <v>12</v>
      </c>
      <c r="Q134" s="70" t="s">
        <v>496</v>
      </c>
      <c r="R134" s="72">
        <v>673.4</v>
      </c>
      <c r="S134" s="72">
        <v>696</v>
      </c>
      <c r="T134" s="72">
        <v>0</v>
      </c>
      <c r="U134" s="72">
        <v>5</v>
      </c>
      <c r="V134" s="72">
        <v>0</v>
      </c>
      <c r="W134" s="72">
        <v>3072.44</v>
      </c>
      <c r="X134" s="72">
        <v>0</v>
      </c>
      <c r="Y134" s="72">
        <v>0</v>
      </c>
      <c r="Z134" s="72">
        <v>0</v>
      </c>
      <c r="AA134" s="74">
        <v>0</v>
      </c>
      <c r="AB134" s="72">
        <v>0</v>
      </c>
      <c r="AC134" s="72">
        <v>1252</v>
      </c>
      <c r="AD134" s="71">
        <v>45938</v>
      </c>
      <c r="AE134" s="70" t="s">
        <v>69</v>
      </c>
      <c r="AF134" s="70" t="s">
        <v>2351</v>
      </c>
      <c r="AG134" s="70" t="s">
        <v>1845</v>
      </c>
      <c r="AH134" s="68"/>
      <c r="AI134" s="70" t="s">
        <v>458</v>
      </c>
      <c r="AJ134" s="70" t="s">
        <v>459</v>
      </c>
      <c r="AK134" s="68"/>
      <c r="AL134" s="68"/>
      <c r="AM134" s="70" t="s">
        <v>1846</v>
      </c>
      <c r="AN134" s="70" t="s">
        <v>2352</v>
      </c>
      <c r="AO134" s="70" t="s">
        <v>1847</v>
      </c>
      <c r="AP134" s="70" t="s">
        <v>2353</v>
      </c>
      <c r="AQ134" s="70" t="s">
        <v>1848</v>
      </c>
      <c r="AR134" s="70" t="s">
        <v>2354</v>
      </c>
      <c r="AS134" s="68"/>
      <c r="AT134" s="68"/>
      <c r="AU134" s="68"/>
      <c r="AV134" s="68"/>
      <c r="AW134" s="68"/>
      <c r="AX134" s="68"/>
      <c r="AY134" s="72">
        <v>4306.8100000000004</v>
      </c>
      <c r="AZ134" s="72">
        <v>1</v>
      </c>
      <c r="BA134" s="70" t="s">
        <v>67</v>
      </c>
      <c r="BB134" s="70" t="s">
        <v>1044</v>
      </c>
      <c r="BC134" s="70" t="s">
        <v>3022</v>
      </c>
      <c r="BD134" s="70" t="s">
        <v>85</v>
      </c>
      <c r="BE134" s="70" t="s">
        <v>213</v>
      </c>
      <c r="BF134" s="70" t="s">
        <v>205</v>
      </c>
      <c r="BG134" s="70" t="s">
        <v>1849</v>
      </c>
      <c r="BH134" s="70"/>
      <c r="BI134" s="68"/>
      <c r="BJ134" s="68"/>
      <c r="BK134" s="70">
        <v>1</v>
      </c>
      <c r="BL134" s="70">
        <v>1</v>
      </c>
      <c r="BM134" s="70" t="s">
        <v>2847</v>
      </c>
    </row>
    <row r="135" spans="1:65" x14ac:dyDescent="0.3">
      <c r="A135" s="1" t="str">
        <f t="shared" si="2"/>
        <v>001329</v>
      </c>
      <c r="B135" s="70" t="s">
        <v>61</v>
      </c>
      <c r="C135" s="70" t="s">
        <v>205</v>
      </c>
      <c r="D135" s="70" t="s">
        <v>1497</v>
      </c>
      <c r="E135" s="70" t="s">
        <v>1022</v>
      </c>
      <c r="F135" s="70" t="s">
        <v>590</v>
      </c>
      <c r="G135" s="70" t="s">
        <v>2763</v>
      </c>
      <c r="H135" s="70" t="s">
        <v>1498</v>
      </c>
      <c r="I135" s="70" t="s">
        <v>67</v>
      </c>
      <c r="J135" s="70" t="s">
        <v>608</v>
      </c>
      <c r="K135" s="71">
        <v>45797</v>
      </c>
      <c r="L135" s="71">
        <v>45965</v>
      </c>
      <c r="M135" s="72">
        <v>6000</v>
      </c>
      <c r="N135" s="72">
        <v>6320.45</v>
      </c>
      <c r="O135" s="73">
        <v>0</v>
      </c>
      <c r="P135" s="73">
        <v>12</v>
      </c>
      <c r="Q135" s="70" t="s">
        <v>496</v>
      </c>
      <c r="R135" s="72">
        <v>796.48</v>
      </c>
      <c r="S135" s="72">
        <v>696</v>
      </c>
      <c r="T135" s="72">
        <v>0</v>
      </c>
      <c r="U135" s="72">
        <v>10</v>
      </c>
      <c r="V135" s="72">
        <v>0</v>
      </c>
      <c r="W135" s="72">
        <v>1053.4100000000001</v>
      </c>
      <c r="X135" s="72">
        <v>0</v>
      </c>
      <c r="Y135" s="72">
        <v>0</v>
      </c>
      <c r="Z135" s="72">
        <v>0</v>
      </c>
      <c r="AA135" s="74">
        <v>0</v>
      </c>
      <c r="AB135" s="72">
        <v>0</v>
      </c>
      <c r="AC135" s="72">
        <v>797</v>
      </c>
      <c r="AD135" s="71">
        <v>45937</v>
      </c>
      <c r="AE135" s="70" t="s">
        <v>69</v>
      </c>
      <c r="AF135" s="70" t="s">
        <v>1499</v>
      </c>
      <c r="AG135" s="70" t="s">
        <v>609</v>
      </c>
      <c r="AH135" s="68"/>
      <c r="AI135" s="70" t="s">
        <v>86</v>
      </c>
      <c r="AJ135" s="70" t="s">
        <v>87</v>
      </c>
      <c r="AK135" s="68"/>
      <c r="AL135" s="68"/>
      <c r="AM135" s="70" t="s">
        <v>900</v>
      </c>
      <c r="AN135" s="70" t="s">
        <v>1496</v>
      </c>
      <c r="AO135" s="70" t="s">
        <v>898</v>
      </c>
      <c r="AP135" s="70" t="s">
        <v>1500</v>
      </c>
      <c r="AQ135" s="70" t="s">
        <v>899</v>
      </c>
      <c r="AR135" s="70" t="s">
        <v>1501</v>
      </c>
      <c r="AS135" s="68"/>
      <c r="AT135" s="68"/>
      <c r="AU135" s="68"/>
      <c r="AV135" s="68"/>
      <c r="AW135" s="68"/>
      <c r="AX135" s="68"/>
      <c r="AY135" s="72">
        <v>1472.82</v>
      </c>
      <c r="AZ135" s="72">
        <v>4.1482999999999999</v>
      </c>
      <c r="BA135" s="70" t="s">
        <v>67</v>
      </c>
      <c r="BB135" s="70" t="s">
        <v>1044</v>
      </c>
      <c r="BC135" s="70" t="s">
        <v>3023</v>
      </c>
      <c r="BD135" s="70" t="s">
        <v>267</v>
      </c>
      <c r="BE135" s="70" t="s">
        <v>213</v>
      </c>
      <c r="BF135" s="70" t="s">
        <v>205</v>
      </c>
      <c r="BG135" s="68"/>
      <c r="BI135" s="68"/>
      <c r="BJ135" s="68"/>
      <c r="BK135" s="70">
        <v>0</v>
      </c>
      <c r="BL135" s="70">
        <v>0</v>
      </c>
      <c r="BM135" s="70" t="s">
        <v>2847</v>
      </c>
    </row>
    <row r="136" spans="1:65" x14ac:dyDescent="0.3">
      <c r="A136" s="1" t="str">
        <f t="shared" si="2"/>
        <v>001101</v>
      </c>
      <c r="B136" s="70" t="s">
        <v>61</v>
      </c>
      <c r="C136" s="70" t="s">
        <v>205</v>
      </c>
      <c r="D136" s="70" t="s">
        <v>2332</v>
      </c>
      <c r="E136" s="70" t="s">
        <v>1756</v>
      </c>
      <c r="F136" s="70" t="s">
        <v>590</v>
      </c>
      <c r="G136" s="70" t="s">
        <v>2763</v>
      </c>
      <c r="H136" s="70" t="s">
        <v>2333</v>
      </c>
      <c r="I136" s="70" t="s">
        <v>67</v>
      </c>
      <c r="J136" s="70" t="s">
        <v>1783</v>
      </c>
      <c r="K136" s="71">
        <v>45862</v>
      </c>
      <c r="L136" s="71">
        <v>46227</v>
      </c>
      <c r="M136" s="72">
        <v>20000</v>
      </c>
      <c r="N136" s="72">
        <v>21068.16</v>
      </c>
      <c r="O136" s="73">
        <v>0</v>
      </c>
      <c r="P136" s="73">
        <v>12</v>
      </c>
      <c r="Q136" s="70" t="s">
        <v>68</v>
      </c>
      <c r="R136" s="72">
        <v>3347.38</v>
      </c>
      <c r="S136" s="72">
        <v>696</v>
      </c>
      <c r="T136" s="72">
        <v>0</v>
      </c>
      <c r="U136" s="72">
        <v>0</v>
      </c>
      <c r="V136" s="72">
        <v>0</v>
      </c>
      <c r="W136" s="72">
        <v>17556.8</v>
      </c>
      <c r="X136" s="72">
        <v>0</v>
      </c>
      <c r="Y136" s="72">
        <v>0</v>
      </c>
      <c r="Z136" s="72">
        <v>0</v>
      </c>
      <c r="AA136" s="74">
        <v>0</v>
      </c>
      <c r="AB136" s="72">
        <v>0</v>
      </c>
      <c r="AC136" s="72">
        <v>3350</v>
      </c>
      <c r="AD136" s="71">
        <v>45923</v>
      </c>
      <c r="AE136" s="70" t="s">
        <v>69</v>
      </c>
      <c r="AF136" s="70" t="s">
        <v>2334</v>
      </c>
      <c r="AG136" s="70" t="s">
        <v>1784</v>
      </c>
      <c r="AH136" s="68"/>
      <c r="AI136" s="70" t="s">
        <v>86</v>
      </c>
      <c r="AJ136" s="70" t="s">
        <v>87</v>
      </c>
      <c r="AK136" s="70" t="s">
        <v>1785</v>
      </c>
      <c r="AL136" s="68"/>
      <c r="AM136" s="70" t="s">
        <v>1786</v>
      </c>
      <c r="AN136" s="70" t="s">
        <v>2335</v>
      </c>
      <c r="AO136" s="70" t="s">
        <v>1787</v>
      </c>
      <c r="AP136" s="70" t="s">
        <v>2336</v>
      </c>
      <c r="AQ136" s="70" t="s">
        <v>1788</v>
      </c>
      <c r="AR136" s="70" t="s">
        <v>2337</v>
      </c>
      <c r="AS136" s="68"/>
      <c r="AT136" s="68"/>
      <c r="AU136" s="68"/>
      <c r="AV136" s="68"/>
      <c r="AW136" s="68"/>
      <c r="AX136" s="68"/>
      <c r="AY136" s="72">
        <v>32888.6</v>
      </c>
      <c r="AZ136" s="72">
        <v>5.2329493333333286</v>
      </c>
      <c r="BA136" s="70" t="s">
        <v>67</v>
      </c>
      <c r="BB136" s="70" t="s">
        <v>1044</v>
      </c>
      <c r="BC136" s="70" t="s">
        <v>3024</v>
      </c>
      <c r="BD136" s="70" t="s">
        <v>1789</v>
      </c>
      <c r="BE136" s="70" t="s">
        <v>213</v>
      </c>
      <c r="BF136" s="70" t="s">
        <v>205</v>
      </c>
      <c r="BG136" s="70" t="s">
        <v>1790</v>
      </c>
      <c r="BH136" s="70"/>
      <c r="BI136" s="68"/>
      <c r="BJ136" s="68"/>
      <c r="BK136" s="70">
        <v>1</v>
      </c>
      <c r="BL136" s="70">
        <v>1</v>
      </c>
      <c r="BM136" s="70" t="s">
        <v>2847</v>
      </c>
    </row>
    <row r="137" spans="1:65" x14ac:dyDescent="0.3">
      <c r="A137" s="1" t="str">
        <f t="shared" si="2"/>
        <v>001071</v>
      </c>
      <c r="B137" s="70" t="s">
        <v>61</v>
      </c>
      <c r="C137" s="70" t="s">
        <v>205</v>
      </c>
      <c r="D137" s="70" t="s">
        <v>382</v>
      </c>
      <c r="E137" s="70" t="s">
        <v>383</v>
      </c>
      <c r="F137" s="70" t="s">
        <v>590</v>
      </c>
      <c r="G137" s="70" t="s">
        <v>2763</v>
      </c>
      <c r="H137" s="70" t="s">
        <v>252</v>
      </c>
      <c r="I137" s="70" t="s">
        <v>76</v>
      </c>
      <c r="J137" s="70" t="s">
        <v>253</v>
      </c>
      <c r="K137" s="71">
        <v>45737</v>
      </c>
      <c r="L137" s="71">
        <v>46102</v>
      </c>
      <c r="M137" s="72">
        <v>64000.01</v>
      </c>
      <c r="N137" s="72">
        <v>67418.100000000006</v>
      </c>
      <c r="O137" s="73">
        <v>22</v>
      </c>
      <c r="P137" s="73">
        <v>12</v>
      </c>
      <c r="Q137" s="70" t="s">
        <v>68</v>
      </c>
      <c r="R137" s="72">
        <v>9346.81</v>
      </c>
      <c r="S137" s="72">
        <v>696</v>
      </c>
      <c r="T137" s="72">
        <v>0</v>
      </c>
      <c r="U137" s="72">
        <v>0</v>
      </c>
      <c r="V137" s="72">
        <v>0.1</v>
      </c>
      <c r="W137" s="72">
        <v>34287.910000000003</v>
      </c>
      <c r="X137" s="72">
        <v>578.86</v>
      </c>
      <c r="Y137" s="72">
        <v>578.86</v>
      </c>
      <c r="Z137" s="72">
        <v>0</v>
      </c>
      <c r="AA137" s="72">
        <v>0</v>
      </c>
      <c r="AB137" s="72">
        <v>0</v>
      </c>
      <c r="AC137" s="72">
        <v>9347</v>
      </c>
      <c r="AD137" s="71">
        <v>45923</v>
      </c>
      <c r="AE137" s="70" t="s">
        <v>69</v>
      </c>
      <c r="AF137" s="70" t="s">
        <v>254</v>
      </c>
      <c r="AG137" s="70" t="s">
        <v>255</v>
      </c>
      <c r="AH137" s="68"/>
      <c r="AI137" s="70" t="s">
        <v>256</v>
      </c>
      <c r="AJ137" s="70" t="s">
        <v>257</v>
      </c>
      <c r="AK137" s="70" t="s">
        <v>258</v>
      </c>
      <c r="AL137" s="68"/>
      <c r="AM137" s="70" t="s">
        <v>897</v>
      </c>
      <c r="AN137" s="70" t="s">
        <v>1288</v>
      </c>
      <c r="AO137" s="70" t="s">
        <v>894</v>
      </c>
      <c r="AP137" s="70" t="s">
        <v>895</v>
      </c>
      <c r="AQ137" s="70" t="s">
        <v>896</v>
      </c>
      <c r="AR137" s="70" t="s">
        <v>1289</v>
      </c>
      <c r="AS137" s="70" t="s">
        <v>122</v>
      </c>
      <c r="AT137" s="68" t="s">
        <v>384</v>
      </c>
      <c r="AU137" s="70" t="s">
        <v>385</v>
      </c>
      <c r="AV137" s="68"/>
      <c r="AW137" s="68"/>
      <c r="AX137" s="68"/>
      <c r="AY137" s="72">
        <v>56311.72</v>
      </c>
      <c r="AZ137" s="72">
        <v>0</v>
      </c>
      <c r="BA137" s="70" t="s">
        <v>67</v>
      </c>
      <c r="BB137" s="70" t="s">
        <v>1044</v>
      </c>
      <c r="BC137" s="70" t="s">
        <v>3025</v>
      </c>
      <c r="BD137" s="70" t="s">
        <v>205</v>
      </c>
      <c r="BE137" s="70" t="s">
        <v>213</v>
      </c>
      <c r="BF137" s="70" t="s">
        <v>205</v>
      </c>
      <c r="BG137" s="68"/>
      <c r="BI137" s="68"/>
      <c r="BJ137" s="68"/>
      <c r="BK137" s="70">
        <v>5</v>
      </c>
      <c r="BL137" s="70">
        <v>4</v>
      </c>
      <c r="BM137" s="70" t="s">
        <v>2847</v>
      </c>
    </row>
    <row r="138" spans="1:65" x14ac:dyDescent="0.3">
      <c r="A138" s="1" t="str">
        <f t="shared" si="2"/>
        <v>001079</v>
      </c>
      <c r="B138" s="70" t="s">
        <v>61</v>
      </c>
      <c r="C138" s="70" t="s">
        <v>205</v>
      </c>
      <c r="D138" s="70" t="s">
        <v>408</v>
      </c>
      <c r="E138" s="70" t="s">
        <v>409</v>
      </c>
      <c r="F138" s="70" t="s">
        <v>590</v>
      </c>
      <c r="G138" s="70" t="s">
        <v>2763</v>
      </c>
      <c r="H138" s="70" t="s">
        <v>2338</v>
      </c>
      <c r="I138" s="70" t="s">
        <v>76</v>
      </c>
      <c r="J138" s="70" t="s">
        <v>247</v>
      </c>
      <c r="K138" s="71">
        <v>45848</v>
      </c>
      <c r="L138" s="71">
        <v>46213</v>
      </c>
      <c r="M138" s="72">
        <v>42000</v>
      </c>
      <c r="N138" s="72">
        <v>44243.13</v>
      </c>
      <c r="O138" s="73">
        <v>0</v>
      </c>
      <c r="P138" s="73">
        <v>12</v>
      </c>
      <c r="Q138" s="70" t="s">
        <v>68</v>
      </c>
      <c r="R138" s="72">
        <v>6153.78</v>
      </c>
      <c r="S138" s="72">
        <v>696</v>
      </c>
      <c r="T138" s="72">
        <v>0</v>
      </c>
      <c r="U138" s="72">
        <v>0</v>
      </c>
      <c r="V138" s="72">
        <v>0</v>
      </c>
      <c r="W138" s="72">
        <v>33182.35</v>
      </c>
      <c r="X138" s="72">
        <v>0</v>
      </c>
      <c r="Y138" s="72">
        <v>0</v>
      </c>
      <c r="Z138" s="72">
        <v>0</v>
      </c>
      <c r="AA138" s="74">
        <v>0</v>
      </c>
      <c r="AB138" s="72">
        <v>0</v>
      </c>
      <c r="AC138" s="72">
        <v>6734</v>
      </c>
      <c r="AD138" s="71">
        <v>45940</v>
      </c>
      <c r="AE138" s="70" t="s">
        <v>69</v>
      </c>
      <c r="AF138" s="70" t="s">
        <v>2339</v>
      </c>
      <c r="AG138" s="70" t="s">
        <v>248</v>
      </c>
      <c r="AH138" s="68"/>
      <c r="AI138" s="70" t="s">
        <v>89</v>
      </c>
      <c r="AJ138" s="70" t="s">
        <v>90</v>
      </c>
      <c r="AK138" s="70" t="s">
        <v>249</v>
      </c>
      <c r="AL138" s="68"/>
      <c r="AM138" s="70" t="s">
        <v>1597</v>
      </c>
      <c r="AN138" s="70" t="s">
        <v>2340</v>
      </c>
      <c r="AO138" s="70" t="s">
        <v>1598</v>
      </c>
      <c r="AP138" s="70" t="s">
        <v>2341</v>
      </c>
      <c r="AQ138" s="70" t="s">
        <v>1599</v>
      </c>
      <c r="AR138" s="70" t="s">
        <v>2342</v>
      </c>
      <c r="AS138" s="70" t="s">
        <v>122</v>
      </c>
      <c r="AT138" s="68" t="s">
        <v>1623</v>
      </c>
      <c r="AU138" s="70" t="s">
        <v>250</v>
      </c>
      <c r="AV138" s="68"/>
      <c r="AW138" s="68"/>
      <c r="AX138" s="68"/>
      <c r="AY138" s="72">
        <v>54861.380000000005</v>
      </c>
      <c r="AZ138" s="72">
        <v>0.65749999999999997</v>
      </c>
      <c r="BA138" s="70" t="s">
        <v>76</v>
      </c>
      <c r="BB138" s="70" t="s">
        <v>1600</v>
      </c>
      <c r="BC138" s="70" t="s">
        <v>3026</v>
      </c>
      <c r="BD138" s="70" t="s">
        <v>251</v>
      </c>
      <c r="BE138" s="70" t="s">
        <v>213</v>
      </c>
      <c r="BF138" s="70" t="s">
        <v>205</v>
      </c>
      <c r="BG138" s="70" t="s">
        <v>1601</v>
      </c>
      <c r="BH138" s="70"/>
      <c r="BI138" s="68"/>
      <c r="BJ138" s="68"/>
      <c r="BK138" s="70">
        <v>1</v>
      </c>
      <c r="BL138" s="70">
        <v>1</v>
      </c>
      <c r="BM138" s="70" t="s">
        <v>2847</v>
      </c>
    </row>
    <row r="139" spans="1:65" x14ac:dyDescent="0.3">
      <c r="A139" s="1" t="str">
        <f t="shared" si="2"/>
        <v>001601</v>
      </c>
      <c r="B139" s="70" t="s">
        <v>61</v>
      </c>
      <c r="C139" s="70" t="s">
        <v>205</v>
      </c>
      <c r="D139" s="70" t="s">
        <v>2332</v>
      </c>
      <c r="E139" s="70" t="s">
        <v>1756</v>
      </c>
      <c r="F139" s="70" t="s">
        <v>590</v>
      </c>
      <c r="G139" s="70" t="s">
        <v>2763</v>
      </c>
      <c r="H139" s="70" t="s">
        <v>2355</v>
      </c>
      <c r="I139" s="70" t="s">
        <v>67</v>
      </c>
      <c r="J139" s="70" t="s">
        <v>1757</v>
      </c>
      <c r="K139" s="71">
        <v>45861</v>
      </c>
      <c r="L139" s="71">
        <v>46226</v>
      </c>
      <c r="M139" s="72">
        <v>10000</v>
      </c>
      <c r="N139" s="72">
        <v>10534.08</v>
      </c>
      <c r="O139" s="73">
        <v>0</v>
      </c>
      <c r="P139" s="73">
        <v>12</v>
      </c>
      <c r="Q139" s="70" t="s">
        <v>68</v>
      </c>
      <c r="R139" s="72">
        <v>1702.69</v>
      </c>
      <c r="S139" s="72">
        <v>696</v>
      </c>
      <c r="T139" s="72">
        <v>0</v>
      </c>
      <c r="U139" s="72">
        <v>0</v>
      </c>
      <c r="V139" s="72">
        <v>0</v>
      </c>
      <c r="W139" s="72">
        <v>8778.4</v>
      </c>
      <c r="X139" s="72">
        <v>0</v>
      </c>
      <c r="Y139" s="72">
        <v>0</v>
      </c>
      <c r="Z139" s="72">
        <v>0</v>
      </c>
      <c r="AA139" s="74">
        <v>0</v>
      </c>
      <c r="AB139" s="72">
        <v>0</v>
      </c>
      <c r="AC139" s="72">
        <v>1703</v>
      </c>
      <c r="AD139" s="71">
        <v>45922</v>
      </c>
      <c r="AE139" s="70" t="s">
        <v>69</v>
      </c>
      <c r="AF139" s="70" t="s">
        <v>2356</v>
      </c>
      <c r="AG139" s="70" t="s">
        <v>1758</v>
      </c>
      <c r="AH139" s="68"/>
      <c r="AI139" s="70" t="s">
        <v>192</v>
      </c>
      <c r="AJ139" s="70" t="s">
        <v>193</v>
      </c>
      <c r="AK139" s="68"/>
      <c r="AL139" s="68"/>
      <c r="AM139" s="70" t="s">
        <v>1759</v>
      </c>
      <c r="AN139" s="70" t="s">
        <v>2357</v>
      </c>
      <c r="AO139" s="70" t="s">
        <v>1760</v>
      </c>
      <c r="AP139" s="70" t="s">
        <v>2358</v>
      </c>
      <c r="AQ139" s="70" t="s">
        <v>1761</v>
      </c>
      <c r="AR139" s="70" t="s">
        <v>2359</v>
      </c>
      <c r="AS139" s="68"/>
      <c r="AT139" s="68"/>
      <c r="AU139" s="68"/>
      <c r="AV139" s="68"/>
      <c r="AW139" s="68"/>
      <c r="AX139" s="68"/>
      <c r="AY139" s="72">
        <v>16446.3</v>
      </c>
      <c r="AZ139" s="72">
        <v>0.62</v>
      </c>
      <c r="BA139" s="70" t="s">
        <v>67</v>
      </c>
      <c r="BB139" s="70" t="s">
        <v>1044</v>
      </c>
      <c r="BC139" s="70" t="s">
        <v>2952</v>
      </c>
      <c r="BD139" s="70" t="s">
        <v>1762</v>
      </c>
      <c r="BE139" s="70" t="s">
        <v>213</v>
      </c>
      <c r="BF139" s="70" t="s">
        <v>205</v>
      </c>
      <c r="BG139" s="70" t="s">
        <v>2580</v>
      </c>
      <c r="BH139" s="70"/>
      <c r="BI139" s="68"/>
      <c r="BJ139" s="68"/>
      <c r="BK139" s="70">
        <v>0</v>
      </c>
      <c r="BL139" s="70">
        <v>0</v>
      </c>
      <c r="BM139" s="70" t="s">
        <v>2847</v>
      </c>
    </row>
    <row r="140" spans="1:65" x14ac:dyDescent="0.3">
      <c r="A140" s="1" t="str">
        <f t="shared" si="2"/>
        <v>001582</v>
      </c>
      <c r="B140" s="70" t="s">
        <v>61</v>
      </c>
      <c r="C140" s="70" t="s">
        <v>205</v>
      </c>
      <c r="D140" s="70" t="s">
        <v>2332</v>
      </c>
      <c r="E140" s="70" t="s">
        <v>1756</v>
      </c>
      <c r="F140" s="70" t="s">
        <v>590</v>
      </c>
      <c r="G140" s="70" t="s">
        <v>2763</v>
      </c>
      <c r="H140" s="70" t="s">
        <v>2343</v>
      </c>
      <c r="I140" s="70" t="s">
        <v>67</v>
      </c>
      <c r="J140" s="70" t="s">
        <v>1791</v>
      </c>
      <c r="K140" s="71">
        <v>45863</v>
      </c>
      <c r="L140" s="71">
        <v>46228</v>
      </c>
      <c r="M140" s="72">
        <v>10000</v>
      </c>
      <c r="N140" s="72">
        <v>10534.08</v>
      </c>
      <c r="O140" s="73">
        <v>0</v>
      </c>
      <c r="P140" s="73">
        <v>12</v>
      </c>
      <c r="Q140" s="70" t="s">
        <v>68</v>
      </c>
      <c r="R140" s="72">
        <v>1702.69</v>
      </c>
      <c r="S140" s="72">
        <v>696</v>
      </c>
      <c r="T140" s="72">
        <v>0</v>
      </c>
      <c r="U140" s="72">
        <v>0</v>
      </c>
      <c r="V140" s="72">
        <v>0</v>
      </c>
      <c r="W140" s="72">
        <v>8778.4</v>
      </c>
      <c r="X140" s="72">
        <v>0</v>
      </c>
      <c r="Y140" s="72">
        <v>0</v>
      </c>
      <c r="Z140" s="72">
        <v>0</v>
      </c>
      <c r="AA140" s="74">
        <v>0</v>
      </c>
      <c r="AB140" s="72">
        <v>0</v>
      </c>
      <c r="AC140" s="72">
        <v>1703</v>
      </c>
      <c r="AD140" s="71">
        <v>45925</v>
      </c>
      <c r="AE140" s="70" t="s">
        <v>69</v>
      </c>
      <c r="AF140" s="70" t="s">
        <v>2344</v>
      </c>
      <c r="AG140" s="70" t="s">
        <v>1792</v>
      </c>
      <c r="AH140" s="68"/>
      <c r="AI140" s="70" t="s">
        <v>192</v>
      </c>
      <c r="AJ140" s="70" t="s">
        <v>193</v>
      </c>
      <c r="AK140" s="70" t="s">
        <v>1793</v>
      </c>
      <c r="AL140" s="68"/>
      <c r="AM140" s="70" t="s">
        <v>1786</v>
      </c>
      <c r="AN140" s="70" t="s">
        <v>2345</v>
      </c>
      <c r="AO140" s="70" t="s">
        <v>1787</v>
      </c>
      <c r="AP140" s="70" t="s">
        <v>2336</v>
      </c>
      <c r="AQ140" s="70" t="s">
        <v>1788</v>
      </c>
      <c r="AR140" s="70" t="s">
        <v>2346</v>
      </c>
      <c r="AS140" s="68"/>
      <c r="AT140" s="68"/>
      <c r="AU140" s="68"/>
      <c r="AV140" s="68"/>
      <c r="AW140" s="68"/>
      <c r="AX140" s="68"/>
      <c r="AY140" s="72">
        <v>16446.61</v>
      </c>
      <c r="AZ140" s="72">
        <v>0.31</v>
      </c>
      <c r="BA140" s="70" t="s">
        <v>67</v>
      </c>
      <c r="BB140" s="70" t="s">
        <v>1044</v>
      </c>
      <c r="BC140" s="70" t="s">
        <v>1794</v>
      </c>
      <c r="BD140" s="70" t="s">
        <v>1795</v>
      </c>
      <c r="BE140" s="70" t="s">
        <v>213</v>
      </c>
      <c r="BF140" s="70" t="s">
        <v>205</v>
      </c>
      <c r="BG140" s="70" t="s">
        <v>1796</v>
      </c>
      <c r="BH140" s="70"/>
      <c r="BI140" s="68"/>
      <c r="BJ140" s="68"/>
      <c r="BK140" s="70">
        <v>0</v>
      </c>
      <c r="BL140" s="70">
        <v>0</v>
      </c>
      <c r="BM140" s="70" t="s">
        <v>2847</v>
      </c>
    </row>
    <row r="141" spans="1:65" x14ac:dyDescent="0.3">
      <c r="A141" s="1" t="str">
        <f t="shared" si="2"/>
        <v>001189</v>
      </c>
      <c r="B141" s="70" t="s">
        <v>61</v>
      </c>
      <c r="C141" s="70" t="s">
        <v>205</v>
      </c>
      <c r="D141" s="70" t="s">
        <v>2291</v>
      </c>
      <c r="E141" s="70" t="s">
        <v>206</v>
      </c>
      <c r="F141" s="70" t="s">
        <v>590</v>
      </c>
      <c r="G141" s="70" t="s">
        <v>2763</v>
      </c>
      <c r="H141" s="70" t="s">
        <v>2292</v>
      </c>
      <c r="I141" s="70" t="s">
        <v>67</v>
      </c>
      <c r="J141" s="70" t="s">
        <v>207</v>
      </c>
      <c r="K141" s="71">
        <v>45705</v>
      </c>
      <c r="L141" s="71">
        <v>46070</v>
      </c>
      <c r="M141" s="72">
        <v>40000</v>
      </c>
      <c r="N141" s="72">
        <v>42136.31</v>
      </c>
      <c r="O141" s="73">
        <v>27</v>
      </c>
      <c r="P141" s="73">
        <v>12</v>
      </c>
      <c r="Q141" s="70" t="s">
        <v>68</v>
      </c>
      <c r="R141" s="72">
        <v>5972.04</v>
      </c>
      <c r="S141" s="72">
        <v>696</v>
      </c>
      <c r="T141" s="72">
        <v>0</v>
      </c>
      <c r="U141" s="72">
        <v>0</v>
      </c>
      <c r="V141" s="72">
        <v>0.1</v>
      </c>
      <c r="W141" s="72">
        <v>23328.27</v>
      </c>
      <c r="X141" s="72">
        <v>384.28000000000003</v>
      </c>
      <c r="Y141" s="72">
        <v>384.28000000000003</v>
      </c>
      <c r="Z141" s="72">
        <v>0</v>
      </c>
      <c r="AA141" s="72">
        <v>0</v>
      </c>
      <c r="AB141" s="72">
        <v>0</v>
      </c>
      <c r="AC141" s="72">
        <v>6000</v>
      </c>
      <c r="AD141" s="71">
        <v>45922</v>
      </c>
      <c r="AE141" s="70" t="s">
        <v>69</v>
      </c>
      <c r="AF141" s="70" t="s">
        <v>2293</v>
      </c>
      <c r="AG141" s="70" t="s">
        <v>208</v>
      </c>
      <c r="AH141" s="68"/>
      <c r="AI141" s="70" t="s">
        <v>89</v>
      </c>
      <c r="AJ141" s="70" t="s">
        <v>90</v>
      </c>
      <c r="AK141" s="68"/>
      <c r="AL141" s="68"/>
      <c r="AM141" s="70" t="s">
        <v>878</v>
      </c>
      <c r="AN141" s="70" t="s">
        <v>2294</v>
      </c>
      <c r="AO141" s="70" t="s">
        <v>876</v>
      </c>
      <c r="AP141" s="70" t="s">
        <v>2295</v>
      </c>
      <c r="AQ141" s="70" t="s">
        <v>877</v>
      </c>
      <c r="AR141" s="70" t="s">
        <v>2296</v>
      </c>
      <c r="AS141" s="70" t="s">
        <v>122</v>
      </c>
      <c r="AT141" s="68" t="s">
        <v>209</v>
      </c>
      <c r="AU141" s="70" t="s">
        <v>210</v>
      </c>
      <c r="AV141" s="68"/>
      <c r="AW141" s="68"/>
      <c r="AX141" s="68"/>
      <c r="AY141" s="72">
        <v>23328.27</v>
      </c>
      <c r="AZ141" s="72">
        <v>0</v>
      </c>
      <c r="BA141" s="70" t="s">
        <v>135</v>
      </c>
      <c r="BB141" s="70" t="s">
        <v>136</v>
      </c>
      <c r="BC141" s="70" t="s">
        <v>211</v>
      </c>
      <c r="BD141" s="70" t="s">
        <v>212</v>
      </c>
      <c r="BE141" s="70" t="s">
        <v>213</v>
      </c>
      <c r="BF141" s="70" t="s">
        <v>214</v>
      </c>
      <c r="BG141" s="68"/>
      <c r="BI141" s="68"/>
      <c r="BJ141" s="68"/>
      <c r="BK141" s="70">
        <v>2</v>
      </c>
      <c r="BL141" s="70">
        <v>1</v>
      </c>
      <c r="BM141" s="70" t="s">
        <v>2847</v>
      </c>
    </row>
    <row r="142" spans="1:65" x14ac:dyDescent="0.3">
      <c r="A142" s="1" t="str">
        <f t="shared" si="2"/>
        <v>001277</v>
      </c>
      <c r="B142" s="70" t="s">
        <v>61</v>
      </c>
      <c r="C142" s="70" t="s">
        <v>205</v>
      </c>
      <c r="D142" s="70" t="s">
        <v>408</v>
      </c>
      <c r="E142" s="70" t="s">
        <v>409</v>
      </c>
      <c r="F142" s="70" t="s">
        <v>590</v>
      </c>
      <c r="G142" s="70" t="s">
        <v>2763</v>
      </c>
      <c r="H142" s="70" t="s">
        <v>2308</v>
      </c>
      <c r="I142" s="70" t="s">
        <v>67</v>
      </c>
      <c r="J142" s="70" t="s">
        <v>471</v>
      </c>
      <c r="K142" s="71">
        <v>45775</v>
      </c>
      <c r="L142" s="71">
        <v>46140</v>
      </c>
      <c r="M142" s="72">
        <v>10000</v>
      </c>
      <c r="N142" s="72">
        <v>10534.08</v>
      </c>
      <c r="O142" s="73">
        <v>0</v>
      </c>
      <c r="P142" s="73">
        <v>12</v>
      </c>
      <c r="Q142" s="70" t="s">
        <v>68</v>
      </c>
      <c r="R142" s="72">
        <v>1702.69</v>
      </c>
      <c r="S142" s="72">
        <v>696</v>
      </c>
      <c r="T142" s="72">
        <v>0</v>
      </c>
      <c r="U142" s="72">
        <v>0</v>
      </c>
      <c r="V142" s="72">
        <v>0</v>
      </c>
      <c r="W142" s="72">
        <v>6144.88</v>
      </c>
      <c r="X142" s="72">
        <v>0</v>
      </c>
      <c r="Y142" s="72">
        <v>0</v>
      </c>
      <c r="Z142" s="72">
        <v>0</v>
      </c>
      <c r="AA142" s="74">
        <v>0</v>
      </c>
      <c r="AB142" s="72">
        <v>0</v>
      </c>
      <c r="AC142" s="72">
        <v>1702.69</v>
      </c>
      <c r="AD142" s="71">
        <v>45928</v>
      </c>
      <c r="AE142" s="70" t="s">
        <v>69</v>
      </c>
      <c r="AF142" s="70" t="s">
        <v>472</v>
      </c>
      <c r="AG142" s="70" t="s">
        <v>573</v>
      </c>
      <c r="AH142" s="68"/>
      <c r="AI142" s="70" t="s">
        <v>121</v>
      </c>
      <c r="AJ142" s="70" t="s">
        <v>1901</v>
      </c>
      <c r="AK142" s="70" t="s">
        <v>473</v>
      </c>
      <c r="AL142" s="70" t="s">
        <v>472</v>
      </c>
      <c r="AM142" s="70" t="s">
        <v>903</v>
      </c>
      <c r="AN142" s="70" t="s">
        <v>463</v>
      </c>
      <c r="AO142" s="70" t="s">
        <v>901</v>
      </c>
      <c r="AP142" s="70" t="s">
        <v>2309</v>
      </c>
      <c r="AQ142" s="70" t="s">
        <v>902</v>
      </c>
      <c r="AR142" s="70" t="s">
        <v>2310</v>
      </c>
      <c r="AS142" s="68"/>
      <c r="AT142" s="68"/>
      <c r="AU142" s="68"/>
      <c r="AV142" s="68"/>
      <c r="AW142" s="68"/>
      <c r="AX142" s="68"/>
      <c r="AY142" s="72">
        <v>11512.58</v>
      </c>
      <c r="AZ142" s="72">
        <v>0.26118666666666701</v>
      </c>
      <c r="BA142" s="70" t="s">
        <v>67</v>
      </c>
      <c r="BB142" s="70" t="s">
        <v>1044</v>
      </c>
      <c r="BC142" s="70" t="s">
        <v>2956</v>
      </c>
      <c r="BD142" s="70" t="s">
        <v>474</v>
      </c>
      <c r="BE142" s="70" t="s">
        <v>213</v>
      </c>
      <c r="BF142" s="70" t="s">
        <v>205</v>
      </c>
      <c r="BG142" s="68"/>
      <c r="BI142" s="68"/>
      <c r="BJ142" s="68"/>
      <c r="BK142" s="70">
        <v>0</v>
      </c>
      <c r="BL142" s="70">
        <v>0</v>
      </c>
      <c r="BM142" s="70" t="s">
        <v>2847</v>
      </c>
    </row>
    <row r="143" spans="1:65" x14ac:dyDescent="0.3">
      <c r="A143" s="1" t="str">
        <f t="shared" si="2"/>
        <v>001275</v>
      </c>
      <c r="B143" s="70" t="s">
        <v>61</v>
      </c>
      <c r="C143" s="70" t="s">
        <v>205</v>
      </c>
      <c r="D143" s="70" t="s">
        <v>408</v>
      </c>
      <c r="E143" s="70" t="s">
        <v>409</v>
      </c>
      <c r="F143" s="70" t="s">
        <v>590</v>
      </c>
      <c r="G143" s="70" t="s">
        <v>2763</v>
      </c>
      <c r="H143" s="70" t="s">
        <v>2311</v>
      </c>
      <c r="I143" s="70" t="s">
        <v>67</v>
      </c>
      <c r="J143" s="70" t="s">
        <v>477</v>
      </c>
      <c r="K143" s="71">
        <v>45775</v>
      </c>
      <c r="L143" s="71">
        <v>45958</v>
      </c>
      <c r="M143" s="72">
        <v>6000</v>
      </c>
      <c r="N143" s="72">
        <v>6320.45</v>
      </c>
      <c r="O143" s="73">
        <v>0</v>
      </c>
      <c r="P143" s="73">
        <v>6</v>
      </c>
      <c r="Q143" s="70" t="s">
        <v>68</v>
      </c>
      <c r="R143" s="72">
        <v>1572.78</v>
      </c>
      <c r="S143" s="72">
        <v>348</v>
      </c>
      <c r="T143" s="72">
        <v>0</v>
      </c>
      <c r="U143" s="72">
        <v>0</v>
      </c>
      <c r="V143" s="72">
        <v>0</v>
      </c>
      <c r="W143" s="72">
        <v>1053.4100000000001</v>
      </c>
      <c r="X143" s="72">
        <v>0</v>
      </c>
      <c r="Y143" s="72">
        <v>0</v>
      </c>
      <c r="Z143" s="72">
        <v>0</v>
      </c>
      <c r="AA143" s="74">
        <v>0</v>
      </c>
      <c r="AB143" s="72">
        <v>0</v>
      </c>
      <c r="AC143" s="72">
        <v>1573</v>
      </c>
      <c r="AD143" s="71">
        <v>45929</v>
      </c>
      <c r="AE143" s="70" t="s">
        <v>69</v>
      </c>
      <c r="AF143" s="70" t="s">
        <v>2312</v>
      </c>
      <c r="AG143" s="70" t="s">
        <v>511</v>
      </c>
      <c r="AH143" s="68"/>
      <c r="AI143" s="70" t="s">
        <v>283</v>
      </c>
      <c r="AJ143" s="70" t="s">
        <v>284</v>
      </c>
      <c r="AK143" s="68"/>
      <c r="AL143" s="68"/>
      <c r="AM143" s="70" t="s">
        <v>909</v>
      </c>
      <c r="AN143" s="70" t="s">
        <v>2313</v>
      </c>
      <c r="AO143" s="70" t="s">
        <v>907</v>
      </c>
      <c r="AP143" s="70" t="s">
        <v>2314</v>
      </c>
      <c r="AQ143" s="70" t="s">
        <v>908</v>
      </c>
      <c r="AR143" s="70" t="s">
        <v>2315</v>
      </c>
      <c r="AS143" s="68"/>
      <c r="AT143" s="68"/>
      <c r="AU143" s="68"/>
      <c r="AV143" s="68"/>
      <c r="AW143" s="68"/>
      <c r="AX143" s="68"/>
      <c r="AY143" s="72">
        <v>1487.1200000000001</v>
      </c>
      <c r="AZ143" s="72">
        <v>27.659424166666657</v>
      </c>
      <c r="BA143" s="70" t="s">
        <v>67</v>
      </c>
      <c r="BB143" s="70" t="s">
        <v>1044</v>
      </c>
      <c r="BC143" s="70" t="s">
        <v>2939</v>
      </c>
      <c r="BD143" s="70" t="s">
        <v>478</v>
      </c>
      <c r="BE143" s="70" t="s">
        <v>213</v>
      </c>
      <c r="BF143" s="70" t="s">
        <v>205</v>
      </c>
      <c r="BG143" s="68"/>
      <c r="BI143" s="68"/>
      <c r="BJ143" s="68"/>
      <c r="BK143" s="70">
        <v>1</v>
      </c>
      <c r="BL143" s="70">
        <v>1</v>
      </c>
      <c r="BM143" s="70" t="s">
        <v>2847</v>
      </c>
    </row>
    <row r="144" spans="1:65" x14ac:dyDescent="0.3">
      <c r="A144" s="1" t="str">
        <f t="shared" si="2"/>
        <v>001173</v>
      </c>
      <c r="B144" s="70" t="s">
        <v>61</v>
      </c>
      <c r="C144" s="70" t="s">
        <v>205</v>
      </c>
      <c r="D144" s="70" t="s">
        <v>259</v>
      </c>
      <c r="E144" s="70" t="s">
        <v>260</v>
      </c>
      <c r="F144" s="70" t="s">
        <v>590</v>
      </c>
      <c r="G144" s="70" t="s">
        <v>2763</v>
      </c>
      <c r="H144" s="70" t="s">
        <v>2302</v>
      </c>
      <c r="I144" s="70" t="s">
        <v>67</v>
      </c>
      <c r="J144" s="70" t="s">
        <v>268</v>
      </c>
      <c r="K144" s="71">
        <v>45684</v>
      </c>
      <c r="L144" s="71">
        <v>46414</v>
      </c>
      <c r="M144" s="72">
        <v>200000</v>
      </c>
      <c r="N144" s="72">
        <v>210681.55000000002</v>
      </c>
      <c r="O144" s="73">
        <v>0</v>
      </c>
      <c r="P144" s="73">
        <v>24</v>
      </c>
      <c r="Q144" s="70" t="s">
        <v>68</v>
      </c>
      <c r="R144" s="72">
        <v>21935.21</v>
      </c>
      <c r="S144" s="72">
        <v>1392</v>
      </c>
      <c r="T144" s="72">
        <v>0</v>
      </c>
      <c r="U144" s="72">
        <v>0</v>
      </c>
      <c r="V144" s="72">
        <v>0</v>
      </c>
      <c r="W144" s="72">
        <v>180739.14</v>
      </c>
      <c r="X144" s="72">
        <v>0</v>
      </c>
      <c r="Y144" s="72">
        <v>0</v>
      </c>
      <c r="Z144" s="72">
        <v>0</v>
      </c>
      <c r="AA144" s="74">
        <v>0</v>
      </c>
      <c r="AB144" s="72">
        <v>0</v>
      </c>
      <c r="AC144" s="72">
        <v>21935.21</v>
      </c>
      <c r="AD144" s="71">
        <v>45929</v>
      </c>
      <c r="AE144" s="70" t="s">
        <v>69</v>
      </c>
      <c r="AF144" s="70" t="s">
        <v>2303</v>
      </c>
      <c r="AG144" s="70" t="s">
        <v>269</v>
      </c>
      <c r="AH144" s="68"/>
      <c r="AI144" s="70" t="s">
        <v>270</v>
      </c>
      <c r="AJ144" s="70" t="s">
        <v>2304</v>
      </c>
      <c r="AK144" s="68"/>
      <c r="AL144" s="68"/>
      <c r="AM144" s="70" t="s">
        <v>893</v>
      </c>
      <c r="AN144" s="70" t="s">
        <v>2305</v>
      </c>
      <c r="AO144" s="70" t="s">
        <v>891</v>
      </c>
      <c r="AP144" s="70" t="s">
        <v>2306</v>
      </c>
      <c r="AQ144" s="70" t="s">
        <v>892</v>
      </c>
      <c r="AR144" s="70" t="s">
        <v>2307</v>
      </c>
      <c r="AS144" s="70" t="s">
        <v>122</v>
      </c>
      <c r="AT144" s="68" t="s">
        <v>271</v>
      </c>
      <c r="AU144" s="70" t="s">
        <v>272</v>
      </c>
      <c r="AV144" s="68"/>
      <c r="AW144" s="68"/>
      <c r="AX144" s="68"/>
      <c r="AY144" s="72">
        <v>180735.2</v>
      </c>
      <c r="AZ144" s="72">
        <v>3.94</v>
      </c>
      <c r="BA144" s="70" t="s">
        <v>135</v>
      </c>
      <c r="BB144" s="70" t="s">
        <v>136</v>
      </c>
      <c r="BC144" s="70" t="s">
        <v>3027</v>
      </c>
      <c r="BD144" s="70" t="s">
        <v>267</v>
      </c>
      <c r="BE144" s="70" t="s">
        <v>213</v>
      </c>
      <c r="BF144" s="70" t="s">
        <v>205</v>
      </c>
      <c r="BG144" s="68"/>
      <c r="BI144" s="68"/>
      <c r="BJ144" s="68"/>
      <c r="BK144" s="70">
        <v>0</v>
      </c>
      <c r="BL144" s="70">
        <v>0</v>
      </c>
      <c r="BM144" s="70" t="s">
        <v>2847</v>
      </c>
    </row>
    <row r="145" spans="1:65" x14ac:dyDescent="0.3">
      <c r="A145" s="1" t="str">
        <f t="shared" si="2"/>
        <v>001314</v>
      </c>
      <c r="B145" s="70" t="s">
        <v>61</v>
      </c>
      <c r="C145" s="70" t="s">
        <v>205</v>
      </c>
      <c r="D145" s="70" t="s">
        <v>408</v>
      </c>
      <c r="E145" s="70" t="s">
        <v>409</v>
      </c>
      <c r="F145" s="70" t="s">
        <v>590</v>
      </c>
      <c r="G145" s="70" t="s">
        <v>2763</v>
      </c>
      <c r="H145" s="70" t="s">
        <v>2326</v>
      </c>
      <c r="I145" s="70" t="s">
        <v>67</v>
      </c>
      <c r="J145" s="70" t="s">
        <v>578</v>
      </c>
      <c r="K145" s="71">
        <v>45791</v>
      </c>
      <c r="L145" s="71">
        <v>46158</v>
      </c>
      <c r="M145" s="72">
        <v>10000</v>
      </c>
      <c r="N145" s="72">
        <v>10534.08</v>
      </c>
      <c r="O145" s="73">
        <v>0</v>
      </c>
      <c r="P145" s="73">
        <v>12</v>
      </c>
      <c r="Q145" s="70" t="s">
        <v>68</v>
      </c>
      <c r="R145" s="72">
        <v>1702.69</v>
      </c>
      <c r="S145" s="72">
        <v>696</v>
      </c>
      <c r="T145" s="72">
        <v>0</v>
      </c>
      <c r="U145" s="72">
        <v>0</v>
      </c>
      <c r="V145" s="72">
        <v>0</v>
      </c>
      <c r="W145" s="72">
        <v>7022.77</v>
      </c>
      <c r="X145" s="72">
        <v>0.05</v>
      </c>
      <c r="Y145" s="72">
        <v>0.05</v>
      </c>
      <c r="Z145" s="72">
        <v>0</v>
      </c>
      <c r="AA145" s="72">
        <v>0</v>
      </c>
      <c r="AB145" s="72">
        <v>0</v>
      </c>
      <c r="AC145" s="72">
        <v>1702.65</v>
      </c>
      <c r="AD145" s="71">
        <v>45917</v>
      </c>
      <c r="AE145" s="70" t="s">
        <v>69</v>
      </c>
      <c r="AF145" s="70" t="s">
        <v>2327</v>
      </c>
      <c r="AG145" s="70" t="s">
        <v>579</v>
      </c>
      <c r="AH145" s="68"/>
      <c r="AI145" s="70" t="s">
        <v>580</v>
      </c>
      <c r="AJ145" s="70" t="s">
        <v>2328</v>
      </c>
      <c r="AK145" s="68"/>
      <c r="AL145" s="68"/>
      <c r="AM145" s="70" t="s">
        <v>918</v>
      </c>
      <c r="AN145" s="70" t="s">
        <v>2329</v>
      </c>
      <c r="AO145" s="70" t="s">
        <v>916</v>
      </c>
      <c r="AP145" s="70" t="s">
        <v>2330</v>
      </c>
      <c r="AQ145" s="70" t="s">
        <v>917</v>
      </c>
      <c r="AR145" s="70" t="s">
        <v>2331</v>
      </c>
      <c r="AS145" s="68"/>
      <c r="AT145" s="68"/>
      <c r="AU145" s="68"/>
      <c r="AV145" s="68"/>
      <c r="AW145" s="68"/>
      <c r="AX145" s="68"/>
      <c r="AY145" s="72">
        <v>13157.58</v>
      </c>
      <c r="AZ145" s="72">
        <v>0</v>
      </c>
      <c r="BA145" s="70" t="s">
        <v>67</v>
      </c>
      <c r="BB145" s="70" t="s">
        <v>1044</v>
      </c>
      <c r="BC145" s="70" t="s">
        <v>3028</v>
      </c>
      <c r="BD145" s="70" t="s">
        <v>581</v>
      </c>
      <c r="BE145" s="70" t="s">
        <v>213</v>
      </c>
      <c r="BF145" s="70" t="s">
        <v>582</v>
      </c>
      <c r="BG145" s="68"/>
      <c r="BI145" s="68"/>
      <c r="BJ145" s="68"/>
      <c r="BK145" s="70">
        <v>0</v>
      </c>
      <c r="BL145" s="70">
        <v>0</v>
      </c>
      <c r="BM145" s="70" t="s">
        <v>2847</v>
      </c>
    </row>
    <row r="146" spans="1:65" x14ac:dyDescent="0.3">
      <c r="A146" s="1" t="str">
        <f t="shared" si="2"/>
        <v>001076</v>
      </c>
      <c r="B146" s="70" t="s">
        <v>61</v>
      </c>
      <c r="C146" s="70" t="s">
        <v>205</v>
      </c>
      <c r="D146" s="70" t="s">
        <v>215</v>
      </c>
      <c r="E146" s="70" t="s">
        <v>216</v>
      </c>
      <c r="F146" s="70" t="s">
        <v>2802</v>
      </c>
      <c r="G146" s="70" t="s">
        <v>2803</v>
      </c>
      <c r="H146" s="70" t="s">
        <v>233</v>
      </c>
      <c r="I146" s="70" t="s">
        <v>67</v>
      </c>
      <c r="J146" s="70" t="s">
        <v>234</v>
      </c>
      <c r="K146" s="71">
        <v>45527</v>
      </c>
      <c r="L146" s="71">
        <v>45915</v>
      </c>
      <c r="M146" s="72">
        <v>30000</v>
      </c>
      <c r="N146" s="72">
        <v>31602.23</v>
      </c>
      <c r="O146" s="73">
        <v>120</v>
      </c>
      <c r="P146" s="73">
        <v>12</v>
      </c>
      <c r="Q146" s="70" t="s">
        <v>68</v>
      </c>
      <c r="R146" s="72">
        <v>5448.58</v>
      </c>
      <c r="S146" s="72">
        <v>696</v>
      </c>
      <c r="T146" s="72">
        <v>2320</v>
      </c>
      <c r="U146" s="72">
        <v>0</v>
      </c>
      <c r="V146" s="72">
        <v>3.4</v>
      </c>
      <c r="W146" s="72">
        <v>15454.08</v>
      </c>
      <c r="X146" s="72">
        <v>21082.959999999999</v>
      </c>
      <c r="Y146" s="72">
        <v>15454.09</v>
      </c>
      <c r="Z146" s="72">
        <v>3134.87</v>
      </c>
      <c r="AA146" s="72">
        <v>174</v>
      </c>
      <c r="AB146" s="72">
        <v>2320</v>
      </c>
      <c r="AC146" s="72">
        <v>3000</v>
      </c>
      <c r="AD146" s="71">
        <v>45912</v>
      </c>
      <c r="AE146" s="70" t="s">
        <v>69</v>
      </c>
      <c r="AF146" s="70" t="s">
        <v>235</v>
      </c>
      <c r="AG146" s="70" t="s">
        <v>236</v>
      </c>
      <c r="AH146" s="68"/>
      <c r="AI146" s="70" t="s">
        <v>100</v>
      </c>
      <c r="AJ146" s="70" t="s">
        <v>101</v>
      </c>
      <c r="AK146" s="70" t="s">
        <v>237</v>
      </c>
      <c r="AL146" s="68"/>
      <c r="AM146" s="70" t="s">
        <v>887</v>
      </c>
      <c r="AN146" s="70" t="s">
        <v>1280</v>
      </c>
      <c r="AO146" s="70" t="s">
        <v>884</v>
      </c>
      <c r="AP146" s="70" t="s">
        <v>885</v>
      </c>
      <c r="AQ146" s="70" t="s">
        <v>886</v>
      </c>
      <c r="AR146" s="70" t="s">
        <v>1281</v>
      </c>
      <c r="AS146" s="70" t="s">
        <v>122</v>
      </c>
      <c r="AT146" s="68" t="s">
        <v>238</v>
      </c>
      <c r="AU146" s="70" t="s">
        <v>239</v>
      </c>
      <c r="AV146" s="68"/>
      <c r="AW146" s="68"/>
      <c r="AX146" s="68"/>
      <c r="AY146" s="72">
        <v>21082.95</v>
      </c>
      <c r="AZ146" s="72">
        <v>0</v>
      </c>
      <c r="BA146" s="70" t="s">
        <v>67</v>
      </c>
      <c r="BB146" s="70" t="s">
        <v>77</v>
      </c>
      <c r="BC146" s="70" t="s">
        <v>3029</v>
      </c>
      <c r="BD146" s="70" t="s">
        <v>240</v>
      </c>
      <c r="BE146" s="70" t="s">
        <v>213</v>
      </c>
      <c r="BF146" s="70" t="s">
        <v>205</v>
      </c>
      <c r="BG146" s="68"/>
      <c r="BI146" s="68"/>
      <c r="BJ146" s="68"/>
      <c r="BK146" s="70">
        <v>7</v>
      </c>
      <c r="BL146" s="70">
        <v>6</v>
      </c>
      <c r="BM146" s="70" t="s">
        <v>2847</v>
      </c>
    </row>
    <row r="147" spans="1:65" x14ac:dyDescent="0.3">
      <c r="A147" s="1" t="str">
        <f t="shared" ref="A147:A208" si="3">H147</f>
        <v>001061</v>
      </c>
      <c r="B147" s="70" t="s">
        <v>61</v>
      </c>
      <c r="C147" s="70" t="s">
        <v>205</v>
      </c>
      <c r="D147" s="70" t="s">
        <v>215</v>
      </c>
      <c r="E147" s="70" t="s">
        <v>216</v>
      </c>
      <c r="F147" s="70" t="s">
        <v>2802</v>
      </c>
      <c r="G147" s="70" t="s">
        <v>2803</v>
      </c>
      <c r="H147" s="70" t="s">
        <v>1484</v>
      </c>
      <c r="I147" s="70" t="s">
        <v>67</v>
      </c>
      <c r="J147" s="70" t="s">
        <v>241</v>
      </c>
      <c r="K147" s="71">
        <v>45447</v>
      </c>
      <c r="L147" s="71">
        <v>45904</v>
      </c>
      <c r="M147" s="72">
        <v>80000</v>
      </c>
      <c r="N147" s="72">
        <v>84272.62</v>
      </c>
      <c r="O147" s="73">
        <v>102</v>
      </c>
      <c r="P147" s="73">
        <v>15</v>
      </c>
      <c r="Q147" s="70" t="s">
        <v>68</v>
      </c>
      <c r="R147" s="72">
        <v>12168.07</v>
      </c>
      <c r="S147" s="72">
        <v>870</v>
      </c>
      <c r="T147" s="72">
        <v>1740</v>
      </c>
      <c r="U147" s="72">
        <v>0</v>
      </c>
      <c r="V147" s="72">
        <v>3</v>
      </c>
      <c r="W147" s="72">
        <v>29287.440000000002</v>
      </c>
      <c r="X147" s="72">
        <v>38161.06</v>
      </c>
      <c r="Y147" s="72">
        <v>29287.43</v>
      </c>
      <c r="Z147" s="72">
        <v>6959.63</v>
      </c>
      <c r="AA147" s="72">
        <v>174</v>
      </c>
      <c r="AB147" s="72">
        <v>1740</v>
      </c>
      <c r="AC147" s="72">
        <v>12170</v>
      </c>
      <c r="AD147" s="71">
        <v>45811</v>
      </c>
      <c r="AE147" s="70" t="s">
        <v>69</v>
      </c>
      <c r="AF147" s="70" t="s">
        <v>1485</v>
      </c>
      <c r="AG147" s="70" t="s">
        <v>242</v>
      </c>
      <c r="AH147" s="68"/>
      <c r="AI147" s="70" t="s">
        <v>243</v>
      </c>
      <c r="AJ147" s="70" t="s">
        <v>1486</v>
      </c>
      <c r="AK147" s="68"/>
      <c r="AL147" s="68"/>
      <c r="AM147" s="70" t="s">
        <v>888</v>
      </c>
      <c r="AN147" s="70" t="s">
        <v>1487</v>
      </c>
      <c r="AO147" s="70" t="s">
        <v>1282</v>
      </c>
      <c r="AP147" s="70" t="s">
        <v>1488</v>
      </c>
      <c r="AQ147" s="70" t="s">
        <v>1283</v>
      </c>
      <c r="AR147" s="70" t="s">
        <v>1489</v>
      </c>
      <c r="AS147" s="70" t="s">
        <v>122</v>
      </c>
      <c r="AT147" s="68" t="s">
        <v>244</v>
      </c>
      <c r="AU147" s="70" t="s">
        <v>245</v>
      </c>
      <c r="AV147" s="68"/>
      <c r="AW147" s="68"/>
      <c r="AX147" s="68"/>
      <c r="AY147" s="72">
        <v>38161.07</v>
      </c>
      <c r="AZ147" s="72">
        <v>0</v>
      </c>
      <c r="BA147" s="70" t="s">
        <v>67</v>
      </c>
      <c r="BB147" s="70" t="s">
        <v>77</v>
      </c>
      <c r="BC147" s="70" t="s">
        <v>3030</v>
      </c>
      <c r="BD147" s="70" t="s">
        <v>246</v>
      </c>
      <c r="BE147" s="70" t="s">
        <v>213</v>
      </c>
      <c r="BF147" s="70" t="s">
        <v>205</v>
      </c>
      <c r="BG147" s="68"/>
      <c r="BI147" s="68"/>
      <c r="BJ147" s="68"/>
      <c r="BK147" s="70">
        <v>14</v>
      </c>
      <c r="BL147" s="70">
        <v>9</v>
      </c>
      <c r="BM147" s="70" t="s">
        <v>2847</v>
      </c>
    </row>
    <row r="148" spans="1:65" x14ac:dyDescent="0.3">
      <c r="A148" s="1" t="str">
        <f t="shared" si="3"/>
        <v>001280</v>
      </c>
      <c r="B148" s="70" t="s">
        <v>61</v>
      </c>
      <c r="C148" s="70" t="s">
        <v>205</v>
      </c>
      <c r="D148" s="70" t="s">
        <v>408</v>
      </c>
      <c r="E148" s="70" t="s">
        <v>409</v>
      </c>
      <c r="F148" s="70" t="s">
        <v>2802</v>
      </c>
      <c r="G148" s="70" t="s">
        <v>2803</v>
      </c>
      <c r="H148" s="70" t="s">
        <v>1490</v>
      </c>
      <c r="I148" s="70" t="s">
        <v>67</v>
      </c>
      <c r="J148" s="70" t="s">
        <v>475</v>
      </c>
      <c r="K148" s="71">
        <v>45775</v>
      </c>
      <c r="L148" s="71">
        <v>46140</v>
      </c>
      <c r="M148" s="72">
        <v>10000</v>
      </c>
      <c r="N148" s="72">
        <v>10534.08</v>
      </c>
      <c r="O148" s="73">
        <v>47</v>
      </c>
      <c r="P148" s="73">
        <v>12</v>
      </c>
      <c r="Q148" s="70" t="s">
        <v>68</v>
      </c>
      <c r="R148" s="72">
        <v>1702.69</v>
      </c>
      <c r="S148" s="72">
        <v>696</v>
      </c>
      <c r="T148" s="72">
        <v>1160</v>
      </c>
      <c r="U148" s="72">
        <v>0</v>
      </c>
      <c r="V148" s="72">
        <v>1.9</v>
      </c>
      <c r="W148" s="72">
        <v>7900.56</v>
      </c>
      <c r="X148" s="72">
        <v>4364.7700000000004</v>
      </c>
      <c r="Y148" s="72">
        <v>1755.68</v>
      </c>
      <c r="Z148" s="72">
        <v>1391.09</v>
      </c>
      <c r="AA148" s="72">
        <v>58</v>
      </c>
      <c r="AB148" s="72">
        <v>1160</v>
      </c>
      <c r="AC148" s="72">
        <v>2483</v>
      </c>
      <c r="AD148" s="71">
        <v>45889</v>
      </c>
      <c r="AE148" s="70" t="s">
        <v>69</v>
      </c>
      <c r="AF148" s="70" t="s">
        <v>1491</v>
      </c>
      <c r="AG148" s="70" t="s">
        <v>574</v>
      </c>
      <c r="AH148" s="68"/>
      <c r="AI148" s="70" t="s">
        <v>187</v>
      </c>
      <c r="AJ148" s="70" t="s">
        <v>1417</v>
      </c>
      <c r="AK148" s="70" t="s">
        <v>476</v>
      </c>
      <c r="AL148" s="70" t="s">
        <v>1492</v>
      </c>
      <c r="AM148" s="70" t="s">
        <v>906</v>
      </c>
      <c r="AN148" s="70" t="s">
        <v>1493</v>
      </c>
      <c r="AO148" s="70" t="s">
        <v>904</v>
      </c>
      <c r="AP148" s="70" t="s">
        <v>1494</v>
      </c>
      <c r="AQ148" s="70" t="s">
        <v>905</v>
      </c>
      <c r="AR148" s="70" t="s">
        <v>1495</v>
      </c>
      <c r="AS148" s="68"/>
      <c r="AT148" s="68"/>
      <c r="AU148" s="68"/>
      <c r="AV148" s="68"/>
      <c r="AW148" s="68"/>
      <c r="AX148" s="68"/>
      <c r="AY148" s="72">
        <v>15877.61</v>
      </c>
      <c r="AZ148" s="72">
        <v>0</v>
      </c>
      <c r="BA148" s="70" t="s">
        <v>67</v>
      </c>
      <c r="BB148" s="70" t="s">
        <v>1044</v>
      </c>
      <c r="BC148" s="70" t="s">
        <v>3031</v>
      </c>
      <c r="BD148" s="70" t="s">
        <v>232</v>
      </c>
      <c r="BE148" s="70" t="s">
        <v>213</v>
      </c>
      <c r="BF148" s="70" t="s">
        <v>205</v>
      </c>
      <c r="BG148" s="68"/>
      <c r="BI148" s="68"/>
      <c r="BJ148" s="68"/>
      <c r="BK148" s="70">
        <v>3</v>
      </c>
      <c r="BL148" s="70">
        <v>3</v>
      </c>
      <c r="BM148" s="70" t="s">
        <v>2847</v>
      </c>
    </row>
    <row r="149" spans="1:65" x14ac:dyDescent="0.3">
      <c r="A149" s="1" t="str">
        <f t="shared" si="3"/>
        <v>001062</v>
      </c>
      <c r="B149" s="70" t="s">
        <v>61</v>
      </c>
      <c r="C149" s="70" t="s">
        <v>205</v>
      </c>
      <c r="D149" s="70" t="s">
        <v>259</v>
      </c>
      <c r="E149" s="70" t="s">
        <v>260</v>
      </c>
      <c r="F149" s="70" t="s">
        <v>2802</v>
      </c>
      <c r="G149" s="70" t="s">
        <v>2803</v>
      </c>
      <c r="H149" s="70" t="s">
        <v>261</v>
      </c>
      <c r="I149" s="70" t="s">
        <v>67</v>
      </c>
      <c r="J149" s="70" t="s">
        <v>262</v>
      </c>
      <c r="K149" s="71">
        <v>45453</v>
      </c>
      <c r="L149" s="71">
        <v>45827</v>
      </c>
      <c r="M149" s="72">
        <v>60000</v>
      </c>
      <c r="N149" s="72">
        <v>63204.47</v>
      </c>
      <c r="O149" s="73">
        <v>209</v>
      </c>
      <c r="P149" s="73">
        <v>12</v>
      </c>
      <c r="Q149" s="70" t="s">
        <v>68</v>
      </c>
      <c r="R149" s="72">
        <v>10073.120000000001</v>
      </c>
      <c r="S149" s="72">
        <v>696</v>
      </c>
      <c r="T149" s="72">
        <v>1740</v>
      </c>
      <c r="U149" s="72">
        <v>0</v>
      </c>
      <c r="V149" s="72">
        <v>3.4</v>
      </c>
      <c r="W149" s="72">
        <v>27912.04</v>
      </c>
      <c r="X149" s="72">
        <v>35824.44</v>
      </c>
      <c r="Y149" s="72">
        <v>27912.04</v>
      </c>
      <c r="Z149" s="72">
        <v>5824.4000000000005</v>
      </c>
      <c r="AA149" s="72">
        <v>348</v>
      </c>
      <c r="AB149" s="72">
        <v>1740</v>
      </c>
      <c r="AC149" s="72">
        <v>500</v>
      </c>
      <c r="AD149" s="71">
        <v>45891</v>
      </c>
      <c r="AE149" s="70" t="s">
        <v>69</v>
      </c>
      <c r="AF149" s="70" t="s">
        <v>263</v>
      </c>
      <c r="AG149" s="70" t="s">
        <v>264</v>
      </c>
      <c r="AH149" s="68"/>
      <c r="AI149" s="70" t="s">
        <v>86</v>
      </c>
      <c r="AJ149" s="70" t="s">
        <v>87</v>
      </c>
      <c r="AK149" s="68"/>
      <c r="AL149" s="68"/>
      <c r="AM149" s="70" t="s">
        <v>890</v>
      </c>
      <c r="AN149" s="70" t="s">
        <v>889</v>
      </c>
      <c r="AO149" s="70" t="s">
        <v>1284</v>
      </c>
      <c r="AP149" s="70" t="s">
        <v>1285</v>
      </c>
      <c r="AQ149" s="70" t="s">
        <v>1286</v>
      </c>
      <c r="AR149" s="70" t="s">
        <v>1287</v>
      </c>
      <c r="AS149" s="70" t="s">
        <v>122</v>
      </c>
      <c r="AT149" s="68" t="s">
        <v>265</v>
      </c>
      <c r="AU149" s="70" t="s">
        <v>266</v>
      </c>
      <c r="AV149" s="68"/>
      <c r="AW149" s="68"/>
      <c r="AX149" s="68"/>
      <c r="AY149" s="72">
        <v>35824.44</v>
      </c>
      <c r="AZ149" s="72">
        <v>0</v>
      </c>
      <c r="BA149" s="70" t="s">
        <v>67</v>
      </c>
      <c r="BB149" s="70" t="s">
        <v>77</v>
      </c>
      <c r="BC149" s="70" t="s">
        <v>3032</v>
      </c>
      <c r="BD149" s="70" t="s">
        <v>267</v>
      </c>
      <c r="BE149" s="70" t="s">
        <v>213</v>
      </c>
      <c r="BF149" s="70" t="s">
        <v>205</v>
      </c>
      <c r="BG149" s="68"/>
      <c r="BI149" s="68"/>
      <c r="BJ149" s="68"/>
      <c r="BK149" s="70">
        <v>15</v>
      </c>
      <c r="BL149" s="70">
        <v>15</v>
      </c>
      <c r="BM149" s="70" t="s">
        <v>2847</v>
      </c>
    </row>
    <row r="150" spans="1:65" x14ac:dyDescent="0.3">
      <c r="A150" s="1" t="str">
        <f t="shared" si="3"/>
        <v>001256</v>
      </c>
      <c r="B150" s="70" t="s">
        <v>61</v>
      </c>
      <c r="C150" s="70" t="s">
        <v>205</v>
      </c>
      <c r="D150" s="70" t="s">
        <v>408</v>
      </c>
      <c r="E150" s="70" t="s">
        <v>409</v>
      </c>
      <c r="F150" s="70" t="s">
        <v>2802</v>
      </c>
      <c r="G150" s="70" t="s">
        <v>2803</v>
      </c>
      <c r="H150" s="70" t="s">
        <v>2316</v>
      </c>
      <c r="I150" s="70" t="s">
        <v>67</v>
      </c>
      <c r="J150" s="70" t="s">
        <v>410</v>
      </c>
      <c r="K150" s="71">
        <v>45763</v>
      </c>
      <c r="L150" s="71">
        <v>46128</v>
      </c>
      <c r="M150" s="72">
        <v>10000</v>
      </c>
      <c r="N150" s="72">
        <v>10534.08</v>
      </c>
      <c r="O150" s="73">
        <v>57</v>
      </c>
      <c r="P150" s="73">
        <v>12</v>
      </c>
      <c r="Q150" s="70" t="s">
        <v>68</v>
      </c>
      <c r="R150" s="72">
        <v>1702.69</v>
      </c>
      <c r="S150" s="72">
        <v>696</v>
      </c>
      <c r="T150" s="72">
        <v>580</v>
      </c>
      <c r="U150" s="72">
        <v>0</v>
      </c>
      <c r="V150" s="72">
        <v>1.4</v>
      </c>
      <c r="W150" s="72">
        <v>7604.49</v>
      </c>
      <c r="X150" s="72">
        <v>2864.46</v>
      </c>
      <c r="Y150" s="72">
        <v>1459.6100000000001</v>
      </c>
      <c r="Z150" s="72">
        <v>766.85</v>
      </c>
      <c r="AA150" s="72">
        <v>58</v>
      </c>
      <c r="AB150" s="72">
        <v>580</v>
      </c>
      <c r="AC150" s="72">
        <v>1700</v>
      </c>
      <c r="AD150" s="71">
        <v>45893</v>
      </c>
      <c r="AE150" s="70" t="s">
        <v>69</v>
      </c>
      <c r="AF150" s="70" t="s">
        <v>2317</v>
      </c>
      <c r="AG150" s="70" t="s">
        <v>431</v>
      </c>
      <c r="AH150" s="68"/>
      <c r="AI150" s="70" t="s">
        <v>283</v>
      </c>
      <c r="AJ150" s="70" t="s">
        <v>284</v>
      </c>
      <c r="AK150" s="68"/>
      <c r="AL150" s="68"/>
      <c r="AM150" s="70" t="s">
        <v>912</v>
      </c>
      <c r="AN150" s="70" t="s">
        <v>2318</v>
      </c>
      <c r="AO150" s="70" t="s">
        <v>910</v>
      </c>
      <c r="AP150" s="70" t="s">
        <v>1496</v>
      </c>
      <c r="AQ150" s="70" t="s">
        <v>911</v>
      </c>
      <c r="AR150" s="70" t="s">
        <v>2319</v>
      </c>
      <c r="AS150" s="68"/>
      <c r="AT150" s="68"/>
      <c r="AU150" s="68"/>
      <c r="AV150" s="68"/>
      <c r="AW150" s="68"/>
      <c r="AX150" s="68"/>
      <c r="AY150" s="72">
        <v>14377.300000000001</v>
      </c>
      <c r="AZ150" s="72">
        <v>0</v>
      </c>
      <c r="BA150" s="70" t="s">
        <v>67</v>
      </c>
      <c r="BB150" s="70" t="s">
        <v>1044</v>
      </c>
      <c r="BC150" s="70" t="s">
        <v>2940</v>
      </c>
      <c r="BD150" s="70" t="s">
        <v>411</v>
      </c>
      <c r="BE150" s="70" t="s">
        <v>213</v>
      </c>
      <c r="BF150" s="70" t="s">
        <v>205</v>
      </c>
      <c r="BG150" s="68"/>
      <c r="BI150" s="68"/>
      <c r="BJ150" s="68"/>
      <c r="BK150" s="70">
        <v>3</v>
      </c>
      <c r="BL150" s="70">
        <v>3</v>
      </c>
      <c r="BM150" s="70" t="s">
        <v>2847</v>
      </c>
    </row>
    <row r="151" spans="1:65" x14ac:dyDescent="0.3">
      <c r="A151" s="1" t="str">
        <f t="shared" si="3"/>
        <v>001316</v>
      </c>
      <c r="B151" s="70" t="s">
        <v>61</v>
      </c>
      <c r="C151" s="70" t="s">
        <v>205</v>
      </c>
      <c r="D151" s="70" t="s">
        <v>408</v>
      </c>
      <c r="E151" s="70" t="s">
        <v>409</v>
      </c>
      <c r="F151" s="70" t="s">
        <v>2802</v>
      </c>
      <c r="G151" s="70" t="s">
        <v>2803</v>
      </c>
      <c r="H151" s="70" t="s">
        <v>2320</v>
      </c>
      <c r="I151" s="70" t="s">
        <v>67</v>
      </c>
      <c r="J151" s="70" t="s">
        <v>575</v>
      </c>
      <c r="K151" s="71">
        <v>45791</v>
      </c>
      <c r="L151" s="71">
        <v>45959</v>
      </c>
      <c r="M151" s="72">
        <v>5000</v>
      </c>
      <c r="N151" s="72">
        <v>5267.04</v>
      </c>
      <c r="O151" s="73">
        <v>27</v>
      </c>
      <c r="P151" s="73">
        <v>24</v>
      </c>
      <c r="Q151" s="70" t="s">
        <v>469</v>
      </c>
      <c r="R151" s="72">
        <v>365.7</v>
      </c>
      <c r="S151" s="72">
        <v>1392</v>
      </c>
      <c r="T151" s="72">
        <v>2320</v>
      </c>
      <c r="U151" s="72">
        <v>21</v>
      </c>
      <c r="V151" s="72">
        <v>4</v>
      </c>
      <c r="W151" s="72">
        <v>1536.22</v>
      </c>
      <c r="X151" s="72">
        <v>3723.7100128000002</v>
      </c>
      <c r="Y151" s="72">
        <v>877.84</v>
      </c>
      <c r="Z151" s="72">
        <v>351.87</v>
      </c>
      <c r="AA151" s="72">
        <v>174</v>
      </c>
      <c r="AB151" s="72">
        <v>2320</v>
      </c>
      <c r="AC151" s="72">
        <v>366</v>
      </c>
      <c r="AD151" s="71">
        <v>45910</v>
      </c>
      <c r="AE151" s="70" t="s">
        <v>69</v>
      </c>
      <c r="AF151" s="70" t="s">
        <v>2321</v>
      </c>
      <c r="AG151" s="70" t="s">
        <v>576</v>
      </c>
      <c r="AH151" s="68"/>
      <c r="AI151" s="70" t="s">
        <v>577</v>
      </c>
      <c r="AJ151" s="70" t="s">
        <v>2322</v>
      </c>
      <c r="AK151" s="68"/>
      <c r="AL151" s="68"/>
      <c r="AM151" s="70" t="s">
        <v>915</v>
      </c>
      <c r="AN151" s="70" t="s">
        <v>2323</v>
      </c>
      <c r="AO151" s="70" t="s">
        <v>913</v>
      </c>
      <c r="AP151" s="70" t="s">
        <v>2324</v>
      </c>
      <c r="AQ151" s="70" t="s">
        <v>914</v>
      </c>
      <c r="AR151" s="70" t="s">
        <v>2325</v>
      </c>
      <c r="AS151" s="68"/>
      <c r="AT151" s="68"/>
      <c r="AU151" s="68"/>
      <c r="AV151" s="68"/>
      <c r="AW151" s="68"/>
      <c r="AX151" s="68"/>
      <c r="AY151" s="72">
        <v>4646.8100000000004</v>
      </c>
      <c r="AZ151" s="72">
        <v>0</v>
      </c>
      <c r="BA151" s="70" t="s">
        <v>67</v>
      </c>
      <c r="BB151" s="70" t="s">
        <v>1044</v>
      </c>
      <c r="BC151" s="70" t="s">
        <v>3033</v>
      </c>
      <c r="BD151" s="70" t="s">
        <v>205</v>
      </c>
      <c r="BE151" s="70" t="s">
        <v>213</v>
      </c>
      <c r="BF151" s="70" t="s">
        <v>205</v>
      </c>
      <c r="BG151" s="68"/>
      <c r="BI151" s="68"/>
      <c r="BJ151" s="68"/>
      <c r="BK151" s="70">
        <v>4</v>
      </c>
      <c r="BL151" s="70">
        <v>4</v>
      </c>
      <c r="BM151" s="70" t="s">
        <v>2847</v>
      </c>
    </row>
    <row r="152" spans="1:65" x14ac:dyDescent="0.3">
      <c r="A152" s="1" t="str">
        <f t="shared" si="3"/>
        <v>001257</v>
      </c>
      <c r="B152" s="70" t="s">
        <v>61</v>
      </c>
      <c r="C152" s="70" t="s">
        <v>205</v>
      </c>
      <c r="D152" s="70" t="s">
        <v>408</v>
      </c>
      <c r="E152" s="70" t="s">
        <v>409</v>
      </c>
      <c r="F152" s="70" t="s">
        <v>2802</v>
      </c>
      <c r="G152" s="70" t="s">
        <v>2803</v>
      </c>
      <c r="H152" s="70" t="s">
        <v>417</v>
      </c>
      <c r="I152" s="70" t="s">
        <v>67</v>
      </c>
      <c r="J152" s="70" t="s">
        <v>418</v>
      </c>
      <c r="K152" s="71">
        <v>45768</v>
      </c>
      <c r="L152" s="71">
        <v>45951</v>
      </c>
      <c r="M152" s="72">
        <v>5000</v>
      </c>
      <c r="N152" s="72">
        <v>5267.04</v>
      </c>
      <c r="O152" s="73">
        <v>146</v>
      </c>
      <c r="P152" s="73">
        <v>6</v>
      </c>
      <c r="Q152" s="70" t="s">
        <v>68</v>
      </c>
      <c r="R152" s="72">
        <v>1320.32</v>
      </c>
      <c r="S152" s="72">
        <v>348</v>
      </c>
      <c r="T152" s="72">
        <v>2900</v>
      </c>
      <c r="U152" s="72">
        <v>0</v>
      </c>
      <c r="V152" s="72">
        <v>4.2</v>
      </c>
      <c r="W152" s="72">
        <v>4659.5200000000004</v>
      </c>
      <c r="X152" s="72">
        <v>8451.5818159999999</v>
      </c>
      <c r="Y152" s="72">
        <v>3781.6800000000003</v>
      </c>
      <c r="Z152" s="72">
        <v>1537.9</v>
      </c>
      <c r="AA152" s="72">
        <v>232</v>
      </c>
      <c r="AB152" s="72">
        <v>2900</v>
      </c>
      <c r="AC152" s="72">
        <v>1050</v>
      </c>
      <c r="AD152" s="71">
        <v>45798</v>
      </c>
      <c r="AE152" s="70" t="s">
        <v>69</v>
      </c>
      <c r="AF152" s="70" t="s">
        <v>419</v>
      </c>
      <c r="AG152" s="70" t="s">
        <v>512</v>
      </c>
      <c r="AH152" s="68"/>
      <c r="AI152" s="70" t="s">
        <v>89</v>
      </c>
      <c r="AJ152" s="70" t="s">
        <v>90</v>
      </c>
      <c r="AK152" s="68"/>
      <c r="AL152" s="68"/>
      <c r="AM152" s="70" t="s">
        <v>922</v>
      </c>
      <c r="AN152" s="70" t="s">
        <v>1290</v>
      </c>
      <c r="AO152" s="70" t="s">
        <v>919</v>
      </c>
      <c r="AP152" s="70" t="s">
        <v>920</v>
      </c>
      <c r="AQ152" s="70" t="s">
        <v>921</v>
      </c>
      <c r="AR152" s="70" t="s">
        <v>1291</v>
      </c>
      <c r="AS152" s="68"/>
      <c r="AT152" s="68"/>
      <c r="AU152" s="68"/>
      <c r="AV152" s="68"/>
      <c r="AW152" s="68"/>
      <c r="AX152" s="68"/>
      <c r="AY152" s="72">
        <v>9713.9</v>
      </c>
      <c r="AZ152" s="72">
        <v>0</v>
      </c>
      <c r="BA152" s="70" t="s">
        <v>67</v>
      </c>
      <c r="BB152" s="70" t="s">
        <v>1044</v>
      </c>
      <c r="BC152" s="70" t="s">
        <v>3034</v>
      </c>
      <c r="BD152" s="70" t="s">
        <v>420</v>
      </c>
      <c r="BE152" s="70" t="s">
        <v>213</v>
      </c>
      <c r="BF152" s="70" t="s">
        <v>205</v>
      </c>
      <c r="BG152" s="68"/>
      <c r="BI152" s="68"/>
      <c r="BJ152" s="68"/>
      <c r="BK152" s="70">
        <v>5</v>
      </c>
      <c r="BL152" s="70">
        <v>5</v>
      </c>
      <c r="BM152" s="70" t="s">
        <v>2847</v>
      </c>
    </row>
    <row r="153" spans="1:65" x14ac:dyDescent="0.3">
      <c r="A153" s="1" t="str">
        <f t="shared" si="3"/>
        <v>001339</v>
      </c>
      <c r="B153" s="70" t="s">
        <v>61</v>
      </c>
      <c r="C153" s="70" t="s">
        <v>205</v>
      </c>
      <c r="D153" s="70" t="s">
        <v>382</v>
      </c>
      <c r="E153" s="70" t="s">
        <v>383</v>
      </c>
      <c r="F153" s="70" t="s">
        <v>2802</v>
      </c>
      <c r="G153" s="70" t="s">
        <v>2803</v>
      </c>
      <c r="H153" s="70" t="s">
        <v>2347</v>
      </c>
      <c r="I153" s="70" t="s">
        <v>67</v>
      </c>
      <c r="J153" s="70" t="s">
        <v>631</v>
      </c>
      <c r="K153" s="71">
        <v>45800</v>
      </c>
      <c r="L153" s="71">
        <v>45984</v>
      </c>
      <c r="M153" s="72">
        <v>5000</v>
      </c>
      <c r="N153" s="72">
        <v>5267.04</v>
      </c>
      <c r="O153" s="73">
        <v>21</v>
      </c>
      <c r="P153" s="73">
        <v>6</v>
      </c>
      <c r="Q153" s="70" t="s">
        <v>68</v>
      </c>
      <c r="R153" s="72">
        <v>1322.42</v>
      </c>
      <c r="S153" s="72">
        <v>348</v>
      </c>
      <c r="T153" s="72">
        <v>580</v>
      </c>
      <c r="U153" s="72">
        <v>0</v>
      </c>
      <c r="V153" s="72">
        <v>1</v>
      </c>
      <c r="W153" s="72">
        <v>2633.52</v>
      </c>
      <c r="X153" s="72">
        <v>1892.25</v>
      </c>
      <c r="Y153" s="72">
        <v>877.84</v>
      </c>
      <c r="Z153" s="72">
        <v>386.58</v>
      </c>
      <c r="AA153" s="72">
        <v>47.83</v>
      </c>
      <c r="AB153" s="72">
        <v>580</v>
      </c>
      <c r="AC153" s="72">
        <v>1325</v>
      </c>
      <c r="AD153" s="71">
        <v>45894</v>
      </c>
      <c r="AE153" s="70" t="s">
        <v>69</v>
      </c>
      <c r="AF153" s="70" t="s">
        <v>2315</v>
      </c>
      <c r="AG153" s="70" t="s">
        <v>632</v>
      </c>
      <c r="AH153" s="68"/>
      <c r="AI153" s="70" t="s">
        <v>256</v>
      </c>
      <c r="AJ153" s="70" t="s">
        <v>257</v>
      </c>
      <c r="AK153" s="68"/>
      <c r="AL153" s="68"/>
      <c r="AM153" s="70" t="s">
        <v>932</v>
      </c>
      <c r="AN153" s="70" t="s">
        <v>2313</v>
      </c>
      <c r="AO153" s="70" t="s">
        <v>930</v>
      </c>
      <c r="AP153" s="70" t="s">
        <v>2348</v>
      </c>
      <c r="AQ153" s="70" t="s">
        <v>931</v>
      </c>
      <c r="AR153" s="70" t="s">
        <v>2349</v>
      </c>
      <c r="AS153" s="68"/>
      <c r="AT153" s="68"/>
      <c r="AU153" s="68"/>
      <c r="AV153" s="68"/>
      <c r="AW153" s="68"/>
      <c r="AX153" s="68"/>
      <c r="AY153" s="72">
        <v>4421.08</v>
      </c>
      <c r="AZ153" s="72">
        <v>0</v>
      </c>
      <c r="BA153" s="70" t="s">
        <v>67</v>
      </c>
      <c r="BB153" s="70" t="s">
        <v>1044</v>
      </c>
      <c r="BC153" s="70" t="s">
        <v>3035</v>
      </c>
      <c r="BD153" s="70" t="s">
        <v>267</v>
      </c>
      <c r="BE153" s="70" t="s">
        <v>213</v>
      </c>
      <c r="BF153" s="70" t="s">
        <v>205</v>
      </c>
      <c r="BG153" s="68"/>
      <c r="BI153" s="68"/>
      <c r="BJ153" s="68"/>
      <c r="BK153" s="70">
        <v>1</v>
      </c>
      <c r="BL153" s="70">
        <v>1</v>
      </c>
      <c r="BM153" s="70" t="s">
        <v>2847</v>
      </c>
    </row>
    <row r="154" spans="1:65" x14ac:dyDescent="0.3">
      <c r="A154" s="1" t="str">
        <f t="shared" si="3"/>
        <v>001270</v>
      </c>
      <c r="B154" s="70" t="s">
        <v>61</v>
      </c>
      <c r="C154" s="70" t="s">
        <v>205</v>
      </c>
      <c r="D154" s="70" t="s">
        <v>408</v>
      </c>
      <c r="E154" s="70" t="s">
        <v>409</v>
      </c>
      <c r="F154" s="70" t="s">
        <v>2802</v>
      </c>
      <c r="G154" s="70" t="s">
        <v>2803</v>
      </c>
      <c r="H154" s="70" t="s">
        <v>455</v>
      </c>
      <c r="I154" s="70" t="s">
        <v>67</v>
      </c>
      <c r="J154" s="70" t="s">
        <v>456</v>
      </c>
      <c r="K154" s="71">
        <v>45772</v>
      </c>
      <c r="L154" s="71">
        <v>45955</v>
      </c>
      <c r="M154" s="72">
        <v>7000</v>
      </c>
      <c r="N154" s="72">
        <v>7373.85</v>
      </c>
      <c r="O154" s="73">
        <v>141</v>
      </c>
      <c r="P154" s="73">
        <v>6</v>
      </c>
      <c r="Q154" s="70" t="s">
        <v>68</v>
      </c>
      <c r="R154" s="72">
        <v>1825.24</v>
      </c>
      <c r="S154" s="72">
        <v>348</v>
      </c>
      <c r="T154" s="72">
        <v>2900</v>
      </c>
      <c r="U154" s="72">
        <v>0</v>
      </c>
      <c r="V154" s="72">
        <v>5</v>
      </c>
      <c r="W154" s="72">
        <v>7373.85</v>
      </c>
      <c r="X154" s="72">
        <v>12026.2073525</v>
      </c>
      <c r="Y154" s="72">
        <v>6144.88</v>
      </c>
      <c r="Z154" s="72">
        <v>2691.33</v>
      </c>
      <c r="AA154" s="72">
        <v>290</v>
      </c>
      <c r="AB154" s="72">
        <v>2900</v>
      </c>
      <c r="AC154" s="68"/>
      <c r="AD154" s="68"/>
      <c r="AE154" s="70" t="s">
        <v>69</v>
      </c>
      <c r="AF154" s="70" t="s">
        <v>457</v>
      </c>
      <c r="AG154" s="70" t="s">
        <v>513</v>
      </c>
      <c r="AH154" s="68"/>
      <c r="AI154" s="70" t="s">
        <v>458</v>
      </c>
      <c r="AJ154" s="70" t="s">
        <v>459</v>
      </c>
      <c r="AK154" s="70" t="s">
        <v>460</v>
      </c>
      <c r="AL154" s="70" t="s">
        <v>457</v>
      </c>
      <c r="AM154" s="70" t="s">
        <v>926</v>
      </c>
      <c r="AN154" s="70" t="s">
        <v>1292</v>
      </c>
      <c r="AO154" s="70" t="s">
        <v>923</v>
      </c>
      <c r="AP154" s="70" t="s">
        <v>924</v>
      </c>
      <c r="AQ154" s="70" t="s">
        <v>925</v>
      </c>
      <c r="AR154" s="70" t="s">
        <v>1293</v>
      </c>
      <c r="AS154" s="68"/>
      <c r="AT154" s="68"/>
      <c r="AU154" s="68"/>
      <c r="AV154" s="68"/>
      <c r="AW154" s="68"/>
      <c r="AX154" s="68"/>
      <c r="AY154" s="72">
        <v>13793.45</v>
      </c>
      <c r="AZ154" s="72">
        <v>0</v>
      </c>
      <c r="BA154" s="70" t="s">
        <v>67</v>
      </c>
      <c r="BB154" s="70" t="s">
        <v>1044</v>
      </c>
      <c r="BC154" s="70" t="s">
        <v>3036</v>
      </c>
      <c r="BD154" s="70" t="s">
        <v>267</v>
      </c>
      <c r="BE154" s="70" t="s">
        <v>213</v>
      </c>
      <c r="BF154" s="70" t="s">
        <v>205</v>
      </c>
      <c r="BG154" s="68"/>
      <c r="BI154" s="68"/>
      <c r="BJ154" s="68"/>
      <c r="BK154" s="70">
        <v>5</v>
      </c>
      <c r="BL154" s="70">
        <v>5</v>
      </c>
      <c r="BM154" s="70" t="s">
        <v>2847</v>
      </c>
    </row>
    <row r="155" spans="1:65" x14ac:dyDescent="0.3">
      <c r="A155" s="1" t="str">
        <f t="shared" si="3"/>
        <v>001272</v>
      </c>
      <c r="B155" s="70" t="s">
        <v>61</v>
      </c>
      <c r="C155" s="70" t="s">
        <v>205</v>
      </c>
      <c r="D155" s="70" t="s">
        <v>408</v>
      </c>
      <c r="E155" s="70" t="s">
        <v>409</v>
      </c>
      <c r="F155" s="70" t="s">
        <v>2802</v>
      </c>
      <c r="G155" s="70" t="s">
        <v>2803</v>
      </c>
      <c r="H155" s="70" t="s">
        <v>461</v>
      </c>
      <c r="I155" s="70" t="s">
        <v>67</v>
      </c>
      <c r="J155" s="70" t="s">
        <v>462</v>
      </c>
      <c r="K155" s="71">
        <v>45772</v>
      </c>
      <c r="L155" s="71">
        <v>46137</v>
      </c>
      <c r="M155" s="72">
        <v>10000</v>
      </c>
      <c r="N155" s="72">
        <v>10534.08</v>
      </c>
      <c r="O155" s="73">
        <v>81</v>
      </c>
      <c r="P155" s="73">
        <v>12</v>
      </c>
      <c r="Q155" s="70" t="s">
        <v>68</v>
      </c>
      <c r="R155" s="72">
        <v>1702.69</v>
      </c>
      <c r="S155" s="72">
        <v>696</v>
      </c>
      <c r="T155" s="72">
        <v>1740</v>
      </c>
      <c r="U155" s="72">
        <v>0</v>
      </c>
      <c r="V155" s="72">
        <v>2.9</v>
      </c>
      <c r="W155" s="72">
        <v>8778.4</v>
      </c>
      <c r="X155" s="72">
        <v>6630.77</v>
      </c>
      <c r="Y155" s="72">
        <v>2633.52</v>
      </c>
      <c r="Z155" s="72">
        <v>2141.25</v>
      </c>
      <c r="AA155" s="72">
        <v>116</v>
      </c>
      <c r="AB155" s="72">
        <v>1740</v>
      </c>
      <c r="AC155" s="72">
        <v>2000</v>
      </c>
      <c r="AD155" s="71">
        <v>45909</v>
      </c>
      <c r="AE155" s="70" t="s">
        <v>69</v>
      </c>
      <c r="AF155" s="70" t="s">
        <v>463</v>
      </c>
      <c r="AG155" s="70" t="s">
        <v>514</v>
      </c>
      <c r="AH155" s="68"/>
      <c r="AI155" s="70" t="s">
        <v>464</v>
      </c>
      <c r="AJ155" s="70" t="s">
        <v>465</v>
      </c>
      <c r="AK155" s="70" t="s">
        <v>466</v>
      </c>
      <c r="AL155" s="68"/>
      <c r="AM155" s="70" t="s">
        <v>929</v>
      </c>
      <c r="AN155" s="70" t="s">
        <v>1294</v>
      </c>
      <c r="AO155" s="70" t="s">
        <v>927</v>
      </c>
      <c r="AP155" s="70" t="s">
        <v>472</v>
      </c>
      <c r="AQ155" s="70" t="s">
        <v>928</v>
      </c>
      <c r="AR155" s="70" t="s">
        <v>928</v>
      </c>
      <c r="AS155" s="68"/>
      <c r="AT155" s="68"/>
      <c r="AU155" s="68"/>
      <c r="AV155" s="68"/>
      <c r="AW155" s="68"/>
      <c r="AX155" s="68"/>
      <c r="AY155" s="72">
        <v>18143.61</v>
      </c>
      <c r="AZ155" s="72">
        <v>0</v>
      </c>
      <c r="BA155" s="70" t="s">
        <v>67</v>
      </c>
      <c r="BB155" s="70" t="s">
        <v>1044</v>
      </c>
      <c r="BC155" s="70" t="s">
        <v>2947</v>
      </c>
      <c r="BD155" s="70" t="s">
        <v>467</v>
      </c>
      <c r="BE155" s="70" t="s">
        <v>213</v>
      </c>
      <c r="BF155" s="70" t="s">
        <v>205</v>
      </c>
      <c r="BG155" s="68"/>
      <c r="BI155" s="68"/>
      <c r="BJ155" s="68"/>
      <c r="BK155" s="70">
        <v>4</v>
      </c>
      <c r="BL155" s="70">
        <v>4</v>
      </c>
      <c r="BM155" s="70" t="s">
        <v>2847</v>
      </c>
    </row>
    <row r="156" spans="1:65" x14ac:dyDescent="0.3">
      <c r="A156" s="1" t="str">
        <f t="shared" si="3"/>
        <v>001016</v>
      </c>
      <c r="B156" s="70" t="s">
        <v>61</v>
      </c>
      <c r="C156" s="70" t="s">
        <v>273</v>
      </c>
      <c r="D156" s="70" t="s">
        <v>286</v>
      </c>
      <c r="E156" s="70" t="s">
        <v>287</v>
      </c>
      <c r="F156" s="70" t="s">
        <v>2783</v>
      </c>
      <c r="G156" s="70" t="s">
        <v>2784</v>
      </c>
      <c r="H156" s="70" t="s">
        <v>288</v>
      </c>
      <c r="I156" s="70" t="s">
        <v>67</v>
      </c>
      <c r="J156" s="70" t="s">
        <v>289</v>
      </c>
      <c r="K156" s="71">
        <v>45194</v>
      </c>
      <c r="L156" s="71">
        <v>45560</v>
      </c>
      <c r="M156" s="72">
        <v>130000</v>
      </c>
      <c r="N156" s="72">
        <v>136943.01</v>
      </c>
      <c r="O156" s="73">
        <v>446</v>
      </c>
      <c r="P156" s="73">
        <v>12</v>
      </c>
      <c r="Q156" s="70" t="s">
        <v>68</v>
      </c>
      <c r="R156" s="72">
        <v>20230.48</v>
      </c>
      <c r="S156" s="72">
        <v>696</v>
      </c>
      <c r="T156" s="72">
        <v>580</v>
      </c>
      <c r="U156" s="72">
        <v>0</v>
      </c>
      <c r="V156" s="72">
        <v>2.1</v>
      </c>
      <c r="W156" s="72">
        <v>39682.01</v>
      </c>
      <c r="X156" s="72">
        <v>44446.42</v>
      </c>
      <c r="Y156" s="72">
        <v>39682</v>
      </c>
      <c r="Z156" s="72">
        <v>3488.42</v>
      </c>
      <c r="AA156" s="72">
        <v>696</v>
      </c>
      <c r="AB156" s="72">
        <v>580</v>
      </c>
      <c r="AC156" s="72">
        <v>5050</v>
      </c>
      <c r="AD156" s="71">
        <v>45555</v>
      </c>
      <c r="AE156" s="70" t="s">
        <v>69</v>
      </c>
      <c r="AF156" s="70" t="s">
        <v>290</v>
      </c>
      <c r="AG156" s="68"/>
      <c r="AH156" s="68"/>
      <c r="AI156" s="70" t="s">
        <v>291</v>
      </c>
      <c r="AJ156" s="70" t="s">
        <v>292</v>
      </c>
      <c r="AK156" s="68"/>
      <c r="AL156" s="68"/>
      <c r="AM156" s="68"/>
      <c r="AN156" s="68"/>
      <c r="AO156" s="68"/>
      <c r="AP156" s="68"/>
      <c r="AQ156" s="68"/>
      <c r="AR156" s="68"/>
      <c r="AS156" s="68"/>
      <c r="AT156" s="68"/>
      <c r="AU156" s="68"/>
      <c r="AV156" s="68"/>
      <c r="AW156" s="68"/>
      <c r="AX156" s="68"/>
      <c r="AY156" s="72">
        <v>42768.090000000004</v>
      </c>
      <c r="AZ156" s="72">
        <v>0</v>
      </c>
      <c r="BA156" s="70" t="s">
        <v>123</v>
      </c>
      <c r="BB156" s="70" t="s">
        <v>124</v>
      </c>
      <c r="BC156" s="70" t="s">
        <v>293</v>
      </c>
      <c r="BD156" s="70" t="s">
        <v>294</v>
      </c>
      <c r="BE156" s="70" t="s">
        <v>74</v>
      </c>
      <c r="BF156" s="70" t="s">
        <v>204</v>
      </c>
      <c r="BG156" s="68"/>
      <c r="BI156" s="68"/>
      <c r="BJ156" s="68"/>
      <c r="BK156" s="70">
        <v>24</v>
      </c>
      <c r="BL156" s="70">
        <v>24</v>
      </c>
      <c r="BM156" s="70" t="s">
        <v>2847</v>
      </c>
    </row>
    <row r="157" spans="1:65" x14ac:dyDescent="0.3">
      <c r="A157" s="1" t="str">
        <f t="shared" si="3"/>
        <v>001069</v>
      </c>
      <c r="B157" s="70" t="s">
        <v>61</v>
      </c>
      <c r="C157" s="70" t="s">
        <v>273</v>
      </c>
      <c r="D157" s="70" t="s">
        <v>274</v>
      </c>
      <c r="E157" s="70" t="s">
        <v>275</v>
      </c>
      <c r="F157" s="70" t="s">
        <v>2783</v>
      </c>
      <c r="G157" s="70" t="s">
        <v>2784</v>
      </c>
      <c r="H157" s="70" t="s">
        <v>276</v>
      </c>
      <c r="I157" s="70" t="s">
        <v>67</v>
      </c>
      <c r="J157" s="70" t="s">
        <v>277</v>
      </c>
      <c r="K157" s="71">
        <v>45492</v>
      </c>
      <c r="L157" s="71">
        <v>45676</v>
      </c>
      <c r="M157" s="72">
        <v>15000</v>
      </c>
      <c r="N157" s="72">
        <v>15000</v>
      </c>
      <c r="O157" s="73">
        <v>421</v>
      </c>
      <c r="P157" s="73">
        <v>6</v>
      </c>
      <c r="Q157" s="70" t="s">
        <v>68</v>
      </c>
      <c r="R157" s="72">
        <v>2876.9700000000003</v>
      </c>
      <c r="S157" s="72">
        <v>0</v>
      </c>
      <c r="T157" s="72">
        <v>0</v>
      </c>
      <c r="U157" s="72">
        <v>0</v>
      </c>
      <c r="V157" s="72">
        <v>6</v>
      </c>
      <c r="W157" s="72">
        <v>15000</v>
      </c>
      <c r="X157" s="72">
        <v>17261.82</v>
      </c>
      <c r="Y157" s="72">
        <v>14999.99</v>
      </c>
      <c r="Z157" s="72">
        <v>2261.83</v>
      </c>
      <c r="AA157" s="72">
        <v>0</v>
      </c>
      <c r="AB157" s="72">
        <v>0</v>
      </c>
      <c r="AC157" s="68"/>
      <c r="AD157" s="68"/>
      <c r="AE157" s="70" t="s">
        <v>69</v>
      </c>
      <c r="AF157" s="70" t="s">
        <v>278</v>
      </c>
      <c r="AG157" s="70" t="s">
        <v>279</v>
      </c>
      <c r="AH157" s="68"/>
      <c r="AI157" s="70" t="s">
        <v>192</v>
      </c>
      <c r="AJ157" s="70" t="s">
        <v>193</v>
      </c>
      <c r="AK157" s="68"/>
      <c r="AL157" s="68"/>
      <c r="AM157" s="68"/>
      <c r="AN157" s="68"/>
      <c r="AO157" s="68"/>
      <c r="AP157" s="68"/>
      <c r="AQ157" s="68"/>
      <c r="AR157" s="68"/>
      <c r="AS157" s="68"/>
      <c r="AT157" s="68"/>
      <c r="AU157" s="68"/>
      <c r="AV157" s="68"/>
      <c r="AW157" s="68"/>
      <c r="AX157" s="68"/>
      <c r="AY157" s="72">
        <v>17261.830000000002</v>
      </c>
      <c r="AZ157" s="72">
        <v>0</v>
      </c>
      <c r="BA157" s="70" t="s">
        <v>280</v>
      </c>
      <c r="BB157" s="70" t="s">
        <v>281</v>
      </c>
      <c r="BC157" s="70" t="s">
        <v>2950</v>
      </c>
      <c r="BD157" s="70" t="s">
        <v>282</v>
      </c>
      <c r="BE157" s="70" t="s">
        <v>74</v>
      </c>
      <c r="BF157" s="70" t="s">
        <v>204</v>
      </c>
      <c r="BG157" s="68"/>
      <c r="BI157" s="68"/>
      <c r="BJ157" s="68"/>
      <c r="BK157" s="70">
        <v>14</v>
      </c>
      <c r="BL157" s="70">
        <v>14</v>
      </c>
      <c r="BM157" s="70" t="s">
        <v>2846</v>
      </c>
    </row>
    <row r="158" spans="1:65" x14ac:dyDescent="0.3">
      <c r="A158" s="1" t="str">
        <f t="shared" si="3"/>
        <v>001083</v>
      </c>
      <c r="B158" s="70" t="s">
        <v>61</v>
      </c>
      <c r="C158" s="70" t="s">
        <v>273</v>
      </c>
      <c r="D158" s="70" t="s">
        <v>408</v>
      </c>
      <c r="E158" s="70" t="s">
        <v>409</v>
      </c>
      <c r="F158" s="70" t="s">
        <v>408</v>
      </c>
      <c r="G158" s="70" t="s">
        <v>409</v>
      </c>
      <c r="H158" s="70" t="s">
        <v>2063</v>
      </c>
      <c r="I158" s="70" t="s">
        <v>123</v>
      </c>
      <c r="J158" s="70" t="s">
        <v>2064</v>
      </c>
      <c r="K158" s="71">
        <v>45939</v>
      </c>
      <c r="L158" s="71">
        <v>46096</v>
      </c>
      <c r="M158" s="72">
        <v>5846.95</v>
      </c>
      <c r="N158" s="72">
        <v>5846.95</v>
      </c>
      <c r="O158" s="73">
        <v>0</v>
      </c>
      <c r="P158" s="73">
        <v>5</v>
      </c>
      <c r="Q158" s="70" t="s">
        <v>68</v>
      </c>
      <c r="R158" s="72">
        <v>5846.95</v>
      </c>
      <c r="S158" s="72">
        <v>0</v>
      </c>
      <c r="T158" s="72">
        <v>0</v>
      </c>
      <c r="U158" s="72">
        <v>0</v>
      </c>
      <c r="V158" s="72">
        <v>0</v>
      </c>
      <c r="W158" s="72">
        <v>5846.95</v>
      </c>
      <c r="X158" s="72">
        <v>0</v>
      </c>
      <c r="Y158" s="72">
        <v>0</v>
      </c>
      <c r="Z158" s="72">
        <v>0</v>
      </c>
      <c r="AA158" s="72">
        <v>0</v>
      </c>
      <c r="AB158" s="72">
        <v>0</v>
      </c>
      <c r="AC158" s="68"/>
      <c r="AD158" s="68"/>
      <c r="AE158" s="70" t="s">
        <v>69</v>
      </c>
      <c r="AF158" s="70" t="s">
        <v>2764</v>
      </c>
      <c r="AG158" s="70" t="s">
        <v>2765</v>
      </c>
      <c r="AH158" s="68"/>
      <c r="AI158" s="70" t="s">
        <v>2065</v>
      </c>
      <c r="AJ158" s="70" t="s">
        <v>2066</v>
      </c>
      <c r="AK158" s="68"/>
      <c r="AL158" s="68"/>
      <c r="AM158" s="68"/>
      <c r="AN158" s="68"/>
      <c r="AO158" s="68"/>
      <c r="AP158" s="68"/>
      <c r="AQ158" s="68"/>
      <c r="AR158" s="68"/>
      <c r="AS158" s="68"/>
      <c r="AT158" s="68"/>
      <c r="AU158" s="68"/>
      <c r="AV158" s="68"/>
      <c r="AW158" s="68"/>
      <c r="AX158" s="68"/>
      <c r="AY158" s="72">
        <v>5846.95</v>
      </c>
      <c r="AZ158" s="72">
        <v>0</v>
      </c>
      <c r="BA158" s="70" t="s">
        <v>280</v>
      </c>
      <c r="BB158" s="70" t="s">
        <v>281</v>
      </c>
      <c r="BC158" s="70" t="s">
        <v>2951</v>
      </c>
      <c r="BD158" s="70" t="s">
        <v>295</v>
      </c>
      <c r="BE158" s="70" t="s">
        <v>74</v>
      </c>
      <c r="BF158" s="70" t="s">
        <v>296</v>
      </c>
      <c r="BG158" s="68"/>
      <c r="BI158" s="68"/>
      <c r="BJ158" s="68"/>
      <c r="BK158" s="70">
        <v>0</v>
      </c>
      <c r="BL158" s="70">
        <v>0</v>
      </c>
      <c r="BM158" s="70" t="s">
        <v>2847</v>
      </c>
    </row>
    <row r="159" spans="1:65" x14ac:dyDescent="0.3">
      <c r="A159" s="1" t="str">
        <f t="shared" si="3"/>
        <v>003414</v>
      </c>
      <c r="B159" s="70" t="s">
        <v>61</v>
      </c>
      <c r="C159" s="70" t="s">
        <v>273</v>
      </c>
      <c r="D159" s="70" t="s">
        <v>408</v>
      </c>
      <c r="E159" s="70" t="s">
        <v>409</v>
      </c>
      <c r="F159" s="70" t="s">
        <v>408</v>
      </c>
      <c r="G159" s="70" t="s">
        <v>409</v>
      </c>
      <c r="H159" s="70" t="s">
        <v>2911</v>
      </c>
      <c r="I159" s="70" t="s">
        <v>67</v>
      </c>
      <c r="J159" s="70" t="s">
        <v>2912</v>
      </c>
      <c r="K159" s="71">
        <v>45933</v>
      </c>
      <c r="L159" s="71">
        <v>46006</v>
      </c>
      <c r="M159" s="72">
        <v>65000</v>
      </c>
      <c r="N159" s="72">
        <v>65000</v>
      </c>
      <c r="O159" s="73">
        <v>0</v>
      </c>
      <c r="P159" s="73">
        <v>4</v>
      </c>
      <c r="Q159" s="70" t="s">
        <v>453</v>
      </c>
      <c r="R159" s="72">
        <v>16735.37</v>
      </c>
      <c r="S159" s="72">
        <v>240</v>
      </c>
      <c r="T159" s="72">
        <v>0</v>
      </c>
      <c r="U159" s="72">
        <v>0</v>
      </c>
      <c r="V159" s="72">
        <v>0</v>
      </c>
      <c r="W159" s="72">
        <v>65000</v>
      </c>
      <c r="X159" s="72">
        <v>0</v>
      </c>
      <c r="Y159" s="72">
        <v>0</v>
      </c>
      <c r="Z159" s="72">
        <v>0</v>
      </c>
      <c r="AA159" s="72">
        <v>0</v>
      </c>
      <c r="AB159" s="72">
        <v>0</v>
      </c>
      <c r="AC159" s="68"/>
      <c r="AD159" s="68"/>
      <c r="AE159" s="70" t="s">
        <v>69</v>
      </c>
      <c r="AF159" s="70" t="s">
        <v>2914</v>
      </c>
      <c r="AG159" s="70" t="s">
        <v>2915</v>
      </c>
      <c r="AH159" s="68"/>
      <c r="AI159" s="70" t="s">
        <v>283</v>
      </c>
      <c r="AJ159" s="70" t="s">
        <v>284</v>
      </c>
      <c r="AK159" s="68"/>
      <c r="AL159" s="68"/>
      <c r="AM159" s="68"/>
      <c r="AN159" s="68"/>
      <c r="AO159" s="68"/>
      <c r="AP159" s="68"/>
      <c r="AQ159" s="68"/>
      <c r="AR159" s="68"/>
      <c r="AS159" s="68"/>
      <c r="AT159" s="68"/>
      <c r="AU159" s="68"/>
      <c r="AV159" s="68"/>
      <c r="AW159" s="68"/>
      <c r="AX159" s="68"/>
      <c r="AY159" s="72">
        <v>65000</v>
      </c>
      <c r="AZ159" s="72">
        <v>0</v>
      </c>
      <c r="BA159" s="70" t="s">
        <v>280</v>
      </c>
      <c r="BB159" s="70" t="s">
        <v>281</v>
      </c>
      <c r="BC159" s="70" t="s">
        <v>2916</v>
      </c>
      <c r="BD159" s="70" t="s">
        <v>2917</v>
      </c>
      <c r="BE159" s="70" t="s">
        <v>2762</v>
      </c>
      <c r="BF159" s="70" t="s">
        <v>2762</v>
      </c>
      <c r="BG159" s="68"/>
      <c r="BI159" s="68"/>
      <c r="BJ159" s="68"/>
      <c r="BK159" s="70">
        <v>0</v>
      </c>
      <c r="BL159" s="70">
        <v>0</v>
      </c>
      <c r="BM159" s="70" t="s">
        <v>2847</v>
      </c>
    </row>
    <row r="160" spans="1:65" x14ac:dyDescent="0.3">
      <c r="A160" s="1" t="str">
        <f t="shared" si="3"/>
        <v>001073</v>
      </c>
      <c r="B160" s="70" t="s">
        <v>61</v>
      </c>
      <c r="C160" s="70" t="s">
        <v>273</v>
      </c>
      <c r="D160" s="70" t="s">
        <v>408</v>
      </c>
      <c r="E160" s="70" t="s">
        <v>409</v>
      </c>
      <c r="F160" s="70" t="s">
        <v>408</v>
      </c>
      <c r="G160" s="70" t="s">
        <v>409</v>
      </c>
      <c r="H160" s="70" t="s">
        <v>2756</v>
      </c>
      <c r="I160" s="70" t="s">
        <v>67</v>
      </c>
      <c r="J160" s="70" t="s">
        <v>2757</v>
      </c>
      <c r="K160" s="71">
        <v>45884</v>
      </c>
      <c r="L160" s="71">
        <v>46068</v>
      </c>
      <c r="M160" s="72">
        <v>7000</v>
      </c>
      <c r="N160" s="72">
        <v>7000</v>
      </c>
      <c r="O160" s="73">
        <v>0</v>
      </c>
      <c r="P160" s="73">
        <v>12</v>
      </c>
      <c r="Q160" s="70" t="s">
        <v>453</v>
      </c>
      <c r="R160" s="72">
        <v>733.31000000000006</v>
      </c>
      <c r="S160" s="72">
        <v>816</v>
      </c>
      <c r="T160" s="72">
        <v>0</v>
      </c>
      <c r="U160" s="72">
        <v>0</v>
      </c>
      <c r="V160" s="72">
        <v>0</v>
      </c>
      <c r="W160" s="72">
        <v>5408.87</v>
      </c>
      <c r="X160" s="72">
        <v>0</v>
      </c>
      <c r="Y160" s="72">
        <v>0</v>
      </c>
      <c r="Z160" s="72">
        <v>0</v>
      </c>
      <c r="AA160" s="72">
        <v>0</v>
      </c>
      <c r="AB160" s="72">
        <v>0</v>
      </c>
      <c r="AC160" s="72">
        <v>733.31000000000006</v>
      </c>
      <c r="AD160" s="71">
        <v>45930</v>
      </c>
      <c r="AE160" s="70" t="s">
        <v>69</v>
      </c>
      <c r="AF160" s="70" t="s">
        <v>2758</v>
      </c>
      <c r="AG160" s="70" t="s">
        <v>2758</v>
      </c>
      <c r="AH160" s="70" t="s">
        <v>2759</v>
      </c>
      <c r="AI160" s="70" t="s">
        <v>283</v>
      </c>
      <c r="AJ160" s="70" t="s">
        <v>284</v>
      </c>
      <c r="AK160" s="68"/>
      <c r="AL160" s="68"/>
      <c r="AM160" s="68"/>
      <c r="AN160" s="68"/>
      <c r="AO160" s="68"/>
      <c r="AP160" s="68"/>
      <c r="AQ160" s="68"/>
      <c r="AR160" s="68"/>
      <c r="AS160" s="68"/>
      <c r="AT160" s="68"/>
      <c r="AU160" s="68"/>
      <c r="AV160" s="68"/>
      <c r="AW160" s="68"/>
      <c r="AX160" s="68"/>
      <c r="AY160" s="72">
        <v>5408.87</v>
      </c>
      <c r="AZ160" s="72">
        <v>0</v>
      </c>
      <c r="BA160" s="70" t="s">
        <v>280</v>
      </c>
      <c r="BB160" s="70" t="s">
        <v>281</v>
      </c>
      <c r="BC160" s="70" t="s">
        <v>2760</v>
      </c>
      <c r="BD160" s="70" t="s">
        <v>2761</v>
      </c>
      <c r="BE160" s="70" t="s">
        <v>2762</v>
      </c>
      <c r="BF160" s="70" t="s">
        <v>2762</v>
      </c>
      <c r="BG160" s="68"/>
      <c r="BI160" s="68"/>
      <c r="BJ160" s="68"/>
      <c r="BK160" s="70">
        <v>0</v>
      </c>
      <c r="BL160" s="70">
        <v>0</v>
      </c>
      <c r="BM160" s="70" t="s">
        <v>2847</v>
      </c>
    </row>
    <row r="161" spans="1:65" x14ac:dyDescent="0.3">
      <c r="A161" s="1" t="str">
        <f t="shared" si="3"/>
        <v>001083</v>
      </c>
      <c r="B161" s="70" t="s">
        <v>61</v>
      </c>
      <c r="C161" s="70" t="s">
        <v>273</v>
      </c>
      <c r="D161" s="70" t="s">
        <v>408</v>
      </c>
      <c r="E161" s="70" t="s">
        <v>409</v>
      </c>
      <c r="F161" s="70" t="s">
        <v>408</v>
      </c>
      <c r="G161" s="70" t="s">
        <v>409</v>
      </c>
      <c r="H161" s="70" t="s">
        <v>2063</v>
      </c>
      <c r="I161" s="70" t="s">
        <v>76</v>
      </c>
      <c r="J161" s="70" t="s">
        <v>2064</v>
      </c>
      <c r="K161" s="71">
        <v>45888</v>
      </c>
      <c r="L161" s="71">
        <v>46072</v>
      </c>
      <c r="M161" s="72">
        <v>30000</v>
      </c>
      <c r="N161" s="72">
        <v>30000</v>
      </c>
      <c r="O161" s="73">
        <v>0</v>
      </c>
      <c r="P161" s="73">
        <v>6</v>
      </c>
      <c r="Q161" s="70" t="s">
        <v>68</v>
      </c>
      <c r="R161" s="72">
        <v>5846.95</v>
      </c>
      <c r="S161" s="72">
        <v>558</v>
      </c>
      <c r="T161" s="72">
        <v>0</v>
      </c>
      <c r="U161" s="72">
        <v>0</v>
      </c>
      <c r="V161" s="72">
        <v>0</v>
      </c>
      <c r="W161" s="72">
        <v>25496.05</v>
      </c>
      <c r="X161" s="72">
        <v>0</v>
      </c>
      <c r="Y161" s="72">
        <v>0</v>
      </c>
      <c r="Z161" s="72">
        <v>0</v>
      </c>
      <c r="AA161" s="72">
        <v>0</v>
      </c>
      <c r="AB161" s="72">
        <v>0</v>
      </c>
      <c r="AC161" s="72">
        <v>5846.95</v>
      </c>
      <c r="AD161" s="71">
        <v>45919</v>
      </c>
      <c r="AE161" s="70" t="s">
        <v>69</v>
      </c>
      <c r="AF161" s="70" t="s">
        <v>2764</v>
      </c>
      <c r="AG161" s="70" t="s">
        <v>2765</v>
      </c>
      <c r="AH161" s="68"/>
      <c r="AI161" s="70" t="s">
        <v>2065</v>
      </c>
      <c r="AJ161" s="70" t="s">
        <v>2066</v>
      </c>
      <c r="AK161" s="68"/>
      <c r="AL161" s="68"/>
      <c r="AM161" s="70" t="s">
        <v>2067</v>
      </c>
      <c r="AN161" s="70" t="s">
        <v>2766</v>
      </c>
      <c r="AO161" s="70" t="s">
        <v>2068</v>
      </c>
      <c r="AP161" s="70" t="s">
        <v>2069</v>
      </c>
      <c r="AQ161" s="70" t="s">
        <v>2070</v>
      </c>
      <c r="AR161" s="70" t="s">
        <v>2767</v>
      </c>
      <c r="AS161" s="68"/>
      <c r="AT161" s="68"/>
      <c r="AU161" s="68"/>
      <c r="AV161" s="68"/>
      <c r="AW161" s="68"/>
      <c r="AX161" s="68"/>
      <c r="AY161" s="72">
        <v>25496.05</v>
      </c>
      <c r="AZ161" s="72">
        <v>0</v>
      </c>
      <c r="BA161" s="70" t="s">
        <v>280</v>
      </c>
      <c r="BB161" s="70" t="s">
        <v>281</v>
      </c>
      <c r="BC161" s="70" t="s">
        <v>2951</v>
      </c>
      <c r="BD161" s="70" t="s">
        <v>295</v>
      </c>
      <c r="BE161" s="70" t="s">
        <v>74</v>
      </c>
      <c r="BF161" s="70" t="s">
        <v>296</v>
      </c>
      <c r="BG161" s="68"/>
      <c r="BI161" s="68"/>
      <c r="BJ161" s="68"/>
      <c r="BK161" s="70">
        <v>0</v>
      </c>
      <c r="BL161" s="70">
        <v>0</v>
      </c>
      <c r="BM161" s="70" t="s">
        <v>2847</v>
      </c>
    </row>
    <row r="162" spans="1:65" x14ac:dyDescent="0.3">
      <c r="A162" s="1" t="str">
        <f t="shared" si="3"/>
        <v>002369</v>
      </c>
      <c r="B162" s="70" t="s">
        <v>61</v>
      </c>
      <c r="C162" s="70" t="s">
        <v>273</v>
      </c>
      <c r="D162" s="70" t="s">
        <v>408</v>
      </c>
      <c r="E162" s="70" t="s">
        <v>409</v>
      </c>
      <c r="F162" s="70" t="s">
        <v>408</v>
      </c>
      <c r="G162" s="70" t="s">
        <v>409</v>
      </c>
      <c r="H162" s="70" t="s">
        <v>2804</v>
      </c>
      <c r="I162" s="70" t="s">
        <v>67</v>
      </c>
      <c r="J162" s="70" t="s">
        <v>2805</v>
      </c>
      <c r="K162" s="71">
        <v>45895</v>
      </c>
      <c r="L162" s="71">
        <v>46081</v>
      </c>
      <c r="M162" s="72">
        <v>10000</v>
      </c>
      <c r="N162" s="72">
        <v>10000</v>
      </c>
      <c r="O162" s="73">
        <v>0</v>
      </c>
      <c r="P162" s="73">
        <v>12</v>
      </c>
      <c r="Q162" s="70" t="s">
        <v>453</v>
      </c>
      <c r="R162" s="72">
        <v>986.61</v>
      </c>
      <c r="S162" s="72">
        <v>372</v>
      </c>
      <c r="T162" s="72">
        <v>0</v>
      </c>
      <c r="U162" s="72">
        <v>0</v>
      </c>
      <c r="V162" s="72">
        <v>0</v>
      </c>
      <c r="W162" s="72">
        <v>8546.59</v>
      </c>
      <c r="X162" s="72">
        <v>0</v>
      </c>
      <c r="Y162" s="72">
        <v>0</v>
      </c>
      <c r="Z162" s="72">
        <v>0</v>
      </c>
      <c r="AA162" s="72">
        <v>0</v>
      </c>
      <c r="AB162" s="72">
        <v>0</v>
      </c>
      <c r="AC162" s="72">
        <v>986.61</v>
      </c>
      <c r="AD162" s="71">
        <v>45930</v>
      </c>
      <c r="AE162" s="70" t="s">
        <v>69</v>
      </c>
      <c r="AF162" s="70" t="s">
        <v>2806</v>
      </c>
      <c r="AG162" s="70" t="s">
        <v>2807</v>
      </c>
      <c r="AH162" s="68"/>
      <c r="AI162" s="70" t="s">
        <v>192</v>
      </c>
      <c r="AJ162" s="70" t="s">
        <v>193</v>
      </c>
      <c r="AK162" s="70" t="s">
        <v>2808</v>
      </c>
      <c r="AL162" s="68"/>
      <c r="AM162" s="68"/>
      <c r="AN162" s="68"/>
      <c r="AO162" s="68"/>
      <c r="AP162" s="68"/>
      <c r="AQ162" s="68"/>
      <c r="AR162" s="68"/>
      <c r="AS162" s="68"/>
      <c r="AT162" s="68"/>
      <c r="AU162" s="68"/>
      <c r="AV162" s="68"/>
      <c r="AW162" s="68"/>
      <c r="AX162" s="68"/>
      <c r="AY162" s="72">
        <v>8546.59</v>
      </c>
      <c r="AZ162" s="72">
        <v>0</v>
      </c>
      <c r="BA162" s="70" t="s">
        <v>280</v>
      </c>
      <c r="BB162" s="70" t="s">
        <v>281</v>
      </c>
      <c r="BC162" s="70" t="s">
        <v>2809</v>
      </c>
      <c r="BD162" s="70" t="s">
        <v>2810</v>
      </c>
      <c r="BE162" s="70" t="s">
        <v>74</v>
      </c>
      <c r="BF162" s="70" t="s">
        <v>2811</v>
      </c>
      <c r="BG162" s="68"/>
      <c r="BI162" s="68"/>
      <c r="BJ162" s="68"/>
      <c r="BK162" s="70">
        <v>0</v>
      </c>
      <c r="BL162" s="70">
        <v>0</v>
      </c>
      <c r="BM162" s="70" t="s">
        <v>2847</v>
      </c>
    </row>
    <row r="163" spans="1:65" x14ac:dyDescent="0.3">
      <c r="A163" s="1" t="str">
        <f t="shared" si="3"/>
        <v>002648</v>
      </c>
      <c r="B163" s="70" t="s">
        <v>61</v>
      </c>
      <c r="C163" s="70" t="s">
        <v>273</v>
      </c>
      <c r="D163" s="70" t="s">
        <v>408</v>
      </c>
      <c r="E163" s="70" t="s">
        <v>409</v>
      </c>
      <c r="F163" s="70" t="s">
        <v>408</v>
      </c>
      <c r="G163" s="70" t="s">
        <v>409</v>
      </c>
      <c r="H163" s="70" t="s">
        <v>2827</v>
      </c>
      <c r="I163" s="70" t="s">
        <v>67</v>
      </c>
      <c r="J163" s="70" t="s">
        <v>2828</v>
      </c>
      <c r="K163" s="71">
        <v>45904</v>
      </c>
      <c r="L163" s="71">
        <v>46096</v>
      </c>
      <c r="M163" s="72">
        <v>30000</v>
      </c>
      <c r="N163" s="72">
        <v>30000</v>
      </c>
      <c r="O163" s="73">
        <v>0</v>
      </c>
      <c r="P163" s="73">
        <v>12</v>
      </c>
      <c r="Q163" s="70" t="s">
        <v>453</v>
      </c>
      <c r="R163" s="72">
        <v>2935</v>
      </c>
      <c r="S163" s="72">
        <v>492</v>
      </c>
      <c r="T163" s="72">
        <v>0</v>
      </c>
      <c r="U163" s="72">
        <v>0</v>
      </c>
      <c r="V163" s="72">
        <v>0</v>
      </c>
      <c r="W163" s="72">
        <v>28189.33</v>
      </c>
      <c r="X163" s="72">
        <v>0</v>
      </c>
      <c r="Y163" s="72">
        <v>0</v>
      </c>
      <c r="Z163" s="72">
        <v>0</v>
      </c>
      <c r="AA163" s="72">
        <v>0</v>
      </c>
      <c r="AB163" s="72">
        <v>0</v>
      </c>
      <c r="AC163" s="72">
        <v>2935</v>
      </c>
      <c r="AD163" s="71">
        <v>45930</v>
      </c>
      <c r="AE163" s="70" t="s">
        <v>69</v>
      </c>
      <c r="AF163" s="70" t="s">
        <v>2829</v>
      </c>
      <c r="AG163" s="70" t="s">
        <v>2830</v>
      </c>
      <c r="AH163" s="68"/>
      <c r="AI163" s="70" t="s">
        <v>283</v>
      </c>
      <c r="AJ163" s="70" t="s">
        <v>284</v>
      </c>
      <c r="AK163" s="68"/>
      <c r="AL163" s="68"/>
      <c r="AM163" s="68"/>
      <c r="AN163" s="68"/>
      <c r="AO163" s="68"/>
      <c r="AP163" s="68"/>
      <c r="AQ163" s="68"/>
      <c r="AR163" s="68"/>
      <c r="AS163" s="68"/>
      <c r="AT163" s="68"/>
      <c r="AU163" s="68"/>
      <c r="AV163" s="68"/>
      <c r="AW163" s="68"/>
      <c r="AX163" s="68"/>
      <c r="AY163" s="72">
        <v>28189.33</v>
      </c>
      <c r="AZ163" s="72">
        <v>0</v>
      </c>
      <c r="BA163" s="70" t="s">
        <v>280</v>
      </c>
      <c r="BB163" s="70" t="s">
        <v>281</v>
      </c>
      <c r="BC163" s="70" t="s">
        <v>2831</v>
      </c>
      <c r="BD163" s="70" t="s">
        <v>2832</v>
      </c>
      <c r="BE163" s="70" t="s">
        <v>2833</v>
      </c>
      <c r="BF163" s="70" t="s">
        <v>2834</v>
      </c>
      <c r="BG163" s="68"/>
      <c r="BI163" s="68"/>
      <c r="BJ163" s="68"/>
      <c r="BK163" s="70">
        <v>0</v>
      </c>
      <c r="BL163" s="70">
        <v>0</v>
      </c>
      <c r="BM163" s="70" t="s">
        <v>2847</v>
      </c>
    </row>
    <row r="164" spans="1:65" x14ac:dyDescent="0.3">
      <c r="A164" s="1" t="str">
        <f t="shared" si="3"/>
        <v>003639</v>
      </c>
      <c r="B164" s="70" t="s">
        <v>61</v>
      </c>
      <c r="C164" s="70" t="s">
        <v>273</v>
      </c>
      <c r="D164" s="70" t="s">
        <v>408</v>
      </c>
      <c r="E164" s="70" t="s">
        <v>409</v>
      </c>
      <c r="F164" s="70" t="s">
        <v>408</v>
      </c>
      <c r="G164" s="70" t="s">
        <v>409</v>
      </c>
      <c r="H164" s="70" t="s">
        <v>3037</v>
      </c>
      <c r="I164" s="70" t="s">
        <v>67</v>
      </c>
      <c r="J164" s="70" t="s">
        <v>3038</v>
      </c>
      <c r="K164" s="71">
        <v>45940</v>
      </c>
      <c r="L164" s="71">
        <v>45989</v>
      </c>
      <c r="M164" s="72">
        <v>10000</v>
      </c>
      <c r="N164" s="68"/>
      <c r="O164" s="73">
        <v>0</v>
      </c>
      <c r="P164" s="73">
        <v>7</v>
      </c>
      <c r="Q164" s="70" t="s">
        <v>469</v>
      </c>
      <c r="R164" s="72">
        <v>1500</v>
      </c>
      <c r="S164" s="72">
        <v>0</v>
      </c>
      <c r="T164" s="72">
        <v>0</v>
      </c>
      <c r="U164" s="72">
        <v>0</v>
      </c>
      <c r="V164" s="72">
        <v>0</v>
      </c>
      <c r="W164" s="72">
        <v>10000</v>
      </c>
      <c r="X164" s="72">
        <v>0</v>
      </c>
      <c r="Y164" s="72">
        <v>0</v>
      </c>
      <c r="Z164" s="72">
        <v>0</v>
      </c>
      <c r="AA164" s="72">
        <v>0</v>
      </c>
      <c r="AB164" s="72">
        <v>0</v>
      </c>
      <c r="AC164" s="68"/>
      <c r="AD164" s="68"/>
      <c r="AE164" s="70" t="s">
        <v>2913</v>
      </c>
      <c r="AF164" s="70" t="s">
        <v>3039</v>
      </c>
      <c r="AG164" s="70" t="s">
        <v>3040</v>
      </c>
      <c r="AH164" s="68"/>
      <c r="AI164" s="70" t="s">
        <v>283</v>
      </c>
      <c r="AJ164" s="70" t="s">
        <v>284</v>
      </c>
      <c r="AK164" s="68"/>
      <c r="AL164" s="68"/>
      <c r="AM164" s="68"/>
      <c r="AN164" s="68"/>
      <c r="AO164" s="68"/>
      <c r="AP164" s="68"/>
      <c r="AQ164" s="68"/>
      <c r="AR164" s="68"/>
      <c r="AS164" s="68"/>
      <c r="AT164" s="68"/>
      <c r="AU164" s="68"/>
      <c r="AV164" s="68"/>
      <c r="AW164" s="68"/>
      <c r="AX164" s="68"/>
      <c r="AY164" s="72">
        <v>10000</v>
      </c>
      <c r="AZ164" s="72">
        <v>0</v>
      </c>
      <c r="BA164" s="70" t="s">
        <v>2549</v>
      </c>
      <c r="BB164" s="70" t="s">
        <v>2550</v>
      </c>
      <c r="BC164" s="70" t="s">
        <v>3041</v>
      </c>
      <c r="BD164" s="70" t="s">
        <v>3042</v>
      </c>
      <c r="BE164" s="70" t="s">
        <v>74</v>
      </c>
      <c r="BF164" s="70" t="s">
        <v>2811</v>
      </c>
      <c r="BG164" s="68"/>
      <c r="BI164" s="68"/>
      <c r="BJ164" s="68"/>
      <c r="BK164" s="70">
        <v>0</v>
      </c>
      <c r="BL164" s="70">
        <v>0</v>
      </c>
      <c r="BM164" s="70" t="s">
        <v>2846</v>
      </c>
    </row>
    <row r="165" spans="1:65" x14ac:dyDescent="0.3">
      <c r="A165" s="1" t="str">
        <f t="shared" si="3"/>
        <v>001614</v>
      </c>
      <c r="B165" s="70" t="s">
        <v>61</v>
      </c>
      <c r="C165" s="70" t="s">
        <v>273</v>
      </c>
      <c r="D165" s="70" t="s">
        <v>1533</v>
      </c>
      <c r="E165" s="70" t="s">
        <v>599</v>
      </c>
      <c r="F165" s="70" t="s">
        <v>590</v>
      </c>
      <c r="G165" s="70" t="s">
        <v>2763</v>
      </c>
      <c r="H165" s="70" t="s">
        <v>2400</v>
      </c>
      <c r="I165" s="70" t="s">
        <v>67</v>
      </c>
      <c r="J165" s="70" t="s">
        <v>1720</v>
      </c>
      <c r="K165" s="71">
        <v>45860</v>
      </c>
      <c r="L165" s="71">
        <v>46044</v>
      </c>
      <c r="M165" s="72">
        <v>7000</v>
      </c>
      <c r="N165" s="72">
        <v>7373.85</v>
      </c>
      <c r="O165" s="73">
        <v>0</v>
      </c>
      <c r="P165" s="73">
        <v>6</v>
      </c>
      <c r="Q165" s="70" t="s">
        <v>68</v>
      </c>
      <c r="R165" s="72">
        <v>1828.18</v>
      </c>
      <c r="S165" s="72">
        <v>348</v>
      </c>
      <c r="T165" s="72">
        <v>0</v>
      </c>
      <c r="U165" s="72">
        <v>0</v>
      </c>
      <c r="V165" s="72">
        <v>0</v>
      </c>
      <c r="W165" s="72">
        <v>4915.91</v>
      </c>
      <c r="X165" s="72">
        <v>0.01</v>
      </c>
      <c r="Y165" s="72">
        <v>0.01</v>
      </c>
      <c r="Z165" s="72">
        <v>0</v>
      </c>
      <c r="AA165" s="72">
        <v>0</v>
      </c>
      <c r="AB165" s="72">
        <v>0</v>
      </c>
      <c r="AC165" s="72">
        <v>1828.18</v>
      </c>
      <c r="AD165" s="71">
        <v>45922</v>
      </c>
      <c r="AE165" s="70" t="s">
        <v>69</v>
      </c>
      <c r="AF165" s="70" t="s">
        <v>2401</v>
      </c>
      <c r="AG165" s="70" t="s">
        <v>1721</v>
      </c>
      <c r="AH165" s="68"/>
      <c r="AI165" s="70" t="s">
        <v>86</v>
      </c>
      <c r="AJ165" s="70" t="s">
        <v>87</v>
      </c>
      <c r="AK165" s="70" t="s">
        <v>1722</v>
      </c>
      <c r="AL165" s="68"/>
      <c r="AM165" s="70" t="s">
        <v>1723</v>
      </c>
      <c r="AN165" s="70" t="s">
        <v>2402</v>
      </c>
      <c r="AO165" s="70" t="s">
        <v>1724</v>
      </c>
      <c r="AP165" s="70" t="s">
        <v>2403</v>
      </c>
      <c r="AQ165" s="70" t="s">
        <v>1725</v>
      </c>
      <c r="AR165" s="70" t="s">
        <v>2404</v>
      </c>
      <c r="AS165" s="68"/>
      <c r="AT165" s="68"/>
      <c r="AU165" s="68"/>
      <c r="AV165" s="68"/>
      <c r="AW165" s="68"/>
      <c r="AX165" s="68"/>
      <c r="AY165" s="72">
        <v>7080.74</v>
      </c>
      <c r="AZ165" s="72">
        <v>0</v>
      </c>
      <c r="BA165" s="70" t="s">
        <v>67</v>
      </c>
      <c r="BB165" s="70" t="s">
        <v>1044</v>
      </c>
      <c r="BC165" s="70" t="s">
        <v>3043</v>
      </c>
      <c r="BD165" s="70" t="s">
        <v>1726</v>
      </c>
      <c r="BE165" s="70" t="s">
        <v>74</v>
      </c>
      <c r="BF165" s="70" t="s">
        <v>438</v>
      </c>
      <c r="BG165" s="70" t="s">
        <v>1727</v>
      </c>
      <c r="BH165" s="70"/>
      <c r="BI165" s="68"/>
      <c r="BJ165" s="68"/>
      <c r="BK165" s="70">
        <v>0</v>
      </c>
      <c r="BL165" s="70">
        <v>0</v>
      </c>
      <c r="BM165" s="70" t="s">
        <v>2847</v>
      </c>
    </row>
    <row r="166" spans="1:65" x14ac:dyDescent="0.3">
      <c r="A166" s="1" t="str">
        <f t="shared" si="3"/>
        <v>001717</v>
      </c>
      <c r="B166" s="70" t="s">
        <v>61</v>
      </c>
      <c r="C166" s="70" t="s">
        <v>273</v>
      </c>
      <c r="D166" s="70" t="s">
        <v>1533</v>
      </c>
      <c r="E166" s="70" t="s">
        <v>599</v>
      </c>
      <c r="F166" s="70" t="s">
        <v>590</v>
      </c>
      <c r="G166" s="70" t="s">
        <v>2763</v>
      </c>
      <c r="H166" s="70" t="s">
        <v>2661</v>
      </c>
      <c r="I166" s="70" t="s">
        <v>67</v>
      </c>
      <c r="J166" s="70" t="s">
        <v>2662</v>
      </c>
      <c r="K166" s="71">
        <v>45880</v>
      </c>
      <c r="L166" s="71">
        <v>46048</v>
      </c>
      <c r="M166" s="72">
        <v>5000.01</v>
      </c>
      <c r="N166" s="72">
        <v>5267.04</v>
      </c>
      <c r="O166" s="73">
        <v>0</v>
      </c>
      <c r="P166" s="73">
        <v>12</v>
      </c>
      <c r="Q166" s="70" t="s">
        <v>496</v>
      </c>
      <c r="R166" s="72">
        <v>673.4</v>
      </c>
      <c r="S166" s="72">
        <v>696</v>
      </c>
      <c r="T166" s="72">
        <v>0</v>
      </c>
      <c r="U166" s="72">
        <v>4</v>
      </c>
      <c r="V166" s="72">
        <v>0</v>
      </c>
      <c r="W166" s="72">
        <v>3511.36</v>
      </c>
      <c r="X166" s="72">
        <v>0</v>
      </c>
      <c r="Y166" s="72">
        <v>0</v>
      </c>
      <c r="Z166" s="72">
        <v>0</v>
      </c>
      <c r="AA166" s="74">
        <v>0</v>
      </c>
      <c r="AB166" s="72">
        <v>0</v>
      </c>
      <c r="AC166" s="72">
        <v>673.5</v>
      </c>
      <c r="AD166" s="71">
        <v>45936</v>
      </c>
      <c r="AE166" s="70" t="s">
        <v>69</v>
      </c>
      <c r="AF166" s="70" t="s">
        <v>2663</v>
      </c>
      <c r="AG166" s="70" t="s">
        <v>2664</v>
      </c>
      <c r="AH166" s="68"/>
      <c r="AI166" s="70" t="s">
        <v>86</v>
      </c>
      <c r="AJ166" s="70" t="s">
        <v>87</v>
      </c>
      <c r="AK166" s="70" t="s">
        <v>2665</v>
      </c>
      <c r="AL166" s="68"/>
      <c r="AM166" s="70" t="s">
        <v>2666</v>
      </c>
      <c r="AN166" s="70" t="s">
        <v>2667</v>
      </c>
      <c r="AO166" s="70" t="s">
        <v>2668</v>
      </c>
      <c r="AP166" s="70" t="s">
        <v>2669</v>
      </c>
      <c r="AQ166" s="70" t="s">
        <v>2670</v>
      </c>
      <c r="AR166" s="70" t="s">
        <v>2671</v>
      </c>
      <c r="AS166" s="68"/>
      <c r="AT166" s="68"/>
      <c r="AU166" s="68"/>
      <c r="AV166" s="68"/>
      <c r="AW166" s="68"/>
      <c r="AX166" s="68"/>
      <c r="AY166" s="72">
        <v>4922.8100000000004</v>
      </c>
      <c r="AZ166" s="72">
        <v>0.4</v>
      </c>
      <c r="BA166" s="70" t="s">
        <v>67</v>
      </c>
      <c r="BB166" s="70" t="s">
        <v>1044</v>
      </c>
      <c r="BC166" s="70" t="s">
        <v>3044</v>
      </c>
      <c r="BD166" s="70" t="s">
        <v>444</v>
      </c>
      <c r="BE166" s="70" t="s">
        <v>74</v>
      </c>
      <c r="BF166" s="70" t="s">
        <v>445</v>
      </c>
      <c r="BG166" s="70" t="s">
        <v>2672</v>
      </c>
      <c r="BH166" s="70"/>
      <c r="BI166" s="68"/>
      <c r="BJ166" s="68"/>
      <c r="BK166" s="70">
        <v>0</v>
      </c>
      <c r="BL166" s="70">
        <v>0</v>
      </c>
      <c r="BM166" s="70" t="s">
        <v>2847</v>
      </c>
    </row>
    <row r="167" spans="1:65" x14ac:dyDescent="0.3">
      <c r="A167" s="1" t="str">
        <f t="shared" si="3"/>
        <v>001518</v>
      </c>
      <c r="B167" s="70" t="s">
        <v>61</v>
      </c>
      <c r="C167" s="70" t="s">
        <v>273</v>
      </c>
      <c r="D167" s="70" t="s">
        <v>1533</v>
      </c>
      <c r="E167" s="70" t="s">
        <v>599</v>
      </c>
      <c r="F167" s="70" t="s">
        <v>590</v>
      </c>
      <c r="G167" s="70" t="s">
        <v>2763</v>
      </c>
      <c r="H167" s="70" t="s">
        <v>2487</v>
      </c>
      <c r="I167" s="70" t="s">
        <v>67</v>
      </c>
      <c r="J167" s="70" t="s">
        <v>1652</v>
      </c>
      <c r="K167" s="71">
        <v>45853</v>
      </c>
      <c r="L167" s="71">
        <v>46218</v>
      </c>
      <c r="M167" s="72">
        <v>10000</v>
      </c>
      <c r="N167" s="72">
        <v>10534.08</v>
      </c>
      <c r="O167" s="73">
        <v>0</v>
      </c>
      <c r="P167" s="73">
        <v>12</v>
      </c>
      <c r="Q167" s="70" t="s">
        <v>68</v>
      </c>
      <c r="R167" s="72">
        <v>1702.69</v>
      </c>
      <c r="S167" s="72">
        <v>696</v>
      </c>
      <c r="T167" s="72">
        <v>0</v>
      </c>
      <c r="U167" s="72">
        <v>0</v>
      </c>
      <c r="V167" s="72">
        <v>0</v>
      </c>
      <c r="W167" s="72">
        <v>8778.4</v>
      </c>
      <c r="X167" s="72">
        <v>0</v>
      </c>
      <c r="Y167" s="72">
        <v>0</v>
      </c>
      <c r="Z167" s="72">
        <v>0</v>
      </c>
      <c r="AA167" s="74">
        <v>0</v>
      </c>
      <c r="AB167" s="72">
        <v>0</v>
      </c>
      <c r="AC167" s="72">
        <v>2283</v>
      </c>
      <c r="AD167" s="71">
        <v>45919</v>
      </c>
      <c r="AE167" s="70" t="s">
        <v>69</v>
      </c>
      <c r="AF167" s="70" t="s">
        <v>2488</v>
      </c>
      <c r="AG167" s="70" t="s">
        <v>1653</v>
      </c>
      <c r="AH167" s="68"/>
      <c r="AI167" s="70" t="s">
        <v>523</v>
      </c>
      <c r="AJ167" s="70" t="s">
        <v>1879</v>
      </c>
      <c r="AK167" s="70" t="s">
        <v>1654</v>
      </c>
      <c r="AL167" s="68"/>
      <c r="AM167" s="70" t="s">
        <v>1655</v>
      </c>
      <c r="AN167" s="70" t="s">
        <v>2489</v>
      </c>
      <c r="AO167" s="70" t="s">
        <v>1656</v>
      </c>
      <c r="AP167" s="70" t="s">
        <v>2422</v>
      </c>
      <c r="AQ167" s="70" t="s">
        <v>1657</v>
      </c>
      <c r="AR167" s="70" t="s">
        <v>2490</v>
      </c>
      <c r="AS167" s="68"/>
      <c r="AT167" s="68"/>
      <c r="AU167" s="68"/>
      <c r="AV167" s="68"/>
      <c r="AW167" s="68"/>
      <c r="AX167" s="68"/>
      <c r="AY167" s="72">
        <v>16446.61</v>
      </c>
      <c r="AZ167" s="72">
        <v>0.31</v>
      </c>
      <c r="BA167" s="70" t="s">
        <v>67</v>
      </c>
      <c r="BB167" s="70" t="s">
        <v>1044</v>
      </c>
      <c r="BC167" s="70" t="s">
        <v>3045</v>
      </c>
      <c r="BD167" s="70" t="s">
        <v>541</v>
      </c>
      <c r="BE167" s="70" t="s">
        <v>74</v>
      </c>
      <c r="BF167" s="70" t="s">
        <v>296</v>
      </c>
      <c r="BG167" s="70" t="s">
        <v>1658</v>
      </c>
      <c r="BH167" s="70"/>
      <c r="BI167" s="68"/>
      <c r="BJ167" s="68"/>
      <c r="BK167" s="70">
        <v>1</v>
      </c>
      <c r="BL167" s="70">
        <v>1</v>
      </c>
      <c r="BM167" s="70" t="s">
        <v>2847</v>
      </c>
    </row>
    <row r="168" spans="1:65" x14ac:dyDescent="0.3">
      <c r="A168" s="1" t="str">
        <f t="shared" si="3"/>
        <v>001532</v>
      </c>
      <c r="B168" s="70" t="s">
        <v>61</v>
      </c>
      <c r="C168" s="70" t="s">
        <v>273</v>
      </c>
      <c r="D168" s="70" t="s">
        <v>1533</v>
      </c>
      <c r="E168" s="70" t="s">
        <v>599</v>
      </c>
      <c r="F168" s="70" t="s">
        <v>590</v>
      </c>
      <c r="G168" s="70" t="s">
        <v>2763</v>
      </c>
      <c r="H168" s="70" t="s">
        <v>2421</v>
      </c>
      <c r="I168" s="70" t="s">
        <v>67</v>
      </c>
      <c r="J168" s="70" t="s">
        <v>1632</v>
      </c>
      <c r="K168" s="71">
        <v>45853</v>
      </c>
      <c r="L168" s="71">
        <v>46037</v>
      </c>
      <c r="M168" s="72">
        <v>5000</v>
      </c>
      <c r="N168" s="72">
        <v>5267.04</v>
      </c>
      <c r="O168" s="73">
        <v>0</v>
      </c>
      <c r="P168" s="73">
        <v>6</v>
      </c>
      <c r="Q168" s="70" t="s">
        <v>68</v>
      </c>
      <c r="R168" s="72">
        <v>1322.42</v>
      </c>
      <c r="S168" s="72">
        <v>348</v>
      </c>
      <c r="T168" s="72">
        <v>0</v>
      </c>
      <c r="U168" s="72">
        <v>0</v>
      </c>
      <c r="V168" s="72">
        <v>0</v>
      </c>
      <c r="W168" s="72">
        <v>3511.36</v>
      </c>
      <c r="X168" s="72">
        <v>0</v>
      </c>
      <c r="Y168" s="72">
        <v>0</v>
      </c>
      <c r="Z168" s="72">
        <v>0</v>
      </c>
      <c r="AA168" s="74">
        <v>0</v>
      </c>
      <c r="AB168" s="72">
        <v>0</v>
      </c>
      <c r="AC168" s="72">
        <v>1322.42</v>
      </c>
      <c r="AD168" s="71">
        <v>45915</v>
      </c>
      <c r="AE168" s="70" t="s">
        <v>69</v>
      </c>
      <c r="AF168" s="70" t="s">
        <v>2422</v>
      </c>
      <c r="AG168" s="70" t="s">
        <v>1633</v>
      </c>
      <c r="AH168" s="68"/>
      <c r="AI168" s="70" t="s">
        <v>324</v>
      </c>
      <c r="AJ168" s="70" t="s">
        <v>325</v>
      </c>
      <c r="AK168" s="70" t="s">
        <v>1634</v>
      </c>
      <c r="AL168" s="68"/>
      <c r="AM168" s="70" t="s">
        <v>1635</v>
      </c>
      <c r="AN168" s="70" t="s">
        <v>2423</v>
      </c>
      <c r="AO168" s="70" t="s">
        <v>1636</v>
      </c>
      <c r="AP168" s="70" t="s">
        <v>2424</v>
      </c>
      <c r="AQ168" s="70" t="s">
        <v>1637</v>
      </c>
      <c r="AR168" s="70" t="s">
        <v>2425</v>
      </c>
      <c r="AS168" s="68"/>
      <c r="AT168" s="68"/>
      <c r="AU168" s="68"/>
      <c r="AV168" s="68"/>
      <c r="AW168" s="68"/>
      <c r="AX168" s="68"/>
      <c r="AY168" s="72">
        <v>5057.66</v>
      </c>
      <c r="AZ168" s="72">
        <v>0.01</v>
      </c>
      <c r="BA168" s="70" t="s">
        <v>67</v>
      </c>
      <c r="BB168" s="70" t="s">
        <v>1044</v>
      </c>
      <c r="BC168" s="70" t="s">
        <v>3046</v>
      </c>
      <c r="BD168" s="70" t="s">
        <v>541</v>
      </c>
      <c r="BE168" s="70" t="s">
        <v>74</v>
      </c>
      <c r="BF168" s="70" t="s">
        <v>296</v>
      </c>
      <c r="BG168" s="70" t="s">
        <v>1638</v>
      </c>
      <c r="BH168" s="70"/>
      <c r="BI168" s="68"/>
      <c r="BJ168" s="68"/>
      <c r="BK168" s="70">
        <v>0</v>
      </c>
      <c r="BL168" s="70">
        <v>0</v>
      </c>
      <c r="BM168" s="70" t="s">
        <v>2847</v>
      </c>
    </row>
    <row r="169" spans="1:65" x14ac:dyDescent="0.3">
      <c r="A169" s="1" t="str">
        <f t="shared" si="3"/>
        <v>001477</v>
      </c>
      <c r="B169" s="70" t="s">
        <v>61</v>
      </c>
      <c r="C169" s="70" t="s">
        <v>273</v>
      </c>
      <c r="D169" s="70" t="s">
        <v>1533</v>
      </c>
      <c r="E169" s="70" t="s">
        <v>599</v>
      </c>
      <c r="F169" s="70" t="s">
        <v>590</v>
      </c>
      <c r="G169" s="70" t="s">
        <v>2763</v>
      </c>
      <c r="H169" s="70" t="s">
        <v>2426</v>
      </c>
      <c r="I169" s="70" t="s">
        <v>67</v>
      </c>
      <c r="J169" s="70" t="s">
        <v>1770</v>
      </c>
      <c r="K169" s="71">
        <v>45862</v>
      </c>
      <c r="L169" s="71">
        <v>46046</v>
      </c>
      <c r="M169" s="72">
        <v>10000</v>
      </c>
      <c r="N169" s="72">
        <v>10534.08</v>
      </c>
      <c r="O169" s="73">
        <v>0</v>
      </c>
      <c r="P169" s="73">
        <v>6</v>
      </c>
      <c r="Q169" s="70" t="s">
        <v>68</v>
      </c>
      <c r="R169" s="72">
        <v>2586.83</v>
      </c>
      <c r="S169" s="72">
        <v>348</v>
      </c>
      <c r="T169" s="72">
        <v>0</v>
      </c>
      <c r="U169" s="72">
        <v>0</v>
      </c>
      <c r="V169" s="72">
        <v>0</v>
      </c>
      <c r="W169" s="72">
        <v>7022.72</v>
      </c>
      <c r="X169" s="72">
        <v>0</v>
      </c>
      <c r="Y169" s="72">
        <v>0</v>
      </c>
      <c r="Z169" s="72">
        <v>0</v>
      </c>
      <c r="AA169" s="74">
        <v>0</v>
      </c>
      <c r="AB169" s="72">
        <v>0</v>
      </c>
      <c r="AC169" s="72">
        <v>2350</v>
      </c>
      <c r="AD169" s="71">
        <v>45926</v>
      </c>
      <c r="AE169" s="70" t="s">
        <v>69</v>
      </c>
      <c r="AF169" s="70" t="s">
        <v>2427</v>
      </c>
      <c r="AG169" s="70" t="s">
        <v>1771</v>
      </c>
      <c r="AH169" s="68"/>
      <c r="AI169" s="70" t="s">
        <v>86</v>
      </c>
      <c r="AJ169" s="70" t="s">
        <v>87</v>
      </c>
      <c r="AK169" s="68"/>
      <c r="AL169" s="68"/>
      <c r="AM169" s="70" t="s">
        <v>1772</v>
      </c>
      <c r="AN169" s="70" t="s">
        <v>2428</v>
      </c>
      <c r="AO169" s="70" t="s">
        <v>1773</v>
      </c>
      <c r="AP169" s="70" t="s">
        <v>2429</v>
      </c>
      <c r="AQ169" s="70" t="s">
        <v>1774</v>
      </c>
      <c r="AR169" s="70" t="s">
        <v>2430</v>
      </c>
      <c r="AS169" s="68"/>
      <c r="AT169" s="68"/>
      <c r="AU169" s="68"/>
      <c r="AV169" s="68"/>
      <c r="AW169" s="68"/>
      <c r="AX169" s="68"/>
      <c r="AY169" s="72">
        <v>10099.01</v>
      </c>
      <c r="AZ169" s="72">
        <v>16.330692266666659</v>
      </c>
      <c r="BA169" s="70" t="s">
        <v>67</v>
      </c>
      <c r="BB169" s="70" t="s">
        <v>1044</v>
      </c>
      <c r="BC169" s="70" t="s">
        <v>3047</v>
      </c>
      <c r="BD169" s="70" t="s">
        <v>1021</v>
      </c>
      <c r="BE169" s="70" t="s">
        <v>74</v>
      </c>
      <c r="BF169" s="70" t="s">
        <v>204</v>
      </c>
      <c r="BG169" s="70" t="s">
        <v>1775</v>
      </c>
      <c r="BH169" s="70"/>
      <c r="BI169" s="68"/>
      <c r="BJ169" s="68"/>
      <c r="BK169" s="70">
        <v>2</v>
      </c>
      <c r="BL169" s="70">
        <v>2</v>
      </c>
      <c r="BM169" s="70" t="s">
        <v>2847</v>
      </c>
    </row>
    <row r="170" spans="1:65" x14ac:dyDescent="0.3">
      <c r="A170" s="1" t="str">
        <f t="shared" si="3"/>
        <v>001503</v>
      </c>
      <c r="B170" s="70" t="s">
        <v>61</v>
      </c>
      <c r="C170" s="70" t="s">
        <v>273</v>
      </c>
      <c r="D170" s="70" t="s">
        <v>1533</v>
      </c>
      <c r="E170" s="70" t="s">
        <v>599</v>
      </c>
      <c r="F170" s="70" t="s">
        <v>590</v>
      </c>
      <c r="G170" s="70" t="s">
        <v>2763</v>
      </c>
      <c r="H170" s="70" t="s">
        <v>2431</v>
      </c>
      <c r="I170" s="70" t="s">
        <v>67</v>
      </c>
      <c r="J170" s="70" t="s">
        <v>1728</v>
      </c>
      <c r="K170" s="71">
        <v>45860</v>
      </c>
      <c r="L170" s="71">
        <v>46044</v>
      </c>
      <c r="M170" s="72">
        <v>5000</v>
      </c>
      <c r="N170" s="72">
        <v>5267.04</v>
      </c>
      <c r="O170" s="73">
        <v>0</v>
      </c>
      <c r="P170" s="73">
        <v>6</v>
      </c>
      <c r="Q170" s="70" t="s">
        <v>68</v>
      </c>
      <c r="R170" s="72">
        <v>1322.42</v>
      </c>
      <c r="S170" s="72">
        <v>348</v>
      </c>
      <c r="T170" s="72">
        <v>0</v>
      </c>
      <c r="U170" s="72">
        <v>0</v>
      </c>
      <c r="V170" s="72">
        <v>0</v>
      </c>
      <c r="W170" s="72">
        <v>3511.36</v>
      </c>
      <c r="X170" s="72">
        <v>0</v>
      </c>
      <c r="Y170" s="72">
        <v>0</v>
      </c>
      <c r="Z170" s="72">
        <v>0</v>
      </c>
      <c r="AA170" s="74">
        <v>0</v>
      </c>
      <c r="AB170" s="72">
        <v>0</v>
      </c>
      <c r="AC170" s="72">
        <v>1322.42</v>
      </c>
      <c r="AD170" s="71">
        <v>45922</v>
      </c>
      <c r="AE170" s="70" t="s">
        <v>69</v>
      </c>
      <c r="AF170" s="70" t="s">
        <v>2432</v>
      </c>
      <c r="AG170" s="70" t="s">
        <v>1729</v>
      </c>
      <c r="AH170" s="68"/>
      <c r="AI170" s="70" t="s">
        <v>307</v>
      </c>
      <c r="AJ170" s="70" t="s">
        <v>1504</v>
      </c>
      <c r="AK170" s="68"/>
      <c r="AL170" s="68"/>
      <c r="AM170" s="70" t="s">
        <v>1730</v>
      </c>
      <c r="AN170" s="70" t="s">
        <v>2433</v>
      </c>
      <c r="AO170" s="70" t="s">
        <v>1731</v>
      </c>
      <c r="AP170" s="70" t="s">
        <v>2434</v>
      </c>
      <c r="AQ170" s="70" t="s">
        <v>1732</v>
      </c>
      <c r="AR170" s="70" t="s">
        <v>2435</v>
      </c>
      <c r="AS170" s="68"/>
      <c r="AT170" s="68"/>
      <c r="AU170" s="68"/>
      <c r="AV170" s="68"/>
      <c r="AW170" s="68"/>
      <c r="AX170" s="68"/>
      <c r="AY170" s="72">
        <v>5057.66</v>
      </c>
      <c r="AZ170" s="72">
        <v>0.01</v>
      </c>
      <c r="BA170" s="70" t="s">
        <v>67</v>
      </c>
      <c r="BB170" s="70" t="s">
        <v>1044</v>
      </c>
      <c r="BC170" s="70" t="s">
        <v>1733</v>
      </c>
      <c r="BD170" s="70" t="s">
        <v>541</v>
      </c>
      <c r="BE170" s="70" t="s">
        <v>74</v>
      </c>
      <c r="BF170" s="70" t="s">
        <v>296</v>
      </c>
      <c r="BG170" s="70" t="s">
        <v>1734</v>
      </c>
      <c r="BH170" s="70"/>
      <c r="BI170" s="68"/>
      <c r="BJ170" s="68"/>
      <c r="BK170" s="70">
        <v>0</v>
      </c>
      <c r="BL170" s="70">
        <v>0</v>
      </c>
      <c r="BM170" s="70" t="s">
        <v>2847</v>
      </c>
    </row>
    <row r="171" spans="1:65" x14ac:dyDescent="0.3">
      <c r="A171" s="1" t="str">
        <f t="shared" si="3"/>
        <v>001345</v>
      </c>
      <c r="B171" s="70" t="s">
        <v>61</v>
      </c>
      <c r="C171" s="70" t="s">
        <v>273</v>
      </c>
      <c r="D171" s="70" t="s">
        <v>1533</v>
      </c>
      <c r="E171" s="70" t="s">
        <v>599</v>
      </c>
      <c r="F171" s="70" t="s">
        <v>590</v>
      </c>
      <c r="G171" s="70" t="s">
        <v>2763</v>
      </c>
      <c r="H171" s="70" t="s">
        <v>2436</v>
      </c>
      <c r="I171" s="70" t="s">
        <v>67</v>
      </c>
      <c r="J171" s="70" t="s">
        <v>685</v>
      </c>
      <c r="K171" s="71">
        <v>45806</v>
      </c>
      <c r="L171" s="71">
        <v>45974</v>
      </c>
      <c r="M171" s="72">
        <v>5000.01</v>
      </c>
      <c r="N171" s="72">
        <v>5267.04</v>
      </c>
      <c r="O171" s="73">
        <v>0</v>
      </c>
      <c r="P171" s="73">
        <v>12</v>
      </c>
      <c r="Q171" s="70" t="s">
        <v>496</v>
      </c>
      <c r="R171" s="72">
        <v>673.4</v>
      </c>
      <c r="S171" s="72">
        <v>696</v>
      </c>
      <c r="T171" s="72">
        <v>0</v>
      </c>
      <c r="U171" s="72">
        <v>9</v>
      </c>
      <c r="V171" s="72">
        <v>0</v>
      </c>
      <c r="W171" s="72">
        <v>1316.77</v>
      </c>
      <c r="X171" s="72">
        <v>0.01</v>
      </c>
      <c r="Y171" s="72">
        <v>0.01</v>
      </c>
      <c r="Z171" s="72">
        <v>0</v>
      </c>
      <c r="AA171" s="72">
        <v>0</v>
      </c>
      <c r="AB171" s="72">
        <v>0</v>
      </c>
      <c r="AC171" s="72">
        <v>673.4</v>
      </c>
      <c r="AD171" s="71">
        <v>45930</v>
      </c>
      <c r="AE171" s="70" t="s">
        <v>69</v>
      </c>
      <c r="AF171" s="70" t="s">
        <v>2437</v>
      </c>
      <c r="AG171" s="70" t="s">
        <v>686</v>
      </c>
      <c r="AH171" s="68"/>
      <c r="AI171" s="70" t="s">
        <v>192</v>
      </c>
      <c r="AJ171" s="70" t="s">
        <v>193</v>
      </c>
      <c r="AK171" s="68"/>
      <c r="AL171" s="68"/>
      <c r="AM171" s="70" t="s">
        <v>982</v>
      </c>
      <c r="AN171" s="70" t="s">
        <v>2438</v>
      </c>
      <c r="AO171" s="70" t="s">
        <v>980</v>
      </c>
      <c r="AP171" s="70" t="s">
        <v>2439</v>
      </c>
      <c r="AQ171" s="70" t="s">
        <v>981</v>
      </c>
      <c r="AR171" s="70" t="s">
        <v>2440</v>
      </c>
      <c r="AS171" s="68"/>
      <c r="AT171" s="68"/>
      <c r="AU171" s="68"/>
      <c r="AV171" s="68"/>
      <c r="AW171" s="68"/>
      <c r="AX171" s="68"/>
      <c r="AY171" s="72">
        <v>1846.21</v>
      </c>
      <c r="AZ171" s="72">
        <v>0</v>
      </c>
      <c r="BA171" s="70" t="s">
        <v>67</v>
      </c>
      <c r="BB171" s="70" t="s">
        <v>1044</v>
      </c>
      <c r="BC171" s="70" t="s">
        <v>3048</v>
      </c>
      <c r="BD171" s="70" t="s">
        <v>687</v>
      </c>
      <c r="BE171" s="70" t="s">
        <v>74</v>
      </c>
      <c r="BF171" s="70" t="s">
        <v>273</v>
      </c>
      <c r="BG171" s="68"/>
      <c r="BI171" s="68"/>
      <c r="BJ171" s="68"/>
      <c r="BK171" s="70">
        <v>0</v>
      </c>
      <c r="BL171" s="70">
        <v>0</v>
      </c>
      <c r="BM171" s="70" t="s">
        <v>2847</v>
      </c>
    </row>
    <row r="172" spans="1:65" x14ac:dyDescent="0.3">
      <c r="A172" s="1" t="str">
        <f t="shared" si="3"/>
        <v>001351</v>
      </c>
      <c r="B172" s="70" t="s">
        <v>61</v>
      </c>
      <c r="C172" s="70" t="s">
        <v>273</v>
      </c>
      <c r="D172" s="70" t="s">
        <v>1533</v>
      </c>
      <c r="E172" s="70" t="s">
        <v>599</v>
      </c>
      <c r="F172" s="70" t="s">
        <v>590</v>
      </c>
      <c r="G172" s="70" t="s">
        <v>2763</v>
      </c>
      <c r="H172" s="70" t="s">
        <v>1534</v>
      </c>
      <c r="I172" s="70" t="s">
        <v>67</v>
      </c>
      <c r="J172" s="70" t="s">
        <v>688</v>
      </c>
      <c r="K172" s="71">
        <v>45806</v>
      </c>
      <c r="L172" s="71">
        <v>45990</v>
      </c>
      <c r="M172" s="72">
        <v>5000</v>
      </c>
      <c r="N172" s="72">
        <v>5267.04</v>
      </c>
      <c r="O172" s="73">
        <v>0</v>
      </c>
      <c r="P172" s="73">
        <v>6</v>
      </c>
      <c r="Q172" s="70" t="s">
        <v>68</v>
      </c>
      <c r="R172" s="72">
        <v>1322.42</v>
      </c>
      <c r="S172" s="72">
        <v>348</v>
      </c>
      <c r="T172" s="72">
        <v>0</v>
      </c>
      <c r="U172" s="72">
        <v>0</v>
      </c>
      <c r="V172" s="72">
        <v>0</v>
      </c>
      <c r="W172" s="72">
        <v>1755.68</v>
      </c>
      <c r="X172" s="72">
        <v>0</v>
      </c>
      <c r="Y172" s="72">
        <v>0</v>
      </c>
      <c r="Z172" s="72">
        <v>0</v>
      </c>
      <c r="AA172" s="74">
        <v>0</v>
      </c>
      <c r="AB172" s="72">
        <v>0</v>
      </c>
      <c r="AC172" s="72">
        <v>1323</v>
      </c>
      <c r="AD172" s="71">
        <v>45929</v>
      </c>
      <c r="AE172" s="70" t="s">
        <v>69</v>
      </c>
      <c r="AF172" s="70" t="s">
        <v>1535</v>
      </c>
      <c r="AG172" s="70" t="s">
        <v>689</v>
      </c>
      <c r="AH172" s="68"/>
      <c r="AI172" s="70" t="s">
        <v>192</v>
      </c>
      <c r="AJ172" s="70" t="s">
        <v>193</v>
      </c>
      <c r="AK172" s="68"/>
      <c r="AL172" s="68"/>
      <c r="AM172" s="70" t="s">
        <v>985</v>
      </c>
      <c r="AN172" s="70" t="s">
        <v>1536</v>
      </c>
      <c r="AO172" s="70" t="s">
        <v>983</v>
      </c>
      <c r="AP172" s="70" t="s">
        <v>1537</v>
      </c>
      <c r="AQ172" s="70" t="s">
        <v>984</v>
      </c>
      <c r="AR172" s="70" t="s">
        <v>1538</v>
      </c>
      <c r="AS172" s="68"/>
      <c r="AT172" s="68"/>
      <c r="AU172" s="68"/>
      <c r="AV172" s="68"/>
      <c r="AW172" s="68"/>
      <c r="AX172" s="68"/>
      <c r="AY172" s="72">
        <v>2526.5</v>
      </c>
      <c r="AZ172" s="72">
        <v>2.3306922666666701</v>
      </c>
      <c r="BA172" s="70" t="s">
        <v>67</v>
      </c>
      <c r="BB172" s="70" t="s">
        <v>1044</v>
      </c>
      <c r="BC172" s="70" t="s">
        <v>3049</v>
      </c>
      <c r="BD172" s="70" t="s">
        <v>690</v>
      </c>
      <c r="BE172" s="70" t="s">
        <v>74</v>
      </c>
      <c r="BF172" s="70" t="s">
        <v>691</v>
      </c>
      <c r="BG172" s="68"/>
      <c r="BI172" s="68"/>
      <c r="BJ172" s="68"/>
      <c r="BK172" s="70">
        <v>0</v>
      </c>
      <c r="BL172" s="70">
        <v>0</v>
      </c>
      <c r="BM172" s="70" t="s">
        <v>2847</v>
      </c>
    </row>
    <row r="173" spans="1:65" x14ac:dyDescent="0.3">
      <c r="A173" s="1" t="str">
        <f t="shared" si="3"/>
        <v>001384</v>
      </c>
      <c r="B173" s="70" t="s">
        <v>61</v>
      </c>
      <c r="C173" s="70" t="s">
        <v>273</v>
      </c>
      <c r="D173" s="70" t="s">
        <v>1533</v>
      </c>
      <c r="E173" s="70" t="s">
        <v>599</v>
      </c>
      <c r="F173" s="70" t="s">
        <v>590</v>
      </c>
      <c r="G173" s="70" t="s">
        <v>2763</v>
      </c>
      <c r="H173" s="70" t="s">
        <v>2441</v>
      </c>
      <c r="I173" s="70" t="s">
        <v>67</v>
      </c>
      <c r="J173" s="70" t="s">
        <v>1124</v>
      </c>
      <c r="K173" s="71">
        <v>45817</v>
      </c>
      <c r="L173" s="71">
        <v>46182</v>
      </c>
      <c r="M173" s="72">
        <v>30000</v>
      </c>
      <c r="N173" s="72">
        <v>31602.23</v>
      </c>
      <c r="O173" s="73">
        <v>5</v>
      </c>
      <c r="P173" s="73">
        <v>12</v>
      </c>
      <c r="Q173" s="70" t="s">
        <v>68</v>
      </c>
      <c r="R173" s="72">
        <v>4992.07</v>
      </c>
      <c r="S173" s="72">
        <v>696</v>
      </c>
      <c r="T173" s="72">
        <v>580</v>
      </c>
      <c r="U173" s="72">
        <v>0</v>
      </c>
      <c r="V173" s="72">
        <v>1</v>
      </c>
      <c r="W173" s="72">
        <v>23701.670000000002</v>
      </c>
      <c r="X173" s="72">
        <v>5571.2966999999999</v>
      </c>
      <c r="Y173" s="72">
        <v>2633.52</v>
      </c>
      <c r="Z173" s="72">
        <v>2300.56</v>
      </c>
      <c r="AA173" s="72">
        <v>57.22</v>
      </c>
      <c r="AB173" s="72">
        <v>580</v>
      </c>
      <c r="AC173" s="72">
        <v>5571</v>
      </c>
      <c r="AD173" s="71">
        <v>45917</v>
      </c>
      <c r="AE173" s="70" t="s">
        <v>69</v>
      </c>
      <c r="AF173" s="70" t="s">
        <v>2442</v>
      </c>
      <c r="AG173" s="70" t="s">
        <v>1125</v>
      </c>
      <c r="AH173" s="68"/>
      <c r="AI173" s="70" t="s">
        <v>86</v>
      </c>
      <c r="AJ173" s="70" t="s">
        <v>87</v>
      </c>
      <c r="AK173" s="70" t="s">
        <v>1126</v>
      </c>
      <c r="AL173" s="70" t="s">
        <v>2442</v>
      </c>
      <c r="AM173" s="70" t="s">
        <v>1127</v>
      </c>
      <c r="AN173" s="70" t="s">
        <v>2443</v>
      </c>
      <c r="AO173" s="70" t="s">
        <v>1128</v>
      </c>
      <c r="AP173" s="70" t="s">
        <v>2444</v>
      </c>
      <c r="AQ173" s="70" t="s">
        <v>1129</v>
      </c>
      <c r="AR173" s="70" t="s">
        <v>2445</v>
      </c>
      <c r="AS173" s="68"/>
      <c r="AT173" s="68"/>
      <c r="AU173" s="68"/>
      <c r="AV173" s="68"/>
      <c r="AW173" s="68"/>
      <c r="AX173" s="68"/>
      <c r="AY173" s="72">
        <v>45043.88</v>
      </c>
      <c r="AZ173" s="72">
        <v>0</v>
      </c>
      <c r="BA173" s="70" t="s">
        <v>67</v>
      </c>
      <c r="BB173" s="70" t="s">
        <v>1044</v>
      </c>
      <c r="BC173" s="70" t="s">
        <v>2880</v>
      </c>
      <c r="BD173" s="70" t="s">
        <v>1029</v>
      </c>
      <c r="BE173" s="70" t="s">
        <v>74</v>
      </c>
      <c r="BF173" s="70" t="s">
        <v>204</v>
      </c>
      <c r="BG173" s="70" t="s">
        <v>1130</v>
      </c>
      <c r="BH173" s="70"/>
      <c r="BI173" s="68"/>
      <c r="BJ173" s="68"/>
      <c r="BK173" s="70">
        <v>2</v>
      </c>
      <c r="BL173" s="70">
        <v>2</v>
      </c>
      <c r="BM173" s="70" t="s">
        <v>2847</v>
      </c>
    </row>
    <row r="174" spans="1:65" x14ac:dyDescent="0.3">
      <c r="A174" s="1" t="str">
        <f t="shared" si="3"/>
        <v>001358</v>
      </c>
      <c r="B174" s="70" t="s">
        <v>61</v>
      </c>
      <c r="C174" s="70" t="s">
        <v>273</v>
      </c>
      <c r="D174" s="70" t="s">
        <v>1533</v>
      </c>
      <c r="E174" s="70" t="s">
        <v>599</v>
      </c>
      <c r="F174" s="70" t="s">
        <v>590</v>
      </c>
      <c r="G174" s="70" t="s">
        <v>2763</v>
      </c>
      <c r="H174" s="70" t="s">
        <v>2446</v>
      </c>
      <c r="I174" s="70" t="s">
        <v>67</v>
      </c>
      <c r="J174" s="70" t="s">
        <v>986</v>
      </c>
      <c r="K174" s="71">
        <v>45807</v>
      </c>
      <c r="L174" s="71">
        <v>45993</v>
      </c>
      <c r="M174" s="72">
        <v>5000</v>
      </c>
      <c r="N174" s="72">
        <v>5267.04</v>
      </c>
      <c r="O174" s="73">
        <v>0</v>
      </c>
      <c r="P174" s="73">
        <v>6</v>
      </c>
      <c r="Q174" s="70" t="s">
        <v>68</v>
      </c>
      <c r="R174" s="72">
        <v>1326.6200000000001</v>
      </c>
      <c r="S174" s="72">
        <v>348</v>
      </c>
      <c r="T174" s="72">
        <v>0</v>
      </c>
      <c r="U174" s="72">
        <v>0</v>
      </c>
      <c r="V174" s="72">
        <v>0</v>
      </c>
      <c r="W174" s="72">
        <v>1755.92</v>
      </c>
      <c r="X174" s="72">
        <v>0.24</v>
      </c>
      <c r="Y174" s="72">
        <v>0.24</v>
      </c>
      <c r="Z174" s="72">
        <v>0</v>
      </c>
      <c r="AA174" s="72">
        <v>0</v>
      </c>
      <c r="AB174" s="72">
        <v>0</v>
      </c>
      <c r="AC174" s="72">
        <v>1326.6200000000001</v>
      </c>
      <c r="AD174" s="71">
        <v>45931</v>
      </c>
      <c r="AE174" s="70" t="s">
        <v>69</v>
      </c>
      <c r="AF174" s="70" t="s">
        <v>2447</v>
      </c>
      <c r="AG174" s="70" t="s">
        <v>987</v>
      </c>
      <c r="AH174" s="68"/>
      <c r="AI174" s="70" t="s">
        <v>192</v>
      </c>
      <c r="AJ174" s="70" t="s">
        <v>193</v>
      </c>
      <c r="AK174" s="68"/>
      <c r="AL174" s="68"/>
      <c r="AM174" s="70" t="s">
        <v>988</v>
      </c>
      <c r="AN174" s="70" t="s">
        <v>2448</v>
      </c>
      <c r="AO174" s="70" t="s">
        <v>989</v>
      </c>
      <c r="AP174" s="70" t="s">
        <v>2449</v>
      </c>
      <c r="AQ174" s="70" t="s">
        <v>990</v>
      </c>
      <c r="AR174" s="70" t="s">
        <v>2450</v>
      </c>
      <c r="AS174" s="68"/>
      <c r="AT174" s="68"/>
      <c r="AU174" s="68"/>
      <c r="AV174" s="68"/>
      <c r="AW174" s="68"/>
      <c r="AX174" s="68"/>
      <c r="AY174" s="72">
        <v>2537.48</v>
      </c>
      <c r="AZ174" s="72">
        <v>0</v>
      </c>
      <c r="BA174" s="70" t="s">
        <v>67</v>
      </c>
      <c r="BB174" s="70" t="s">
        <v>1044</v>
      </c>
      <c r="BC174" s="70" t="s">
        <v>3050</v>
      </c>
      <c r="BD174" s="70" t="s">
        <v>506</v>
      </c>
      <c r="BE174" s="70" t="s">
        <v>74</v>
      </c>
      <c r="BF174" s="70" t="s">
        <v>273</v>
      </c>
      <c r="BG174" s="68"/>
      <c r="BI174" s="68"/>
      <c r="BJ174" s="68"/>
      <c r="BK174" s="70">
        <v>1</v>
      </c>
      <c r="BL174" s="70">
        <v>1</v>
      </c>
      <c r="BM174" s="70" t="s">
        <v>2847</v>
      </c>
    </row>
    <row r="175" spans="1:65" x14ac:dyDescent="0.3">
      <c r="A175" s="1" t="str">
        <f t="shared" si="3"/>
        <v>001359</v>
      </c>
      <c r="B175" s="70" t="s">
        <v>61</v>
      </c>
      <c r="C175" s="70" t="s">
        <v>273</v>
      </c>
      <c r="D175" s="70" t="s">
        <v>1533</v>
      </c>
      <c r="E175" s="70" t="s">
        <v>599</v>
      </c>
      <c r="F175" s="70" t="s">
        <v>590</v>
      </c>
      <c r="G175" s="70" t="s">
        <v>2763</v>
      </c>
      <c r="H175" s="70" t="s">
        <v>2451</v>
      </c>
      <c r="I175" s="70" t="s">
        <v>67</v>
      </c>
      <c r="J175" s="70" t="s">
        <v>1024</v>
      </c>
      <c r="K175" s="71">
        <v>45807</v>
      </c>
      <c r="L175" s="71">
        <v>45993</v>
      </c>
      <c r="M175" s="72">
        <v>10000</v>
      </c>
      <c r="N175" s="72">
        <v>10534.08</v>
      </c>
      <c r="O175" s="73">
        <v>0</v>
      </c>
      <c r="P175" s="73">
        <v>6</v>
      </c>
      <c r="Q175" s="70" t="s">
        <v>68</v>
      </c>
      <c r="R175" s="72">
        <v>2595.2400000000002</v>
      </c>
      <c r="S175" s="72">
        <v>348</v>
      </c>
      <c r="T175" s="72">
        <v>0</v>
      </c>
      <c r="U175" s="72">
        <v>0</v>
      </c>
      <c r="V175" s="72">
        <v>0</v>
      </c>
      <c r="W175" s="72">
        <v>3511.36</v>
      </c>
      <c r="X175" s="72">
        <v>0</v>
      </c>
      <c r="Y175" s="72">
        <v>0</v>
      </c>
      <c r="Z175" s="72">
        <v>0</v>
      </c>
      <c r="AA175" s="74">
        <v>0</v>
      </c>
      <c r="AB175" s="72">
        <v>0</v>
      </c>
      <c r="AC175" s="72">
        <v>2595</v>
      </c>
      <c r="AD175" s="71">
        <v>45931</v>
      </c>
      <c r="AE175" s="70" t="s">
        <v>69</v>
      </c>
      <c r="AF175" s="70" t="s">
        <v>2443</v>
      </c>
      <c r="AG175" s="70" t="s">
        <v>1025</v>
      </c>
      <c r="AH175" s="68"/>
      <c r="AI175" s="70" t="s">
        <v>523</v>
      </c>
      <c r="AJ175" s="70" t="s">
        <v>1879</v>
      </c>
      <c r="AK175" s="68"/>
      <c r="AL175" s="68"/>
      <c r="AM175" s="70" t="s">
        <v>1026</v>
      </c>
      <c r="AN175" s="70" t="s">
        <v>2452</v>
      </c>
      <c r="AO175" s="70" t="s">
        <v>1027</v>
      </c>
      <c r="AP175" s="70" t="s">
        <v>2453</v>
      </c>
      <c r="AQ175" s="70" t="s">
        <v>1028</v>
      </c>
      <c r="AR175" s="70" t="s">
        <v>2454</v>
      </c>
      <c r="AS175" s="68"/>
      <c r="AT175" s="68"/>
      <c r="AU175" s="68"/>
      <c r="AV175" s="68"/>
      <c r="AW175" s="68"/>
      <c r="AX175" s="68"/>
      <c r="AY175" s="72">
        <v>5069.43</v>
      </c>
      <c r="AZ175" s="72">
        <v>5.05</v>
      </c>
      <c r="BA175" s="70" t="s">
        <v>67</v>
      </c>
      <c r="BB175" s="70" t="s">
        <v>1044</v>
      </c>
      <c r="BC175" s="70" t="s">
        <v>3051</v>
      </c>
      <c r="BD175" s="70" t="s">
        <v>1029</v>
      </c>
      <c r="BE175" s="70" t="s">
        <v>74</v>
      </c>
      <c r="BF175" s="70" t="s">
        <v>204</v>
      </c>
      <c r="BG175" s="68"/>
      <c r="BI175" s="68"/>
      <c r="BJ175" s="68"/>
      <c r="BK175" s="70">
        <v>0</v>
      </c>
      <c r="BL175" s="70">
        <v>0</v>
      </c>
      <c r="BM175" s="70" t="s">
        <v>2847</v>
      </c>
    </row>
    <row r="176" spans="1:65" x14ac:dyDescent="0.3">
      <c r="A176" s="1" t="str">
        <f t="shared" si="3"/>
        <v>001423</v>
      </c>
      <c r="B176" s="70" t="s">
        <v>61</v>
      </c>
      <c r="C176" s="70" t="s">
        <v>273</v>
      </c>
      <c r="D176" s="70" t="s">
        <v>408</v>
      </c>
      <c r="E176" s="70" t="s">
        <v>409</v>
      </c>
      <c r="F176" s="70" t="s">
        <v>590</v>
      </c>
      <c r="G176" s="70" t="s">
        <v>2763</v>
      </c>
      <c r="H176" s="70" t="s">
        <v>1523</v>
      </c>
      <c r="I176" s="70" t="s">
        <v>67</v>
      </c>
      <c r="J176" s="70" t="s">
        <v>1216</v>
      </c>
      <c r="K176" s="71">
        <v>45874</v>
      </c>
      <c r="L176" s="71">
        <v>45966</v>
      </c>
      <c r="M176" s="72">
        <v>210000</v>
      </c>
      <c r="N176" s="72">
        <v>210000</v>
      </c>
      <c r="O176" s="73">
        <v>39</v>
      </c>
      <c r="P176" s="73">
        <v>3</v>
      </c>
      <c r="Q176" s="70" t="s">
        <v>68</v>
      </c>
      <c r="R176" s="72">
        <v>18403</v>
      </c>
      <c r="S176" s="72">
        <v>17409</v>
      </c>
      <c r="T176" s="72">
        <v>0</v>
      </c>
      <c r="U176" s="72">
        <v>0</v>
      </c>
      <c r="V176" s="72">
        <v>3</v>
      </c>
      <c r="W176" s="72">
        <v>210000</v>
      </c>
      <c r="X176" s="72">
        <v>36806</v>
      </c>
      <c r="Y176" s="72">
        <v>0</v>
      </c>
      <c r="Z176" s="72">
        <v>25200</v>
      </c>
      <c r="AA176" s="72">
        <v>11606</v>
      </c>
      <c r="AB176" s="72">
        <v>0</v>
      </c>
      <c r="AC176" s="68"/>
      <c r="AD176" s="68"/>
      <c r="AE176" s="70" t="s">
        <v>69</v>
      </c>
      <c r="AF176" s="70" t="s">
        <v>1524</v>
      </c>
      <c r="AG176" s="70" t="s">
        <v>1217</v>
      </c>
      <c r="AH176" s="68"/>
      <c r="AI176" s="70" t="s">
        <v>1218</v>
      </c>
      <c r="AJ176" s="70" t="s">
        <v>1525</v>
      </c>
      <c r="AK176" s="70" t="s">
        <v>1219</v>
      </c>
      <c r="AL176" s="70" t="s">
        <v>1526</v>
      </c>
      <c r="AM176" s="70" t="s">
        <v>1220</v>
      </c>
      <c r="AN176" s="70" t="s">
        <v>1527</v>
      </c>
      <c r="AO176" s="68"/>
      <c r="AP176" s="68"/>
      <c r="AQ176" s="68"/>
      <c r="AR176" s="68"/>
      <c r="AS176" s="68"/>
      <c r="AT176" s="68"/>
      <c r="AU176" s="68"/>
      <c r="AV176" s="68"/>
      <c r="AW176" s="68"/>
      <c r="AX176" s="68"/>
      <c r="AY176" s="72">
        <v>246806</v>
      </c>
      <c r="AZ176" s="72">
        <v>0</v>
      </c>
      <c r="BA176" s="70" t="s">
        <v>2549</v>
      </c>
      <c r="BB176" s="70" t="s">
        <v>2550</v>
      </c>
      <c r="BC176" s="70" t="s">
        <v>3052</v>
      </c>
      <c r="BD176" s="70" t="s">
        <v>1221</v>
      </c>
      <c r="BE176" s="70" t="s">
        <v>74</v>
      </c>
      <c r="BF176" s="70" t="s">
        <v>391</v>
      </c>
      <c r="BG176" s="68"/>
      <c r="BI176" s="68"/>
      <c r="BJ176" s="68"/>
      <c r="BK176" s="70">
        <v>2</v>
      </c>
      <c r="BL176" s="70">
        <v>2</v>
      </c>
      <c r="BM176" s="70" t="s">
        <v>2847</v>
      </c>
    </row>
    <row r="177" spans="1:65" x14ac:dyDescent="0.3">
      <c r="A177" s="1" t="str">
        <f t="shared" si="3"/>
        <v>001426</v>
      </c>
      <c r="B177" s="70" t="s">
        <v>61</v>
      </c>
      <c r="C177" s="70" t="s">
        <v>273</v>
      </c>
      <c r="D177" s="70" t="s">
        <v>1533</v>
      </c>
      <c r="E177" s="70" t="s">
        <v>599</v>
      </c>
      <c r="F177" s="70" t="s">
        <v>590</v>
      </c>
      <c r="G177" s="70" t="s">
        <v>2763</v>
      </c>
      <c r="H177" s="70" t="s">
        <v>2455</v>
      </c>
      <c r="I177" s="70" t="s">
        <v>67</v>
      </c>
      <c r="J177" s="70" t="s">
        <v>1298</v>
      </c>
      <c r="K177" s="71">
        <v>45828</v>
      </c>
      <c r="L177" s="71">
        <v>46011</v>
      </c>
      <c r="M177" s="72">
        <v>10000</v>
      </c>
      <c r="N177" s="72">
        <v>10534.08</v>
      </c>
      <c r="O177" s="73">
        <v>22</v>
      </c>
      <c r="P177" s="73">
        <v>6</v>
      </c>
      <c r="Q177" s="70" t="s">
        <v>68</v>
      </c>
      <c r="R177" s="72">
        <v>2582.63</v>
      </c>
      <c r="S177" s="72">
        <v>348</v>
      </c>
      <c r="T177" s="72">
        <v>580</v>
      </c>
      <c r="U177" s="72">
        <v>0</v>
      </c>
      <c r="V177" s="72">
        <v>1</v>
      </c>
      <c r="W177" s="72">
        <v>7022.72</v>
      </c>
      <c r="X177" s="72">
        <v>3162.27</v>
      </c>
      <c r="Y177" s="72">
        <v>1755.68</v>
      </c>
      <c r="Z177" s="72">
        <v>768.95</v>
      </c>
      <c r="AA177" s="72">
        <v>57.64</v>
      </c>
      <c r="AB177" s="72">
        <v>580</v>
      </c>
      <c r="AC177" s="72">
        <v>3163</v>
      </c>
      <c r="AD177" s="71">
        <v>45890</v>
      </c>
      <c r="AE177" s="70" t="s">
        <v>69</v>
      </c>
      <c r="AF177" s="70" t="s">
        <v>2456</v>
      </c>
      <c r="AG177" s="70" t="s">
        <v>1299</v>
      </c>
      <c r="AH177" s="68"/>
      <c r="AI177" s="70" t="s">
        <v>526</v>
      </c>
      <c r="AJ177" s="70" t="s">
        <v>527</v>
      </c>
      <c r="AK177" s="70" t="s">
        <v>1321</v>
      </c>
      <c r="AL177" s="68"/>
      <c r="AM177" s="70" t="s">
        <v>1300</v>
      </c>
      <c r="AN177" s="70" t="s">
        <v>2457</v>
      </c>
      <c r="AO177" s="70" t="s">
        <v>1301</v>
      </c>
      <c r="AP177" s="70" t="s">
        <v>2458</v>
      </c>
      <c r="AQ177" s="70" t="s">
        <v>1302</v>
      </c>
      <c r="AR177" s="70" t="s">
        <v>2459</v>
      </c>
      <c r="AS177" s="68"/>
      <c r="AT177" s="68"/>
      <c r="AU177" s="68"/>
      <c r="AV177" s="68"/>
      <c r="AW177" s="68"/>
      <c r="AX177" s="68"/>
      <c r="AY177" s="72">
        <v>10736.17</v>
      </c>
      <c r="AZ177" s="72">
        <v>0</v>
      </c>
      <c r="BA177" s="70" t="s">
        <v>67</v>
      </c>
      <c r="BB177" s="70" t="s">
        <v>1044</v>
      </c>
      <c r="BC177" s="70" t="s">
        <v>3053</v>
      </c>
      <c r="BD177" s="70" t="s">
        <v>1303</v>
      </c>
      <c r="BE177" s="70" t="s">
        <v>74</v>
      </c>
      <c r="BF177" s="70" t="s">
        <v>273</v>
      </c>
      <c r="BG177" s="70" t="s">
        <v>1304</v>
      </c>
      <c r="BH177" s="70"/>
      <c r="BI177" s="68"/>
      <c r="BJ177" s="68"/>
      <c r="BK177" s="70">
        <v>2</v>
      </c>
      <c r="BL177" s="70">
        <v>2</v>
      </c>
      <c r="BM177" s="70" t="s">
        <v>2847</v>
      </c>
    </row>
    <row r="178" spans="1:65" x14ac:dyDescent="0.3">
      <c r="A178" s="1" t="str">
        <f t="shared" si="3"/>
        <v>001249</v>
      </c>
      <c r="B178" s="70" t="s">
        <v>61</v>
      </c>
      <c r="C178" s="70" t="s">
        <v>273</v>
      </c>
      <c r="D178" s="70" t="s">
        <v>408</v>
      </c>
      <c r="E178" s="70" t="s">
        <v>409</v>
      </c>
      <c r="F178" s="70" t="s">
        <v>590</v>
      </c>
      <c r="G178" s="70" t="s">
        <v>2763</v>
      </c>
      <c r="H178" s="70" t="s">
        <v>2376</v>
      </c>
      <c r="I178" s="70" t="s">
        <v>67</v>
      </c>
      <c r="J178" s="70" t="s">
        <v>386</v>
      </c>
      <c r="K178" s="71">
        <v>45761</v>
      </c>
      <c r="L178" s="71">
        <v>46126</v>
      </c>
      <c r="M178" s="72">
        <v>250000</v>
      </c>
      <c r="N178" s="72">
        <v>250000</v>
      </c>
      <c r="O178" s="73">
        <v>0</v>
      </c>
      <c r="P178" s="73">
        <v>12</v>
      </c>
      <c r="Q178" s="70" t="s">
        <v>68</v>
      </c>
      <c r="R178" s="72">
        <v>26896.28</v>
      </c>
      <c r="S178" s="72">
        <v>0</v>
      </c>
      <c r="T178" s="72">
        <v>0</v>
      </c>
      <c r="U178" s="72">
        <v>0</v>
      </c>
      <c r="V178" s="72">
        <v>1</v>
      </c>
      <c r="W178" s="72">
        <v>160443.29</v>
      </c>
      <c r="X178" s="72">
        <v>26315.54</v>
      </c>
      <c r="Y178" s="72">
        <v>20211.14</v>
      </c>
      <c r="Z178" s="72">
        <v>6104.4000000000005</v>
      </c>
      <c r="AA178" s="72">
        <v>0</v>
      </c>
      <c r="AB178" s="72">
        <v>0</v>
      </c>
      <c r="AC178" s="72">
        <v>27477</v>
      </c>
      <c r="AD178" s="71">
        <v>45917</v>
      </c>
      <c r="AE178" s="70" t="s">
        <v>69</v>
      </c>
      <c r="AF178" s="70" t="s">
        <v>2377</v>
      </c>
      <c r="AG178" s="70" t="s">
        <v>412</v>
      </c>
      <c r="AH178" s="68"/>
      <c r="AI178" s="70" t="s">
        <v>387</v>
      </c>
      <c r="AJ178" s="70" t="s">
        <v>2378</v>
      </c>
      <c r="AK178" s="70" t="s">
        <v>388</v>
      </c>
      <c r="AL178" s="68"/>
      <c r="AM178" s="68"/>
      <c r="AN178" s="68"/>
      <c r="AO178" s="68"/>
      <c r="AP178" s="68"/>
      <c r="AQ178" s="68"/>
      <c r="AR178" s="68"/>
      <c r="AS178" s="68"/>
      <c r="AT178" s="68"/>
      <c r="AU178" s="68"/>
      <c r="AV178" s="68"/>
      <c r="AW178" s="68"/>
      <c r="AX178" s="68"/>
      <c r="AY178" s="72">
        <v>166547.69</v>
      </c>
      <c r="AZ178" s="72">
        <v>0</v>
      </c>
      <c r="BA178" s="70" t="s">
        <v>280</v>
      </c>
      <c r="BB178" s="70" t="s">
        <v>281</v>
      </c>
      <c r="BC178" s="70" t="s">
        <v>389</v>
      </c>
      <c r="BD178" s="70" t="s">
        <v>390</v>
      </c>
      <c r="BE178" s="70" t="s">
        <v>74</v>
      </c>
      <c r="BF178" s="70" t="s">
        <v>391</v>
      </c>
      <c r="BG178" s="68"/>
      <c r="BI178" s="68"/>
      <c r="BJ178" s="68"/>
      <c r="BK178" s="70">
        <v>2</v>
      </c>
      <c r="BL178" s="70">
        <v>2</v>
      </c>
      <c r="BM178" s="70" t="s">
        <v>2847</v>
      </c>
    </row>
    <row r="179" spans="1:65" x14ac:dyDescent="0.3">
      <c r="A179" s="1" t="str">
        <f t="shared" si="3"/>
        <v>001371</v>
      </c>
      <c r="B179" s="70" t="s">
        <v>61</v>
      </c>
      <c r="C179" s="70" t="s">
        <v>273</v>
      </c>
      <c r="D179" s="70" t="s">
        <v>408</v>
      </c>
      <c r="E179" s="70" t="s">
        <v>409</v>
      </c>
      <c r="F179" s="70" t="s">
        <v>590</v>
      </c>
      <c r="G179" s="70" t="s">
        <v>2763</v>
      </c>
      <c r="H179" s="70" t="s">
        <v>2535</v>
      </c>
      <c r="I179" s="70" t="s">
        <v>67</v>
      </c>
      <c r="J179" s="70" t="s">
        <v>2536</v>
      </c>
      <c r="K179" s="71">
        <v>45817</v>
      </c>
      <c r="L179" s="71">
        <v>46182</v>
      </c>
      <c r="M179" s="72">
        <v>300000</v>
      </c>
      <c r="N179" s="72">
        <v>300000</v>
      </c>
      <c r="O179" s="73">
        <v>5</v>
      </c>
      <c r="P179" s="73">
        <v>12</v>
      </c>
      <c r="Q179" s="70" t="s">
        <v>68</v>
      </c>
      <c r="R179" s="72">
        <v>18000</v>
      </c>
      <c r="S179" s="72">
        <v>0</v>
      </c>
      <c r="T179" s="72">
        <v>0</v>
      </c>
      <c r="U179" s="72">
        <v>0</v>
      </c>
      <c r="V179" s="72">
        <v>1</v>
      </c>
      <c r="W179" s="72">
        <v>300000</v>
      </c>
      <c r="X179" s="72">
        <v>18000</v>
      </c>
      <c r="Y179" s="72">
        <v>0</v>
      </c>
      <c r="Z179" s="72">
        <v>18000</v>
      </c>
      <c r="AA179" s="72">
        <v>0</v>
      </c>
      <c r="AB179" s="72">
        <v>0</v>
      </c>
      <c r="AC179" s="72">
        <v>18000</v>
      </c>
      <c r="AD179" s="71">
        <v>45918</v>
      </c>
      <c r="AE179" s="70" t="s">
        <v>69</v>
      </c>
      <c r="AF179" s="70" t="s">
        <v>2537</v>
      </c>
      <c r="AG179" s="70" t="s">
        <v>2538</v>
      </c>
      <c r="AH179" s="68"/>
      <c r="AI179" s="70" t="s">
        <v>2539</v>
      </c>
      <c r="AJ179" s="70" t="s">
        <v>2540</v>
      </c>
      <c r="AK179" s="70" t="s">
        <v>2541</v>
      </c>
      <c r="AL179" s="70" t="s">
        <v>2542</v>
      </c>
      <c r="AM179" s="70" t="s">
        <v>2543</v>
      </c>
      <c r="AN179" s="70" t="s">
        <v>2544</v>
      </c>
      <c r="AO179" s="70" t="s">
        <v>2545</v>
      </c>
      <c r="AP179" s="70" t="s">
        <v>2546</v>
      </c>
      <c r="AQ179" s="70" t="s">
        <v>2547</v>
      </c>
      <c r="AR179" s="70" t="s">
        <v>2548</v>
      </c>
      <c r="AS179" s="68"/>
      <c r="AT179" s="68"/>
      <c r="AU179" s="68"/>
      <c r="AV179" s="68"/>
      <c r="AW179" s="68"/>
      <c r="AX179" s="68"/>
      <c r="AY179" s="72">
        <v>318000</v>
      </c>
      <c r="AZ179" s="72">
        <v>0</v>
      </c>
      <c r="BA179" s="70" t="s">
        <v>2549</v>
      </c>
      <c r="BB179" s="70" t="s">
        <v>2550</v>
      </c>
      <c r="BC179" s="70" t="s">
        <v>2551</v>
      </c>
      <c r="BD179" s="70" t="s">
        <v>2552</v>
      </c>
      <c r="BE179" s="70" t="s">
        <v>74</v>
      </c>
      <c r="BF179" s="70" t="s">
        <v>334</v>
      </c>
      <c r="BG179" s="68"/>
      <c r="BI179" s="68"/>
      <c r="BJ179" s="68"/>
      <c r="BK179" s="70">
        <v>4</v>
      </c>
      <c r="BL179" s="70">
        <v>4</v>
      </c>
      <c r="BM179" s="70" t="s">
        <v>2847</v>
      </c>
    </row>
    <row r="180" spans="1:65" x14ac:dyDescent="0.3">
      <c r="A180" s="1" t="str">
        <f t="shared" si="3"/>
        <v>001178</v>
      </c>
      <c r="B180" s="70" t="s">
        <v>61</v>
      </c>
      <c r="C180" s="70" t="s">
        <v>273</v>
      </c>
      <c r="D180" s="70" t="s">
        <v>286</v>
      </c>
      <c r="E180" s="70" t="s">
        <v>287</v>
      </c>
      <c r="F180" s="70" t="s">
        <v>590</v>
      </c>
      <c r="G180" s="70" t="s">
        <v>2763</v>
      </c>
      <c r="H180" s="70" t="s">
        <v>2366</v>
      </c>
      <c r="I180" s="70" t="s">
        <v>67</v>
      </c>
      <c r="J180" s="70" t="s">
        <v>326</v>
      </c>
      <c r="K180" s="71">
        <v>45688</v>
      </c>
      <c r="L180" s="71">
        <v>46054</v>
      </c>
      <c r="M180" s="72">
        <v>25000</v>
      </c>
      <c r="N180" s="72">
        <v>26335.190000000002</v>
      </c>
      <c r="O180" s="73">
        <v>0</v>
      </c>
      <c r="P180" s="73">
        <v>12</v>
      </c>
      <c r="Q180" s="70" t="s">
        <v>68</v>
      </c>
      <c r="R180" s="72">
        <v>3764.55</v>
      </c>
      <c r="S180" s="72">
        <v>696</v>
      </c>
      <c r="T180" s="72">
        <v>0</v>
      </c>
      <c r="U180" s="72">
        <v>0</v>
      </c>
      <c r="V180" s="72">
        <v>0</v>
      </c>
      <c r="W180" s="72">
        <v>11981.880000000001</v>
      </c>
      <c r="X180" s="72">
        <v>0</v>
      </c>
      <c r="Y180" s="72">
        <v>0</v>
      </c>
      <c r="Z180" s="72">
        <v>0</v>
      </c>
      <c r="AA180" s="74">
        <v>0</v>
      </c>
      <c r="AB180" s="72">
        <v>0</v>
      </c>
      <c r="AC180" s="72">
        <v>3765</v>
      </c>
      <c r="AD180" s="71">
        <v>45930</v>
      </c>
      <c r="AE180" s="70" t="s">
        <v>69</v>
      </c>
      <c r="AF180" s="70" t="s">
        <v>2367</v>
      </c>
      <c r="AG180" s="70" t="s">
        <v>327</v>
      </c>
      <c r="AH180" s="68"/>
      <c r="AI180" s="70" t="s">
        <v>328</v>
      </c>
      <c r="AJ180" s="70" t="s">
        <v>329</v>
      </c>
      <c r="AK180" s="68"/>
      <c r="AL180" s="68"/>
      <c r="AM180" s="70" t="s">
        <v>945</v>
      </c>
      <c r="AN180" s="70" t="s">
        <v>2368</v>
      </c>
      <c r="AO180" s="70" t="s">
        <v>943</v>
      </c>
      <c r="AP180" s="70" t="s">
        <v>2369</v>
      </c>
      <c r="AQ180" s="70" t="s">
        <v>944</v>
      </c>
      <c r="AR180" s="70" t="s">
        <v>2370</v>
      </c>
      <c r="AS180" s="70" t="s">
        <v>122</v>
      </c>
      <c r="AT180" s="68" t="s">
        <v>330</v>
      </c>
      <c r="AU180" s="70" t="s">
        <v>331</v>
      </c>
      <c r="AV180" s="68"/>
      <c r="AW180" s="68"/>
      <c r="AX180" s="68"/>
      <c r="AY180" s="72">
        <v>11978.28</v>
      </c>
      <c r="AZ180" s="72">
        <v>3.6</v>
      </c>
      <c r="BA180" s="70" t="s">
        <v>135</v>
      </c>
      <c r="BB180" s="70" t="s">
        <v>136</v>
      </c>
      <c r="BC180" s="70" t="s">
        <v>332</v>
      </c>
      <c r="BD180" s="70" t="s">
        <v>333</v>
      </c>
      <c r="BE180" s="70" t="s">
        <v>74</v>
      </c>
      <c r="BF180" s="70" t="s">
        <v>334</v>
      </c>
      <c r="BG180" s="68"/>
      <c r="BI180" s="68"/>
      <c r="BJ180" s="68"/>
      <c r="BK180" s="70">
        <v>0</v>
      </c>
      <c r="BL180" s="70">
        <v>0</v>
      </c>
      <c r="BM180" s="70" t="s">
        <v>2847</v>
      </c>
    </row>
    <row r="181" spans="1:65" x14ac:dyDescent="0.3">
      <c r="A181" s="1" t="str">
        <f t="shared" si="3"/>
        <v>001287</v>
      </c>
      <c r="B181" s="70" t="s">
        <v>61</v>
      </c>
      <c r="C181" s="70" t="s">
        <v>273</v>
      </c>
      <c r="D181" s="70" t="s">
        <v>408</v>
      </c>
      <c r="E181" s="70" t="s">
        <v>409</v>
      </c>
      <c r="F181" s="70" t="s">
        <v>590</v>
      </c>
      <c r="G181" s="70" t="s">
        <v>2763</v>
      </c>
      <c r="H181" s="70" t="s">
        <v>2379</v>
      </c>
      <c r="I181" s="70" t="s">
        <v>67</v>
      </c>
      <c r="J181" s="70" t="s">
        <v>515</v>
      </c>
      <c r="K181" s="71">
        <v>45777</v>
      </c>
      <c r="L181" s="71">
        <v>46142</v>
      </c>
      <c r="M181" s="72">
        <v>20000</v>
      </c>
      <c r="N181" s="72">
        <v>21068.16</v>
      </c>
      <c r="O181" s="73">
        <v>0</v>
      </c>
      <c r="P181" s="73">
        <v>12</v>
      </c>
      <c r="Q181" s="70" t="s">
        <v>68</v>
      </c>
      <c r="R181" s="72">
        <v>3347.38</v>
      </c>
      <c r="S181" s="72">
        <v>696</v>
      </c>
      <c r="T181" s="72">
        <v>0</v>
      </c>
      <c r="U181" s="72">
        <v>0</v>
      </c>
      <c r="V181" s="72">
        <v>0</v>
      </c>
      <c r="W181" s="72">
        <v>12289.76</v>
      </c>
      <c r="X181" s="72">
        <v>0</v>
      </c>
      <c r="Y181" s="72">
        <v>0</v>
      </c>
      <c r="Z181" s="72">
        <v>0</v>
      </c>
      <c r="AA181" s="74">
        <v>0</v>
      </c>
      <c r="AB181" s="72">
        <v>0</v>
      </c>
      <c r="AC181" s="72">
        <v>3350</v>
      </c>
      <c r="AD181" s="71">
        <v>45930</v>
      </c>
      <c r="AE181" s="70" t="s">
        <v>69</v>
      </c>
      <c r="AF181" s="70" t="s">
        <v>2380</v>
      </c>
      <c r="AG181" s="70" t="s">
        <v>504</v>
      </c>
      <c r="AH181" s="68"/>
      <c r="AI181" s="70" t="s">
        <v>283</v>
      </c>
      <c r="AJ181" s="70" t="s">
        <v>284</v>
      </c>
      <c r="AK181" s="70" t="s">
        <v>505</v>
      </c>
      <c r="AL181" s="68"/>
      <c r="AM181" s="70" t="s">
        <v>963</v>
      </c>
      <c r="AN181" s="70" t="s">
        <v>2381</v>
      </c>
      <c r="AO181" s="70" t="s">
        <v>961</v>
      </c>
      <c r="AP181" s="70" t="s">
        <v>2382</v>
      </c>
      <c r="AQ181" s="70" t="s">
        <v>962</v>
      </c>
      <c r="AR181" s="70" t="s">
        <v>2383</v>
      </c>
      <c r="AS181" s="68"/>
      <c r="AT181" s="68"/>
      <c r="AU181" s="68"/>
      <c r="AV181" s="68"/>
      <c r="AW181" s="68"/>
      <c r="AX181" s="68"/>
      <c r="AY181" s="72">
        <v>23018.600000000002</v>
      </c>
      <c r="AZ181" s="72">
        <v>7.0823733333333294</v>
      </c>
      <c r="BA181" s="70" t="s">
        <v>67</v>
      </c>
      <c r="BB181" s="70" t="s">
        <v>1044</v>
      </c>
      <c r="BC181" s="70" t="s">
        <v>2918</v>
      </c>
      <c r="BD181" s="70" t="s">
        <v>506</v>
      </c>
      <c r="BE181" s="70" t="s">
        <v>74</v>
      </c>
      <c r="BF181" s="70" t="s">
        <v>273</v>
      </c>
      <c r="BG181" s="68"/>
      <c r="BI181" s="68"/>
      <c r="BJ181" s="68"/>
      <c r="BK181" s="70">
        <v>1</v>
      </c>
      <c r="BL181" s="70">
        <v>1</v>
      </c>
      <c r="BM181" s="70" t="s">
        <v>2847</v>
      </c>
    </row>
    <row r="182" spans="1:65" x14ac:dyDescent="0.3">
      <c r="A182" s="1" t="str">
        <f t="shared" si="3"/>
        <v>001313</v>
      </c>
      <c r="B182" s="70" t="s">
        <v>61</v>
      </c>
      <c r="C182" s="70" t="s">
        <v>273</v>
      </c>
      <c r="D182" s="70" t="s">
        <v>1533</v>
      </c>
      <c r="E182" s="70" t="s">
        <v>599</v>
      </c>
      <c r="F182" s="70" t="s">
        <v>590</v>
      </c>
      <c r="G182" s="70" t="s">
        <v>2763</v>
      </c>
      <c r="H182" s="70" t="s">
        <v>2460</v>
      </c>
      <c r="I182" s="70" t="s">
        <v>67</v>
      </c>
      <c r="J182" s="70" t="s">
        <v>583</v>
      </c>
      <c r="K182" s="71">
        <v>45792</v>
      </c>
      <c r="L182" s="71">
        <v>46037</v>
      </c>
      <c r="M182" s="72">
        <v>10000</v>
      </c>
      <c r="N182" s="72">
        <v>10534.08</v>
      </c>
      <c r="O182" s="73">
        <v>0</v>
      </c>
      <c r="P182" s="73">
        <v>8</v>
      </c>
      <c r="Q182" s="70" t="s">
        <v>68</v>
      </c>
      <c r="R182" s="72">
        <v>2146.86</v>
      </c>
      <c r="S182" s="72">
        <v>464</v>
      </c>
      <c r="T182" s="72">
        <v>0</v>
      </c>
      <c r="U182" s="72">
        <v>0</v>
      </c>
      <c r="V182" s="72">
        <v>0</v>
      </c>
      <c r="W182" s="72">
        <v>5267.26</v>
      </c>
      <c r="X182" s="72">
        <v>0.22</v>
      </c>
      <c r="Y182" s="72">
        <v>0.22</v>
      </c>
      <c r="Z182" s="72">
        <v>0</v>
      </c>
      <c r="AA182" s="72">
        <v>0</v>
      </c>
      <c r="AB182" s="72">
        <v>0</v>
      </c>
      <c r="AC182" s="72">
        <v>2146.66</v>
      </c>
      <c r="AD182" s="71">
        <v>45915</v>
      </c>
      <c r="AE182" s="70" t="s">
        <v>69</v>
      </c>
      <c r="AF182" s="70" t="s">
        <v>2461</v>
      </c>
      <c r="AG182" s="70" t="s">
        <v>584</v>
      </c>
      <c r="AH182" s="68"/>
      <c r="AI182" s="70" t="s">
        <v>192</v>
      </c>
      <c r="AJ182" s="70" t="s">
        <v>193</v>
      </c>
      <c r="AK182" s="68"/>
      <c r="AL182" s="68"/>
      <c r="AM182" s="70" t="s">
        <v>993</v>
      </c>
      <c r="AN182" s="70" t="s">
        <v>2462</v>
      </c>
      <c r="AO182" s="70" t="s">
        <v>991</v>
      </c>
      <c r="AP182" s="70" t="s">
        <v>2463</v>
      </c>
      <c r="AQ182" s="70" t="s">
        <v>992</v>
      </c>
      <c r="AR182" s="70" t="s">
        <v>2464</v>
      </c>
      <c r="AS182" s="68"/>
      <c r="AT182" s="68"/>
      <c r="AU182" s="68"/>
      <c r="AV182" s="68"/>
      <c r="AW182" s="68"/>
      <c r="AX182" s="68"/>
      <c r="AY182" s="72">
        <v>8355.67</v>
      </c>
      <c r="AZ182" s="72">
        <v>0</v>
      </c>
      <c r="BA182" s="70" t="s">
        <v>67</v>
      </c>
      <c r="BB182" s="70" t="s">
        <v>1044</v>
      </c>
      <c r="BC182" s="70" t="s">
        <v>3054</v>
      </c>
      <c r="BD182" s="70" t="s">
        <v>600</v>
      </c>
      <c r="BE182" s="70" t="s">
        <v>74</v>
      </c>
      <c r="BF182" s="70" t="s">
        <v>545</v>
      </c>
      <c r="BG182" s="68"/>
      <c r="BI182" s="68"/>
      <c r="BJ182" s="68"/>
      <c r="BK182" s="70">
        <v>0</v>
      </c>
      <c r="BL182" s="70">
        <v>0</v>
      </c>
      <c r="BM182" s="70" t="s">
        <v>2847</v>
      </c>
    </row>
    <row r="183" spans="1:65" x14ac:dyDescent="0.3">
      <c r="A183" s="1" t="str">
        <f t="shared" si="3"/>
        <v>001124</v>
      </c>
      <c r="B183" s="70" t="s">
        <v>61</v>
      </c>
      <c r="C183" s="70" t="s">
        <v>273</v>
      </c>
      <c r="D183" s="70" t="s">
        <v>408</v>
      </c>
      <c r="E183" s="70" t="s">
        <v>409</v>
      </c>
      <c r="F183" s="70" t="s">
        <v>590</v>
      </c>
      <c r="G183" s="70" t="s">
        <v>2763</v>
      </c>
      <c r="H183" s="70" t="s">
        <v>2465</v>
      </c>
      <c r="I183" s="70" t="s">
        <v>76</v>
      </c>
      <c r="J183" s="70" t="s">
        <v>596</v>
      </c>
      <c r="K183" s="71">
        <v>45796</v>
      </c>
      <c r="L183" s="71">
        <v>45980</v>
      </c>
      <c r="M183" s="72">
        <v>8000</v>
      </c>
      <c r="N183" s="72">
        <v>8000</v>
      </c>
      <c r="O183" s="73">
        <v>0</v>
      </c>
      <c r="P183" s="73">
        <v>6</v>
      </c>
      <c r="Q183" s="70" t="s">
        <v>68</v>
      </c>
      <c r="R183" s="72">
        <v>1534.39</v>
      </c>
      <c r="S183" s="72">
        <v>0</v>
      </c>
      <c r="T183" s="72">
        <v>0</v>
      </c>
      <c r="U183" s="72">
        <v>0</v>
      </c>
      <c r="V183" s="72">
        <v>0</v>
      </c>
      <c r="W183" s="72">
        <v>2887.08</v>
      </c>
      <c r="X183" s="72">
        <v>0</v>
      </c>
      <c r="Y183" s="72">
        <v>0</v>
      </c>
      <c r="Z183" s="74">
        <v>0</v>
      </c>
      <c r="AA183" s="72">
        <v>0</v>
      </c>
      <c r="AB183" s="72">
        <v>0</v>
      </c>
      <c r="AC183" s="72">
        <v>1534.39</v>
      </c>
      <c r="AD183" s="71">
        <v>45919</v>
      </c>
      <c r="AE183" s="70" t="s">
        <v>69</v>
      </c>
      <c r="AF183" s="70" t="s">
        <v>2466</v>
      </c>
      <c r="AG183" s="70" t="s">
        <v>597</v>
      </c>
      <c r="AH183" s="68"/>
      <c r="AI183" s="70" t="s">
        <v>598</v>
      </c>
      <c r="AJ183" s="70" t="s">
        <v>2467</v>
      </c>
      <c r="AK183" s="68"/>
      <c r="AL183" s="68"/>
      <c r="AM183" s="70" t="s">
        <v>948</v>
      </c>
      <c r="AN183" s="70" t="s">
        <v>2468</v>
      </c>
      <c r="AO183" s="70" t="s">
        <v>946</v>
      </c>
      <c r="AP183" s="70" t="s">
        <v>2469</v>
      </c>
      <c r="AQ183" s="70" t="s">
        <v>947</v>
      </c>
      <c r="AR183" s="70" t="s">
        <v>2470</v>
      </c>
      <c r="AS183" s="68"/>
      <c r="AT183" s="68"/>
      <c r="AU183" s="68"/>
      <c r="AV183" s="68"/>
      <c r="AW183" s="68"/>
      <c r="AX183" s="68"/>
      <c r="AY183" s="72">
        <v>2885.86</v>
      </c>
      <c r="AZ183" s="72">
        <v>1.22</v>
      </c>
      <c r="BA183" s="70" t="s">
        <v>280</v>
      </c>
      <c r="BB183" s="70" t="s">
        <v>281</v>
      </c>
      <c r="BC183" s="70" t="s">
        <v>2951</v>
      </c>
      <c r="BD183" s="70" t="s">
        <v>295</v>
      </c>
      <c r="BE183" s="70" t="s">
        <v>74</v>
      </c>
      <c r="BF183" s="70" t="s">
        <v>296</v>
      </c>
      <c r="BG183" s="68"/>
      <c r="BI183" s="68"/>
      <c r="BJ183" s="68"/>
      <c r="BK183" s="70">
        <v>0</v>
      </c>
      <c r="BL183" s="70">
        <v>0</v>
      </c>
      <c r="BM183" s="70" t="s">
        <v>2846</v>
      </c>
    </row>
    <row r="184" spans="1:65" x14ac:dyDescent="0.3">
      <c r="A184" s="1" t="str">
        <f t="shared" si="3"/>
        <v>001252</v>
      </c>
      <c r="B184" s="70" t="s">
        <v>61</v>
      </c>
      <c r="C184" s="70" t="s">
        <v>273</v>
      </c>
      <c r="D184" s="70" t="s">
        <v>408</v>
      </c>
      <c r="E184" s="70" t="s">
        <v>409</v>
      </c>
      <c r="F184" s="70" t="s">
        <v>590</v>
      </c>
      <c r="G184" s="70" t="s">
        <v>2763</v>
      </c>
      <c r="H184" s="70" t="s">
        <v>2384</v>
      </c>
      <c r="I184" s="70" t="s">
        <v>67</v>
      </c>
      <c r="J184" s="70" t="s">
        <v>398</v>
      </c>
      <c r="K184" s="71">
        <v>45762</v>
      </c>
      <c r="L184" s="71">
        <v>46127</v>
      </c>
      <c r="M184" s="72">
        <v>7000</v>
      </c>
      <c r="N184" s="72">
        <v>7373.85</v>
      </c>
      <c r="O184" s="73">
        <v>0</v>
      </c>
      <c r="P184" s="73">
        <v>12</v>
      </c>
      <c r="Q184" s="70" t="s">
        <v>68</v>
      </c>
      <c r="R184" s="72">
        <v>1209.28</v>
      </c>
      <c r="S184" s="72">
        <v>696</v>
      </c>
      <c r="T184" s="72">
        <v>0</v>
      </c>
      <c r="U184" s="72">
        <v>0</v>
      </c>
      <c r="V184" s="72">
        <v>0</v>
      </c>
      <c r="W184" s="72">
        <v>4301.41</v>
      </c>
      <c r="X184" s="72">
        <v>0</v>
      </c>
      <c r="Y184" s="72">
        <v>0</v>
      </c>
      <c r="Z184" s="72">
        <v>0</v>
      </c>
      <c r="AA184" s="74">
        <v>0</v>
      </c>
      <c r="AB184" s="72">
        <v>0</v>
      </c>
      <c r="AC184" s="72">
        <v>1800</v>
      </c>
      <c r="AD184" s="71">
        <v>45924</v>
      </c>
      <c r="AE184" s="70" t="s">
        <v>69</v>
      </c>
      <c r="AF184" s="70" t="s">
        <v>2385</v>
      </c>
      <c r="AG184" s="70" t="s">
        <v>399</v>
      </c>
      <c r="AH184" s="68"/>
      <c r="AI184" s="70" t="s">
        <v>400</v>
      </c>
      <c r="AJ184" s="70" t="s">
        <v>1447</v>
      </c>
      <c r="AK184" s="70" t="s">
        <v>401</v>
      </c>
      <c r="AL184" s="68"/>
      <c r="AM184" s="70" t="s">
        <v>966</v>
      </c>
      <c r="AN184" s="70" t="s">
        <v>2386</v>
      </c>
      <c r="AO184" s="70" t="s">
        <v>964</v>
      </c>
      <c r="AP184" s="70" t="s">
        <v>2387</v>
      </c>
      <c r="AQ184" s="70" t="s">
        <v>965</v>
      </c>
      <c r="AR184" s="70" t="s">
        <v>2388</v>
      </c>
      <c r="AS184" s="68"/>
      <c r="AT184" s="68"/>
      <c r="AU184" s="68"/>
      <c r="AV184" s="68"/>
      <c r="AW184" s="68"/>
      <c r="AX184" s="68"/>
      <c r="AY184" s="72">
        <v>8035.4000000000005</v>
      </c>
      <c r="AZ184" s="72">
        <v>23.583514583333326</v>
      </c>
      <c r="BA184" s="70" t="s">
        <v>67</v>
      </c>
      <c r="BB184" s="70" t="s">
        <v>1044</v>
      </c>
      <c r="BC184" s="70" t="s">
        <v>402</v>
      </c>
      <c r="BD184" s="70" t="s">
        <v>403</v>
      </c>
      <c r="BE184" s="70" t="s">
        <v>74</v>
      </c>
      <c r="BF184" s="70" t="s">
        <v>204</v>
      </c>
      <c r="BG184" s="68"/>
      <c r="BI184" s="68"/>
      <c r="BJ184" s="68"/>
      <c r="BK184" s="70">
        <v>2</v>
      </c>
      <c r="BL184" s="70">
        <v>1</v>
      </c>
      <c r="BM184" s="70" t="s">
        <v>2847</v>
      </c>
    </row>
    <row r="185" spans="1:65" x14ac:dyDescent="0.3">
      <c r="A185" s="1" t="str">
        <f t="shared" si="3"/>
        <v>001268</v>
      </c>
      <c r="B185" s="70" t="s">
        <v>61</v>
      </c>
      <c r="C185" s="70" t="s">
        <v>273</v>
      </c>
      <c r="D185" s="70" t="s">
        <v>408</v>
      </c>
      <c r="E185" s="70" t="s">
        <v>409</v>
      </c>
      <c r="F185" s="70" t="s">
        <v>590</v>
      </c>
      <c r="G185" s="70" t="s">
        <v>2763</v>
      </c>
      <c r="H185" s="70" t="s">
        <v>2389</v>
      </c>
      <c r="I185" s="70" t="s">
        <v>67</v>
      </c>
      <c r="J185" s="70" t="s">
        <v>433</v>
      </c>
      <c r="K185" s="71">
        <v>45770</v>
      </c>
      <c r="L185" s="71">
        <v>46135</v>
      </c>
      <c r="M185" s="72">
        <v>25000</v>
      </c>
      <c r="N185" s="72">
        <v>26335.190000000002</v>
      </c>
      <c r="O185" s="73">
        <v>0</v>
      </c>
      <c r="P185" s="73">
        <v>12</v>
      </c>
      <c r="Q185" s="70" t="s">
        <v>68</v>
      </c>
      <c r="R185" s="72">
        <v>3686.44</v>
      </c>
      <c r="S185" s="72">
        <v>696</v>
      </c>
      <c r="T185" s="72">
        <v>0</v>
      </c>
      <c r="U185" s="72">
        <v>0</v>
      </c>
      <c r="V185" s="72">
        <v>0</v>
      </c>
      <c r="W185" s="72">
        <v>15362.4</v>
      </c>
      <c r="X185" s="72">
        <v>0.20580000000000001</v>
      </c>
      <c r="Y185" s="72">
        <v>0.21</v>
      </c>
      <c r="Z185" s="72">
        <v>0</v>
      </c>
      <c r="AA185" s="72">
        <v>0</v>
      </c>
      <c r="AB185" s="72">
        <v>0</v>
      </c>
      <c r="AC185" s="72">
        <v>3686</v>
      </c>
      <c r="AD185" s="71">
        <v>45923</v>
      </c>
      <c r="AE185" s="70" t="s">
        <v>69</v>
      </c>
      <c r="AF185" s="70" t="s">
        <v>2390</v>
      </c>
      <c r="AG185" s="70" t="s">
        <v>434</v>
      </c>
      <c r="AH185" s="68"/>
      <c r="AI185" s="70" t="s">
        <v>86</v>
      </c>
      <c r="AJ185" s="70" t="s">
        <v>87</v>
      </c>
      <c r="AK185" s="70" t="s">
        <v>435</v>
      </c>
      <c r="AL185" s="68"/>
      <c r="AM185" s="70" t="s">
        <v>969</v>
      </c>
      <c r="AN185" s="70" t="s">
        <v>2391</v>
      </c>
      <c r="AO185" s="70" t="s">
        <v>967</v>
      </c>
      <c r="AP185" s="70" t="s">
        <v>2392</v>
      </c>
      <c r="AQ185" s="70" t="s">
        <v>968</v>
      </c>
      <c r="AR185" s="70" t="s">
        <v>2393</v>
      </c>
      <c r="AS185" s="70" t="s">
        <v>122</v>
      </c>
      <c r="AT185" s="68" t="s">
        <v>436</v>
      </c>
      <c r="AU185" s="70" t="s">
        <v>134</v>
      </c>
      <c r="AV185" s="68"/>
      <c r="AW185" s="68"/>
      <c r="AX185" s="68"/>
      <c r="AY185" s="72">
        <v>25399.29</v>
      </c>
      <c r="AZ185" s="72">
        <v>0</v>
      </c>
      <c r="BA185" s="70" t="s">
        <v>67</v>
      </c>
      <c r="BB185" s="70" t="s">
        <v>1044</v>
      </c>
      <c r="BC185" s="70" t="s">
        <v>437</v>
      </c>
      <c r="BD185" s="70" t="s">
        <v>438</v>
      </c>
      <c r="BE185" s="70" t="s">
        <v>74</v>
      </c>
      <c r="BF185" s="70" t="s">
        <v>438</v>
      </c>
      <c r="BG185" s="68"/>
      <c r="BI185" s="68"/>
      <c r="BJ185" s="68"/>
      <c r="BK185" s="70">
        <v>0</v>
      </c>
      <c r="BL185" s="70">
        <v>0</v>
      </c>
      <c r="BM185" s="70" t="s">
        <v>2847</v>
      </c>
    </row>
    <row r="186" spans="1:65" x14ac:dyDescent="0.3">
      <c r="A186" s="1" t="str">
        <f t="shared" si="3"/>
        <v>001265</v>
      </c>
      <c r="B186" s="70" t="s">
        <v>61</v>
      </c>
      <c r="C186" s="70" t="s">
        <v>273</v>
      </c>
      <c r="D186" s="70" t="s">
        <v>408</v>
      </c>
      <c r="E186" s="70" t="s">
        <v>409</v>
      </c>
      <c r="F186" s="70" t="s">
        <v>590</v>
      </c>
      <c r="G186" s="70" t="s">
        <v>2763</v>
      </c>
      <c r="H186" s="70" t="s">
        <v>2394</v>
      </c>
      <c r="I186" s="70" t="s">
        <v>67</v>
      </c>
      <c r="J186" s="70" t="s">
        <v>446</v>
      </c>
      <c r="K186" s="71">
        <v>45770</v>
      </c>
      <c r="L186" s="71">
        <v>46135</v>
      </c>
      <c r="M186" s="72">
        <v>7000</v>
      </c>
      <c r="N186" s="72">
        <v>7373.85</v>
      </c>
      <c r="O186" s="73">
        <v>0</v>
      </c>
      <c r="P186" s="73">
        <v>12</v>
      </c>
      <c r="Q186" s="70" t="s">
        <v>68</v>
      </c>
      <c r="R186" s="72">
        <v>1209.28</v>
      </c>
      <c r="S186" s="72">
        <v>696</v>
      </c>
      <c r="T186" s="72">
        <v>0</v>
      </c>
      <c r="U186" s="72">
        <v>0</v>
      </c>
      <c r="V186" s="72">
        <v>0</v>
      </c>
      <c r="W186" s="72">
        <v>4301.41</v>
      </c>
      <c r="X186" s="72">
        <v>0</v>
      </c>
      <c r="Y186" s="72">
        <v>0</v>
      </c>
      <c r="Z186" s="72">
        <v>0</v>
      </c>
      <c r="AA186" s="74">
        <v>0</v>
      </c>
      <c r="AB186" s="72">
        <v>0</v>
      </c>
      <c r="AC186" s="72">
        <v>1210</v>
      </c>
      <c r="AD186" s="71">
        <v>45922</v>
      </c>
      <c r="AE186" s="70" t="s">
        <v>69</v>
      </c>
      <c r="AF186" s="70" t="s">
        <v>2395</v>
      </c>
      <c r="AG186" s="70" t="s">
        <v>447</v>
      </c>
      <c r="AH186" s="68"/>
      <c r="AI186" s="70" t="s">
        <v>448</v>
      </c>
      <c r="AJ186" s="70" t="s">
        <v>2396</v>
      </c>
      <c r="AK186" s="70" t="s">
        <v>449</v>
      </c>
      <c r="AL186" s="68"/>
      <c r="AM186" s="70" t="s">
        <v>976</v>
      </c>
      <c r="AN186" s="70" t="s">
        <v>2397</v>
      </c>
      <c r="AO186" s="70" t="s">
        <v>974</v>
      </c>
      <c r="AP186" s="70" t="s">
        <v>2398</v>
      </c>
      <c r="AQ186" s="70" t="s">
        <v>975</v>
      </c>
      <c r="AR186" s="70" t="s">
        <v>2399</v>
      </c>
      <c r="AS186" s="68"/>
      <c r="AT186" s="68"/>
      <c r="AU186" s="68"/>
      <c r="AV186" s="68"/>
      <c r="AW186" s="68"/>
      <c r="AX186" s="68"/>
      <c r="AY186" s="72">
        <v>8056.12</v>
      </c>
      <c r="AZ186" s="72">
        <v>2.86351458333333</v>
      </c>
      <c r="BA186" s="70" t="s">
        <v>67</v>
      </c>
      <c r="BB186" s="70" t="s">
        <v>1044</v>
      </c>
      <c r="BC186" s="70" t="s">
        <v>3055</v>
      </c>
      <c r="BD186" s="70" t="s">
        <v>450</v>
      </c>
      <c r="BE186" s="70" t="s">
        <v>74</v>
      </c>
      <c r="BF186" s="70" t="s">
        <v>285</v>
      </c>
      <c r="BG186" s="68"/>
      <c r="BI186" s="68"/>
      <c r="BJ186" s="68"/>
      <c r="BK186" s="70">
        <v>0</v>
      </c>
      <c r="BL186" s="70">
        <v>0</v>
      </c>
      <c r="BM186" s="70" t="s">
        <v>2847</v>
      </c>
    </row>
    <row r="187" spans="1:65" x14ac:dyDescent="0.3">
      <c r="A187" s="1" t="str">
        <f t="shared" si="3"/>
        <v>001196</v>
      </c>
      <c r="B187" s="70" t="s">
        <v>61</v>
      </c>
      <c r="C187" s="70" t="s">
        <v>273</v>
      </c>
      <c r="D187" s="70" t="s">
        <v>408</v>
      </c>
      <c r="E187" s="70" t="s">
        <v>409</v>
      </c>
      <c r="F187" s="70" t="s">
        <v>590</v>
      </c>
      <c r="G187" s="70" t="s">
        <v>2763</v>
      </c>
      <c r="H187" s="70" t="s">
        <v>2646</v>
      </c>
      <c r="I187" s="70" t="s">
        <v>76</v>
      </c>
      <c r="J187" s="70" t="s">
        <v>2647</v>
      </c>
      <c r="K187" s="71">
        <v>45876</v>
      </c>
      <c r="L187" s="71">
        <v>46241</v>
      </c>
      <c r="M187" s="72">
        <v>350000</v>
      </c>
      <c r="N187" s="72">
        <v>368692.72000000003</v>
      </c>
      <c r="O187" s="73">
        <v>7</v>
      </c>
      <c r="P187" s="73">
        <v>12</v>
      </c>
      <c r="Q187" s="70" t="s">
        <v>68</v>
      </c>
      <c r="R187" s="72">
        <v>47915.51</v>
      </c>
      <c r="S187" s="72">
        <v>696</v>
      </c>
      <c r="T187" s="72">
        <v>580</v>
      </c>
      <c r="U187" s="72">
        <v>0</v>
      </c>
      <c r="V187" s="72">
        <v>0</v>
      </c>
      <c r="W187" s="72">
        <v>307823.93</v>
      </c>
      <c r="X187" s="72">
        <v>1159.9972949473549</v>
      </c>
      <c r="Y187" s="72">
        <v>580</v>
      </c>
      <c r="Z187" s="72">
        <v>0</v>
      </c>
      <c r="AA187" s="72">
        <v>0</v>
      </c>
      <c r="AB187" s="72">
        <v>580</v>
      </c>
      <c r="AC187" s="72">
        <v>47915.51</v>
      </c>
      <c r="AD187" s="71">
        <v>45937</v>
      </c>
      <c r="AE187" s="70" t="s">
        <v>69</v>
      </c>
      <c r="AF187" s="70" t="s">
        <v>2648</v>
      </c>
      <c r="AG187" s="70" t="s">
        <v>2649</v>
      </c>
      <c r="AH187" s="68"/>
      <c r="AI187" s="70" t="s">
        <v>86</v>
      </c>
      <c r="AJ187" s="70" t="s">
        <v>87</v>
      </c>
      <c r="AK187" s="70" t="s">
        <v>2650</v>
      </c>
      <c r="AL187" s="68"/>
      <c r="AM187" s="70" t="s">
        <v>2651</v>
      </c>
      <c r="AN187" s="70" t="s">
        <v>2652</v>
      </c>
      <c r="AO187" s="70" t="s">
        <v>2653</v>
      </c>
      <c r="AP187" s="70" t="s">
        <v>2654</v>
      </c>
      <c r="AQ187" s="70" t="s">
        <v>2655</v>
      </c>
      <c r="AR187" s="70" t="s">
        <v>2656</v>
      </c>
      <c r="AS187" s="70" t="s">
        <v>122</v>
      </c>
      <c r="AT187" s="68" t="s">
        <v>2657</v>
      </c>
      <c r="AU187" s="70" t="s">
        <v>2658</v>
      </c>
      <c r="AV187" s="68"/>
      <c r="AW187" s="68"/>
      <c r="AX187" s="68"/>
      <c r="AY187" s="72">
        <v>479735.08</v>
      </c>
      <c r="AZ187" s="72">
        <v>0</v>
      </c>
      <c r="BA187" s="70" t="s">
        <v>76</v>
      </c>
      <c r="BB187" s="70" t="s">
        <v>1600</v>
      </c>
      <c r="BC187" s="70" t="s">
        <v>2659</v>
      </c>
      <c r="BD187" s="70" t="s">
        <v>335</v>
      </c>
      <c r="BE187" s="70" t="s">
        <v>74</v>
      </c>
      <c r="BF187" s="70" t="s">
        <v>2660</v>
      </c>
      <c r="BG187" s="68"/>
      <c r="BI187" s="68"/>
      <c r="BJ187" s="68"/>
      <c r="BK187" s="70">
        <v>2</v>
      </c>
      <c r="BL187" s="70">
        <v>2</v>
      </c>
      <c r="BM187" s="70" t="s">
        <v>2847</v>
      </c>
    </row>
    <row r="188" spans="1:65" x14ac:dyDescent="0.3">
      <c r="A188" s="1" t="str">
        <f t="shared" si="3"/>
        <v>001686</v>
      </c>
      <c r="B188" s="70" t="s">
        <v>61</v>
      </c>
      <c r="C188" s="70" t="s">
        <v>273</v>
      </c>
      <c r="D188" s="70" t="s">
        <v>1533</v>
      </c>
      <c r="E188" s="70" t="s">
        <v>599</v>
      </c>
      <c r="F188" s="70" t="s">
        <v>590</v>
      </c>
      <c r="G188" s="70" t="s">
        <v>2763</v>
      </c>
      <c r="H188" s="70" t="s">
        <v>2673</v>
      </c>
      <c r="I188" s="70" t="s">
        <v>67</v>
      </c>
      <c r="J188" s="70" t="s">
        <v>2674</v>
      </c>
      <c r="K188" s="71">
        <v>45877</v>
      </c>
      <c r="L188" s="71">
        <v>46045</v>
      </c>
      <c r="M188" s="72">
        <v>5000</v>
      </c>
      <c r="N188" s="72">
        <v>5267.04</v>
      </c>
      <c r="O188" s="73">
        <v>0</v>
      </c>
      <c r="P188" s="73">
        <v>12</v>
      </c>
      <c r="Q188" s="70" t="s">
        <v>496</v>
      </c>
      <c r="R188" s="72">
        <v>673.4</v>
      </c>
      <c r="S188" s="72">
        <v>696</v>
      </c>
      <c r="T188" s="72">
        <v>0</v>
      </c>
      <c r="U188" s="72">
        <v>4</v>
      </c>
      <c r="V188" s="72">
        <v>0</v>
      </c>
      <c r="W188" s="72">
        <v>3511.36</v>
      </c>
      <c r="X188" s="72">
        <v>0</v>
      </c>
      <c r="Y188" s="72">
        <v>0</v>
      </c>
      <c r="Z188" s="72">
        <v>0</v>
      </c>
      <c r="AA188" s="74">
        <v>0</v>
      </c>
      <c r="AB188" s="72">
        <v>0</v>
      </c>
      <c r="AC188" s="72">
        <v>674</v>
      </c>
      <c r="AD188" s="71">
        <v>45933</v>
      </c>
      <c r="AE188" s="70" t="s">
        <v>69</v>
      </c>
      <c r="AF188" s="70" t="s">
        <v>2675</v>
      </c>
      <c r="AG188" s="70" t="s">
        <v>2676</v>
      </c>
      <c r="AH188" s="68"/>
      <c r="AI188" s="70" t="s">
        <v>86</v>
      </c>
      <c r="AJ188" s="70" t="s">
        <v>87</v>
      </c>
      <c r="AK188" s="70" t="s">
        <v>2677</v>
      </c>
      <c r="AL188" s="68"/>
      <c r="AM188" s="70" t="s">
        <v>2678</v>
      </c>
      <c r="AN188" s="70" t="s">
        <v>2679</v>
      </c>
      <c r="AO188" s="70" t="s">
        <v>2680</v>
      </c>
      <c r="AP188" s="70" t="s">
        <v>2681</v>
      </c>
      <c r="AQ188" s="70" t="s">
        <v>2682</v>
      </c>
      <c r="AR188" s="70" t="s">
        <v>2683</v>
      </c>
      <c r="AS188" s="68"/>
      <c r="AT188" s="68"/>
      <c r="AU188" s="68"/>
      <c r="AV188" s="68"/>
      <c r="AW188" s="68"/>
      <c r="AX188" s="68"/>
      <c r="AY188" s="72">
        <v>4920.8100000000004</v>
      </c>
      <c r="AZ188" s="72">
        <v>2.4</v>
      </c>
      <c r="BA188" s="70" t="s">
        <v>67</v>
      </c>
      <c r="BB188" s="70" t="s">
        <v>1044</v>
      </c>
      <c r="BC188" s="70" t="s">
        <v>2684</v>
      </c>
      <c r="BD188" s="70" t="s">
        <v>2685</v>
      </c>
      <c r="BE188" s="70" t="s">
        <v>74</v>
      </c>
      <c r="BF188" s="70" t="s">
        <v>296</v>
      </c>
      <c r="BG188" s="70" t="s">
        <v>2686</v>
      </c>
      <c r="BH188" s="70"/>
      <c r="BI188" s="68"/>
      <c r="BJ188" s="68"/>
      <c r="BK188" s="70">
        <v>0</v>
      </c>
      <c r="BL188" s="70">
        <v>0</v>
      </c>
      <c r="BM188" s="70" t="s">
        <v>2847</v>
      </c>
    </row>
    <row r="189" spans="1:65" x14ac:dyDescent="0.3">
      <c r="A189" s="1" t="str">
        <f t="shared" si="3"/>
        <v>001685</v>
      </c>
      <c r="B189" s="70" t="s">
        <v>61</v>
      </c>
      <c r="C189" s="70" t="s">
        <v>273</v>
      </c>
      <c r="D189" s="70" t="s">
        <v>1533</v>
      </c>
      <c r="E189" s="70" t="s">
        <v>599</v>
      </c>
      <c r="F189" s="70" t="s">
        <v>590</v>
      </c>
      <c r="G189" s="70" t="s">
        <v>2763</v>
      </c>
      <c r="H189" s="70" t="s">
        <v>2687</v>
      </c>
      <c r="I189" s="70" t="s">
        <v>67</v>
      </c>
      <c r="J189" s="70" t="s">
        <v>2688</v>
      </c>
      <c r="K189" s="71">
        <v>45877</v>
      </c>
      <c r="L189" s="71">
        <v>46242</v>
      </c>
      <c r="M189" s="72">
        <v>10000</v>
      </c>
      <c r="N189" s="72">
        <v>10534.08</v>
      </c>
      <c r="O189" s="73">
        <v>0</v>
      </c>
      <c r="P189" s="73">
        <v>12</v>
      </c>
      <c r="Q189" s="70" t="s">
        <v>68</v>
      </c>
      <c r="R189" s="72">
        <v>1702.69</v>
      </c>
      <c r="S189" s="72">
        <v>696</v>
      </c>
      <c r="T189" s="72">
        <v>0</v>
      </c>
      <c r="U189" s="72">
        <v>0</v>
      </c>
      <c r="V189" s="72">
        <v>0</v>
      </c>
      <c r="W189" s="72">
        <v>8778.4</v>
      </c>
      <c r="X189" s="72">
        <v>0</v>
      </c>
      <c r="Y189" s="72">
        <v>0</v>
      </c>
      <c r="Z189" s="72">
        <v>0</v>
      </c>
      <c r="AA189" s="74">
        <v>0</v>
      </c>
      <c r="AB189" s="72">
        <v>0</v>
      </c>
      <c r="AC189" s="72">
        <v>1703</v>
      </c>
      <c r="AD189" s="71">
        <v>45938</v>
      </c>
      <c r="AE189" s="70" t="s">
        <v>69</v>
      </c>
      <c r="AF189" s="70" t="s">
        <v>2689</v>
      </c>
      <c r="AG189" s="70" t="s">
        <v>2690</v>
      </c>
      <c r="AH189" s="68"/>
      <c r="AI189" s="70" t="s">
        <v>283</v>
      </c>
      <c r="AJ189" s="70" t="s">
        <v>284</v>
      </c>
      <c r="AK189" s="68"/>
      <c r="AL189" s="68"/>
      <c r="AM189" s="70" t="s">
        <v>2691</v>
      </c>
      <c r="AN189" s="70" t="s">
        <v>2692</v>
      </c>
      <c r="AO189" s="70" t="s">
        <v>2693</v>
      </c>
      <c r="AP189" s="70" t="s">
        <v>2694</v>
      </c>
      <c r="AQ189" s="70" t="s">
        <v>2695</v>
      </c>
      <c r="AR189" s="70" t="s">
        <v>2696</v>
      </c>
      <c r="AS189" s="68"/>
      <c r="AT189" s="68"/>
      <c r="AU189" s="68"/>
      <c r="AV189" s="68"/>
      <c r="AW189" s="68"/>
      <c r="AX189" s="68"/>
      <c r="AY189" s="72">
        <v>16446.3</v>
      </c>
      <c r="AZ189" s="72">
        <v>0.62</v>
      </c>
      <c r="BA189" s="70" t="s">
        <v>67</v>
      </c>
      <c r="BB189" s="70" t="s">
        <v>1044</v>
      </c>
      <c r="BC189" s="70" t="s">
        <v>2697</v>
      </c>
      <c r="BD189" s="70" t="s">
        <v>2581</v>
      </c>
      <c r="BE189" s="70" t="s">
        <v>74</v>
      </c>
      <c r="BF189" s="70" t="s">
        <v>296</v>
      </c>
      <c r="BG189" s="70" t="s">
        <v>2698</v>
      </c>
      <c r="BH189" s="70"/>
      <c r="BI189" s="68"/>
      <c r="BJ189" s="68"/>
      <c r="BK189" s="70">
        <v>0</v>
      </c>
      <c r="BL189" s="70">
        <v>0</v>
      </c>
      <c r="BM189" s="70" t="s">
        <v>2847</v>
      </c>
    </row>
    <row r="190" spans="1:65" x14ac:dyDescent="0.3">
      <c r="A190" s="1" t="str">
        <f t="shared" si="3"/>
        <v>001395</v>
      </c>
      <c r="B190" s="70" t="s">
        <v>61</v>
      </c>
      <c r="C190" s="70" t="s">
        <v>273</v>
      </c>
      <c r="D190" s="70" t="s">
        <v>1533</v>
      </c>
      <c r="E190" s="70" t="s">
        <v>599</v>
      </c>
      <c r="F190" s="70" t="s">
        <v>590</v>
      </c>
      <c r="G190" s="70" t="s">
        <v>2763</v>
      </c>
      <c r="H190" s="70" t="s">
        <v>2481</v>
      </c>
      <c r="I190" s="70" t="s">
        <v>67</v>
      </c>
      <c r="J190" s="70" t="s">
        <v>1175</v>
      </c>
      <c r="K190" s="71">
        <v>45824</v>
      </c>
      <c r="L190" s="71">
        <v>45992</v>
      </c>
      <c r="M190" s="72">
        <v>5000</v>
      </c>
      <c r="N190" s="72">
        <v>5267.04</v>
      </c>
      <c r="O190" s="73">
        <v>1</v>
      </c>
      <c r="P190" s="73">
        <v>24</v>
      </c>
      <c r="Q190" s="70" t="s">
        <v>469</v>
      </c>
      <c r="R190" s="72">
        <v>365.7</v>
      </c>
      <c r="S190" s="72">
        <v>1392</v>
      </c>
      <c r="T190" s="72">
        <v>580</v>
      </c>
      <c r="U190" s="72">
        <v>17</v>
      </c>
      <c r="V190" s="72">
        <v>1</v>
      </c>
      <c r="W190" s="72">
        <v>1755.68</v>
      </c>
      <c r="X190" s="72">
        <v>940.91</v>
      </c>
      <c r="Y190" s="72">
        <v>219.46</v>
      </c>
      <c r="Z190" s="72">
        <v>88.24</v>
      </c>
      <c r="AA190" s="72">
        <v>53.21</v>
      </c>
      <c r="AB190" s="72">
        <v>580</v>
      </c>
      <c r="AC190" s="72">
        <v>366</v>
      </c>
      <c r="AD190" s="71">
        <v>45936</v>
      </c>
      <c r="AE190" s="70" t="s">
        <v>69</v>
      </c>
      <c r="AF190" s="70" t="s">
        <v>2482</v>
      </c>
      <c r="AG190" s="70" t="s">
        <v>1176</v>
      </c>
      <c r="AH190" s="68"/>
      <c r="AI190" s="70" t="s">
        <v>283</v>
      </c>
      <c r="AJ190" s="70" t="s">
        <v>284</v>
      </c>
      <c r="AK190" s="70" t="s">
        <v>1177</v>
      </c>
      <c r="AL190" s="70" t="s">
        <v>2483</v>
      </c>
      <c r="AM190" s="70" t="s">
        <v>1178</v>
      </c>
      <c r="AN190" s="70" t="s">
        <v>2484</v>
      </c>
      <c r="AO190" s="70" t="s">
        <v>1179</v>
      </c>
      <c r="AP190" s="70" t="s">
        <v>2485</v>
      </c>
      <c r="AQ190" s="70" t="s">
        <v>1180</v>
      </c>
      <c r="AR190" s="70" t="s">
        <v>2486</v>
      </c>
      <c r="AS190" s="68"/>
      <c r="AT190" s="68"/>
      <c r="AU190" s="68"/>
      <c r="AV190" s="68"/>
      <c r="AW190" s="68"/>
      <c r="AX190" s="68"/>
      <c r="AY190" s="72">
        <v>3094.81</v>
      </c>
      <c r="AZ190" s="72">
        <v>0</v>
      </c>
      <c r="BA190" s="70" t="s">
        <v>67</v>
      </c>
      <c r="BB190" s="70" t="s">
        <v>1044</v>
      </c>
      <c r="BC190" s="70" t="s">
        <v>1181</v>
      </c>
      <c r="BD190" s="70" t="s">
        <v>1182</v>
      </c>
      <c r="BE190" s="70" t="s">
        <v>74</v>
      </c>
      <c r="BF190" s="70" t="s">
        <v>204</v>
      </c>
      <c r="BG190" s="70" t="s">
        <v>1183</v>
      </c>
      <c r="BH190" s="70"/>
      <c r="BI190" s="68"/>
      <c r="BJ190" s="68"/>
      <c r="BK190" s="70">
        <v>1</v>
      </c>
      <c r="BL190" s="70">
        <v>1</v>
      </c>
      <c r="BM190" s="70" t="s">
        <v>2847</v>
      </c>
    </row>
    <row r="191" spans="1:65" x14ac:dyDescent="0.3">
      <c r="A191" s="1" t="str">
        <f t="shared" si="3"/>
        <v>003324</v>
      </c>
      <c r="B191" s="70" t="s">
        <v>61</v>
      </c>
      <c r="C191" s="70" t="s">
        <v>273</v>
      </c>
      <c r="D191" s="70" t="s">
        <v>2882</v>
      </c>
      <c r="E191" s="70" t="s">
        <v>2883</v>
      </c>
      <c r="F191" s="70" t="s">
        <v>590</v>
      </c>
      <c r="G191" s="70" t="s">
        <v>2763</v>
      </c>
      <c r="H191" s="70" t="s">
        <v>2852</v>
      </c>
      <c r="I191" s="70" t="s">
        <v>67</v>
      </c>
      <c r="J191" s="70" t="s">
        <v>2853</v>
      </c>
      <c r="K191" s="71">
        <v>45933</v>
      </c>
      <c r="L191" s="71">
        <v>46115</v>
      </c>
      <c r="M191" s="72">
        <v>5000</v>
      </c>
      <c r="N191" s="72">
        <v>5267.04</v>
      </c>
      <c r="O191" s="73">
        <v>0</v>
      </c>
      <c r="P191" s="73">
        <v>6</v>
      </c>
      <c r="Q191" s="70" t="s">
        <v>68</v>
      </c>
      <c r="R191" s="72">
        <v>1318.22</v>
      </c>
      <c r="S191" s="72">
        <v>348</v>
      </c>
      <c r="T191" s="72">
        <v>0</v>
      </c>
      <c r="U191" s="72">
        <v>0</v>
      </c>
      <c r="V191" s="72">
        <v>0</v>
      </c>
      <c r="W191" s="72">
        <v>5267.04</v>
      </c>
      <c r="X191" s="72">
        <v>0</v>
      </c>
      <c r="Y191" s="72">
        <v>0</v>
      </c>
      <c r="Z191" s="72">
        <v>0</v>
      </c>
      <c r="AA191" s="72">
        <v>0</v>
      </c>
      <c r="AB191" s="72">
        <v>0</v>
      </c>
      <c r="AC191" s="68"/>
      <c r="AD191" s="68"/>
      <c r="AE191" s="70" t="s">
        <v>69</v>
      </c>
      <c r="AF191" s="70" t="s">
        <v>2854</v>
      </c>
      <c r="AG191" s="70" t="s">
        <v>2855</v>
      </c>
      <c r="AH191" s="68"/>
      <c r="AI191" s="70" t="s">
        <v>86</v>
      </c>
      <c r="AJ191" s="70" t="s">
        <v>87</v>
      </c>
      <c r="AK191" s="70" t="s">
        <v>2856</v>
      </c>
      <c r="AL191" s="70" t="s">
        <v>2854</v>
      </c>
      <c r="AM191" s="70" t="s">
        <v>2857</v>
      </c>
      <c r="AN191" s="70" t="s">
        <v>2858</v>
      </c>
      <c r="AO191" s="70" t="s">
        <v>2859</v>
      </c>
      <c r="AP191" s="70" t="s">
        <v>2854</v>
      </c>
      <c r="AQ191" s="70" t="s">
        <v>2860</v>
      </c>
      <c r="AR191" s="70" t="s">
        <v>2861</v>
      </c>
      <c r="AS191" s="68"/>
      <c r="AT191" s="68"/>
      <c r="AU191" s="68"/>
      <c r="AV191" s="68"/>
      <c r="AW191" s="68"/>
      <c r="AX191" s="68"/>
      <c r="AY191" s="72">
        <v>7561.29</v>
      </c>
      <c r="AZ191" s="72">
        <v>0</v>
      </c>
      <c r="BA191" s="70" t="s">
        <v>67</v>
      </c>
      <c r="BB191" s="70" t="s">
        <v>1044</v>
      </c>
      <c r="BC191" s="70" t="s">
        <v>2862</v>
      </c>
      <c r="BD191" s="70" t="s">
        <v>304</v>
      </c>
      <c r="BE191" s="70" t="s">
        <v>74</v>
      </c>
      <c r="BF191" s="70" t="s">
        <v>296</v>
      </c>
      <c r="BG191" s="70" t="s">
        <v>2863</v>
      </c>
      <c r="BH191" s="70"/>
      <c r="BI191" s="68"/>
      <c r="BJ191" s="68"/>
      <c r="BK191" s="70">
        <v>0</v>
      </c>
      <c r="BL191" s="70">
        <v>0</v>
      </c>
      <c r="BM191" s="70" t="s">
        <v>2847</v>
      </c>
    </row>
    <row r="192" spans="1:65" x14ac:dyDescent="0.3">
      <c r="A192" s="70" t="str">
        <f t="shared" si="3"/>
        <v>001299</v>
      </c>
      <c r="B192" s="70" t="s">
        <v>61</v>
      </c>
      <c r="C192" s="70" t="s">
        <v>273</v>
      </c>
      <c r="D192" s="70" t="s">
        <v>408</v>
      </c>
      <c r="E192" s="70" t="s">
        <v>409</v>
      </c>
      <c r="F192" s="70" t="s">
        <v>2785</v>
      </c>
      <c r="G192" s="70" t="s">
        <v>2786</v>
      </c>
      <c r="H192" s="70" t="s">
        <v>2371</v>
      </c>
      <c r="I192" s="70" t="s">
        <v>67</v>
      </c>
      <c r="J192" s="70" t="s">
        <v>538</v>
      </c>
      <c r="K192" s="71">
        <v>45783</v>
      </c>
      <c r="L192" s="71">
        <v>45967</v>
      </c>
      <c r="M192" s="72">
        <v>7000</v>
      </c>
      <c r="N192" s="72">
        <v>7373.85</v>
      </c>
      <c r="O192" s="73">
        <v>69</v>
      </c>
      <c r="P192" s="73">
        <v>6</v>
      </c>
      <c r="Q192" s="70" t="s">
        <v>68</v>
      </c>
      <c r="R192" s="72">
        <v>1828.18</v>
      </c>
      <c r="S192" s="72">
        <v>348</v>
      </c>
      <c r="T192" s="72">
        <v>1740</v>
      </c>
      <c r="U192" s="72">
        <v>0</v>
      </c>
      <c r="V192" s="72">
        <v>2.2000000000000002</v>
      </c>
      <c r="W192" s="72">
        <v>4014.29</v>
      </c>
      <c r="X192" s="72">
        <v>5723.7350000000006</v>
      </c>
      <c r="Y192" s="72">
        <v>2785.32</v>
      </c>
      <c r="Z192" s="72">
        <v>1082.42</v>
      </c>
      <c r="AA192" s="72">
        <v>116</v>
      </c>
      <c r="AB192" s="72">
        <v>1740</v>
      </c>
      <c r="AC192" s="72">
        <v>1500</v>
      </c>
      <c r="AD192" s="71">
        <v>45933</v>
      </c>
      <c r="AE192" s="70" t="s">
        <v>69</v>
      </c>
      <c r="AF192" s="70" t="s">
        <v>2372</v>
      </c>
      <c r="AG192" s="70" t="s">
        <v>539</v>
      </c>
      <c r="AH192" s="68"/>
      <c r="AI192" s="70" t="s">
        <v>187</v>
      </c>
      <c r="AJ192" s="70" t="s">
        <v>1417</v>
      </c>
      <c r="AK192" s="68"/>
      <c r="AL192" s="68"/>
      <c r="AM192" s="70" t="s">
        <v>951</v>
      </c>
      <c r="AN192" s="70" t="s">
        <v>2373</v>
      </c>
      <c r="AO192" s="70" t="s">
        <v>949</v>
      </c>
      <c r="AP192" s="70" t="s">
        <v>2374</v>
      </c>
      <c r="AQ192" s="70" t="s">
        <v>950</v>
      </c>
      <c r="AR192" s="70" t="s">
        <v>2375</v>
      </c>
      <c r="AS192" s="68"/>
      <c r="AT192" s="68"/>
      <c r="AU192" s="68"/>
      <c r="AV192" s="68"/>
      <c r="AW192" s="68"/>
      <c r="AX192" s="68"/>
      <c r="AY192" s="72">
        <v>7493.92</v>
      </c>
      <c r="AZ192" s="72">
        <v>0</v>
      </c>
      <c r="BA192" s="70" t="s">
        <v>67</v>
      </c>
      <c r="BB192" s="70" t="s">
        <v>1044</v>
      </c>
      <c r="BC192" s="70" t="s">
        <v>540</v>
      </c>
      <c r="BD192" s="70" t="s">
        <v>541</v>
      </c>
      <c r="BE192" s="70" t="s">
        <v>74</v>
      </c>
      <c r="BF192" s="70" t="s">
        <v>296</v>
      </c>
      <c r="BG192" s="68"/>
      <c r="BI192" s="68"/>
      <c r="BJ192" s="68"/>
      <c r="BK192" s="70">
        <v>3</v>
      </c>
      <c r="BL192" s="70">
        <v>3</v>
      </c>
      <c r="BM192" s="70" t="s">
        <v>2847</v>
      </c>
    </row>
    <row r="193" spans="1:65" x14ac:dyDescent="0.3">
      <c r="A193" s="70" t="str">
        <f t="shared" si="3"/>
        <v>001300</v>
      </c>
      <c r="B193" s="70" t="s">
        <v>61</v>
      </c>
      <c r="C193" s="70" t="s">
        <v>273</v>
      </c>
      <c r="D193" s="70" t="s">
        <v>408</v>
      </c>
      <c r="E193" s="70" t="s">
        <v>409</v>
      </c>
      <c r="F193" s="70" t="s">
        <v>2785</v>
      </c>
      <c r="G193" s="70" t="s">
        <v>2786</v>
      </c>
      <c r="H193" s="70" t="s">
        <v>1508</v>
      </c>
      <c r="I193" s="70" t="s">
        <v>67</v>
      </c>
      <c r="J193" s="70" t="s">
        <v>542</v>
      </c>
      <c r="K193" s="71">
        <v>45783</v>
      </c>
      <c r="L193" s="71">
        <v>46148</v>
      </c>
      <c r="M193" s="72">
        <v>10000</v>
      </c>
      <c r="N193" s="72">
        <v>10534.08</v>
      </c>
      <c r="O193" s="73">
        <v>36</v>
      </c>
      <c r="P193" s="73">
        <v>12</v>
      </c>
      <c r="Q193" s="70" t="s">
        <v>68</v>
      </c>
      <c r="R193" s="72">
        <v>1702.69</v>
      </c>
      <c r="S193" s="72">
        <v>696</v>
      </c>
      <c r="T193" s="72">
        <v>1160</v>
      </c>
      <c r="U193" s="72">
        <v>0</v>
      </c>
      <c r="V193" s="72">
        <v>1.3</v>
      </c>
      <c r="W193" s="72">
        <v>7490.49</v>
      </c>
      <c r="X193" s="72">
        <v>3330.46</v>
      </c>
      <c r="Y193" s="72">
        <v>1345.6100000000001</v>
      </c>
      <c r="Z193" s="72">
        <v>766.85</v>
      </c>
      <c r="AA193" s="72">
        <v>58</v>
      </c>
      <c r="AB193" s="72">
        <v>1160</v>
      </c>
      <c r="AC193" s="72">
        <v>1300</v>
      </c>
      <c r="AD193" s="71">
        <v>45937</v>
      </c>
      <c r="AE193" s="70" t="s">
        <v>69</v>
      </c>
      <c r="AF193" s="70" t="s">
        <v>1509</v>
      </c>
      <c r="AG193" s="70" t="s">
        <v>543</v>
      </c>
      <c r="AH193" s="68"/>
      <c r="AI193" s="70" t="s">
        <v>324</v>
      </c>
      <c r="AJ193" s="70" t="s">
        <v>325</v>
      </c>
      <c r="AK193" s="68"/>
      <c r="AL193" s="68"/>
      <c r="AM193" s="70" t="s">
        <v>954</v>
      </c>
      <c r="AN193" s="70" t="s">
        <v>1510</v>
      </c>
      <c r="AO193" s="70" t="s">
        <v>952</v>
      </c>
      <c r="AP193" s="70" t="s">
        <v>1511</v>
      </c>
      <c r="AQ193" s="70" t="s">
        <v>953</v>
      </c>
      <c r="AR193" s="70" t="s">
        <v>1512</v>
      </c>
      <c r="AS193" s="68"/>
      <c r="AT193" s="68"/>
      <c r="AU193" s="68"/>
      <c r="AV193" s="68"/>
      <c r="AW193" s="68"/>
      <c r="AX193" s="68"/>
      <c r="AY193" s="72">
        <v>14843.300000000001</v>
      </c>
      <c r="AZ193" s="72">
        <v>0</v>
      </c>
      <c r="BA193" s="70" t="s">
        <v>67</v>
      </c>
      <c r="BB193" s="70" t="s">
        <v>1044</v>
      </c>
      <c r="BC193" s="70" t="s">
        <v>544</v>
      </c>
      <c r="BD193" s="70" t="s">
        <v>403</v>
      </c>
      <c r="BE193" s="70" t="s">
        <v>74</v>
      </c>
      <c r="BF193" s="70" t="s">
        <v>545</v>
      </c>
      <c r="BG193" s="68"/>
      <c r="BI193" s="68"/>
      <c r="BJ193" s="68"/>
      <c r="BK193" s="70">
        <v>5</v>
      </c>
      <c r="BL193" s="70">
        <v>5</v>
      </c>
      <c r="BM193" s="70" t="s">
        <v>2847</v>
      </c>
    </row>
    <row r="194" spans="1:65" x14ac:dyDescent="0.3">
      <c r="A194" s="70" t="str">
        <f t="shared" si="3"/>
        <v>001109</v>
      </c>
      <c r="B194" s="70" t="s">
        <v>61</v>
      </c>
      <c r="C194" s="70" t="s">
        <v>273</v>
      </c>
      <c r="D194" s="70" t="s">
        <v>2405</v>
      </c>
      <c r="E194" s="70" t="s">
        <v>1023</v>
      </c>
      <c r="F194" s="70" t="s">
        <v>2785</v>
      </c>
      <c r="G194" s="70" t="s">
        <v>2786</v>
      </c>
      <c r="H194" s="70" t="s">
        <v>2406</v>
      </c>
      <c r="I194" s="70" t="s">
        <v>76</v>
      </c>
      <c r="J194" s="70" t="s">
        <v>601</v>
      </c>
      <c r="K194" s="71">
        <v>45796</v>
      </c>
      <c r="L194" s="71">
        <v>45980</v>
      </c>
      <c r="M194" s="72">
        <v>50000</v>
      </c>
      <c r="N194" s="72">
        <v>52670.39</v>
      </c>
      <c r="O194" s="73">
        <v>25</v>
      </c>
      <c r="P194" s="73">
        <v>6</v>
      </c>
      <c r="Q194" s="70" t="s">
        <v>68</v>
      </c>
      <c r="R194" s="72">
        <v>11727.65</v>
      </c>
      <c r="S194" s="72">
        <v>348</v>
      </c>
      <c r="T194" s="72">
        <v>580</v>
      </c>
      <c r="U194" s="72">
        <v>0</v>
      </c>
      <c r="V194" s="72">
        <v>1</v>
      </c>
      <c r="W194" s="72">
        <v>26335.190000000002</v>
      </c>
      <c r="X194" s="72">
        <v>12306.3364336</v>
      </c>
      <c r="Y194" s="72">
        <v>8778.39</v>
      </c>
      <c r="Z194" s="72">
        <v>2891.25</v>
      </c>
      <c r="AA194" s="72">
        <v>56.69</v>
      </c>
      <c r="AB194" s="72">
        <v>580</v>
      </c>
      <c r="AC194" s="72">
        <v>12308</v>
      </c>
      <c r="AD194" s="71">
        <v>45897</v>
      </c>
      <c r="AE194" s="70" t="s">
        <v>69</v>
      </c>
      <c r="AF194" s="70" t="s">
        <v>2407</v>
      </c>
      <c r="AG194" s="70" t="s">
        <v>602</v>
      </c>
      <c r="AH194" s="68"/>
      <c r="AI194" s="70" t="s">
        <v>603</v>
      </c>
      <c r="AJ194" s="70" t="s">
        <v>2408</v>
      </c>
      <c r="AK194" s="70" t="s">
        <v>604</v>
      </c>
      <c r="AL194" s="68"/>
      <c r="AM194" s="70" t="s">
        <v>934</v>
      </c>
      <c r="AN194" s="70" t="s">
        <v>2409</v>
      </c>
      <c r="AO194" s="70" t="s">
        <v>933</v>
      </c>
      <c r="AP194" s="70" t="s">
        <v>2410</v>
      </c>
      <c r="AQ194" s="70" t="s">
        <v>1297</v>
      </c>
      <c r="AR194" s="70" t="s">
        <v>2411</v>
      </c>
      <c r="AS194" s="70" t="s">
        <v>122</v>
      </c>
      <c r="AT194" s="68" t="s">
        <v>605</v>
      </c>
      <c r="AU194" s="70" t="s">
        <v>606</v>
      </c>
      <c r="AV194" s="68"/>
      <c r="AW194" s="68"/>
      <c r="AX194" s="68"/>
      <c r="AY194" s="72">
        <v>35645.64</v>
      </c>
      <c r="AZ194" s="72">
        <v>0</v>
      </c>
      <c r="BA194" s="70" t="s">
        <v>67</v>
      </c>
      <c r="BB194" s="70" t="s">
        <v>1044</v>
      </c>
      <c r="BC194" s="70" t="s">
        <v>3056</v>
      </c>
      <c r="BD194" s="70" t="s">
        <v>607</v>
      </c>
      <c r="BE194" s="70" t="s">
        <v>74</v>
      </c>
      <c r="BF194" s="70" t="s">
        <v>296</v>
      </c>
      <c r="BG194" s="68"/>
      <c r="BI194" s="68"/>
      <c r="BJ194" s="68"/>
      <c r="BK194" s="70">
        <v>2</v>
      </c>
      <c r="BL194" s="70">
        <v>2</v>
      </c>
      <c r="BM194" s="70" t="s">
        <v>2847</v>
      </c>
    </row>
    <row r="195" spans="1:65" x14ac:dyDescent="0.3">
      <c r="A195" s="70" t="str">
        <f t="shared" si="3"/>
        <v>001328</v>
      </c>
      <c r="B195" s="70" t="s">
        <v>61</v>
      </c>
      <c r="C195" s="70" t="s">
        <v>273</v>
      </c>
      <c r="D195" s="70" t="s">
        <v>1522</v>
      </c>
      <c r="E195" s="70" t="s">
        <v>614</v>
      </c>
      <c r="F195" s="70" t="s">
        <v>2785</v>
      </c>
      <c r="G195" s="70" t="s">
        <v>2786</v>
      </c>
      <c r="H195" s="70" t="s">
        <v>2412</v>
      </c>
      <c r="I195" s="70" t="s">
        <v>67</v>
      </c>
      <c r="J195" s="70" t="s">
        <v>615</v>
      </c>
      <c r="K195" s="71">
        <v>45798</v>
      </c>
      <c r="L195" s="71">
        <v>46163</v>
      </c>
      <c r="M195" s="72">
        <v>15000</v>
      </c>
      <c r="N195" s="72">
        <v>15801.12</v>
      </c>
      <c r="O195" s="73">
        <v>22</v>
      </c>
      <c r="P195" s="73">
        <v>12</v>
      </c>
      <c r="Q195" s="70" t="s">
        <v>68</v>
      </c>
      <c r="R195" s="72">
        <v>2525.04</v>
      </c>
      <c r="S195" s="72">
        <v>696</v>
      </c>
      <c r="T195" s="72">
        <v>580</v>
      </c>
      <c r="U195" s="72">
        <v>0</v>
      </c>
      <c r="V195" s="72">
        <v>1</v>
      </c>
      <c r="W195" s="72">
        <v>11850.84</v>
      </c>
      <c r="X195" s="72">
        <v>3104.0705760000001</v>
      </c>
      <c r="Y195" s="72">
        <v>1316.76</v>
      </c>
      <c r="Z195" s="72">
        <v>1150.28</v>
      </c>
      <c r="AA195" s="72">
        <v>57.03</v>
      </c>
      <c r="AB195" s="72">
        <v>580</v>
      </c>
      <c r="AC195" s="72">
        <v>3106</v>
      </c>
      <c r="AD195" s="71">
        <v>45904</v>
      </c>
      <c r="AE195" s="70" t="s">
        <v>69</v>
      </c>
      <c r="AF195" s="70" t="s">
        <v>2413</v>
      </c>
      <c r="AG195" s="70" t="s">
        <v>616</v>
      </c>
      <c r="AH195" s="68"/>
      <c r="AI195" s="70" t="s">
        <v>192</v>
      </c>
      <c r="AJ195" s="70" t="s">
        <v>193</v>
      </c>
      <c r="AK195" s="68"/>
      <c r="AL195" s="68"/>
      <c r="AM195" s="70" t="s">
        <v>979</v>
      </c>
      <c r="AN195" s="70" t="s">
        <v>2414</v>
      </c>
      <c r="AO195" s="70" t="s">
        <v>977</v>
      </c>
      <c r="AP195" s="70" t="s">
        <v>2415</v>
      </c>
      <c r="AQ195" s="70" t="s">
        <v>978</v>
      </c>
      <c r="AR195" s="70" t="s">
        <v>2416</v>
      </c>
      <c r="AS195" s="68"/>
      <c r="AT195" s="68"/>
      <c r="AU195" s="68"/>
      <c r="AV195" s="68"/>
      <c r="AW195" s="68"/>
      <c r="AX195" s="68"/>
      <c r="AY195" s="72">
        <v>22840.37</v>
      </c>
      <c r="AZ195" s="72">
        <v>0</v>
      </c>
      <c r="BA195" s="70" t="s">
        <v>67</v>
      </c>
      <c r="BB195" s="70" t="s">
        <v>1044</v>
      </c>
      <c r="BC195" s="70" t="s">
        <v>3057</v>
      </c>
      <c r="BD195" s="70" t="s">
        <v>600</v>
      </c>
      <c r="BE195" s="70" t="s">
        <v>74</v>
      </c>
      <c r="BF195" s="70" t="s">
        <v>545</v>
      </c>
      <c r="BG195" s="68"/>
      <c r="BI195" s="68"/>
      <c r="BJ195" s="68"/>
      <c r="BK195" s="70">
        <v>2</v>
      </c>
      <c r="BL195" s="70">
        <v>2</v>
      </c>
      <c r="BM195" s="70" t="s">
        <v>2847</v>
      </c>
    </row>
    <row r="196" spans="1:65" x14ac:dyDescent="0.3">
      <c r="A196" s="70" t="str">
        <f t="shared" si="3"/>
        <v>001492</v>
      </c>
      <c r="B196" s="70" t="s">
        <v>61</v>
      </c>
      <c r="C196" s="70" t="s">
        <v>273</v>
      </c>
      <c r="D196" s="70" t="s">
        <v>1533</v>
      </c>
      <c r="E196" s="70" t="s">
        <v>599</v>
      </c>
      <c r="F196" s="70" t="s">
        <v>2785</v>
      </c>
      <c r="G196" s="70" t="s">
        <v>2786</v>
      </c>
      <c r="H196" s="70" t="s">
        <v>2417</v>
      </c>
      <c r="I196" s="70" t="s">
        <v>67</v>
      </c>
      <c r="J196" s="70" t="s">
        <v>1602</v>
      </c>
      <c r="K196" s="71">
        <v>45848</v>
      </c>
      <c r="L196" s="71">
        <v>46016</v>
      </c>
      <c r="M196" s="72">
        <v>5000</v>
      </c>
      <c r="N196" s="72">
        <v>5267.04</v>
      </c>
      <c r="O196" s="73">
        <v>26</v>
      </c>
      <c r="P196" s="73">
        <v>12</v>
      </c>
      <c r="Q196" s="70" t="s">
        <v>496</v>
      </c>
      <c r="R196" s="72">
        <v>673.4</v>
      </c>
      <c r="S196" s="72">
        <v>696</v>
      </c>
      <c r="T196" s="72">
        <v>1160</v>
      </c>
      <c r="U196" s="72">
        <v>6</v>
      </c>
      <c r="V196" s="72">
        <v>2</v>
      </c>
      <c r="W196" s="72">
        <v>3511.36</v>
      </c>
      <c r="X196" s="72">
        <v>2504.41</v>
      </c>
      <c r="Y196" s="72">
        <v>877.84</v>
      </c>
      <c r="Z196" s="72">
        <v>352.97</v>
      </c>
      <c r="AA196" s="72">
        <v>113.60000000000001</v>
      </c>
      <c r="AB196" s="72">
        <v>1160</v>
      </c>
      <c r="AC196" s="72">
        <v>674</v>
      </c>
      <c r="AD196" s="71">
        <v>45904</v>
      </c>
      <c r="AE196" s="70" t="s">
        <v>69</v>
      </c>
      <c r="AF196" s="70" t="s">
        <v>2418</v>
      </c>
      <c r="AG196" s="70" t="s">
        <v>1603</v>
      </c>
      <c r="AH196" s="68"/>
      <c r="AI196" s="70" t="s">
        <v>89</v>
      </c>
      <c r="AJ196" s="70" t="s">
        <v>90</v>
      </c>
      <c r="AK196" s="70" t="s">
        <v>1604</v>
      </c>
      <c r="AL196" s="68"/>
      <c r="AM196" s="70" t="s">
        <v>1605</v>
      </c>
      <c r="AN196" s="70" t="s">
        <v>2419</v>
      </c>
      <c r="AO196" s="70" t="s">
        <v>1606</v>
      </c>
      <c r="AP196" s="70" t="s">
        <v>2418</v>
      </c>
      <c r="AQ196" s="70" t="s">
        <v>1607</v>
      </c>
      <c r="AR196" s="70" t="s">
        <v>2420</v>
      </c>
      <c r="AS196" s="68"/>
      <c r="AT196" s="68"/>
      <c r="AU196" s="68"/>
      <c r="AV196" s="68"/>
      <c r="AW196" s="68"/>
      <c r="AX196" s="68"/>
      <c r="AY196" s="72">
        <v>6196.81</v>
      </c>
      <c r="AZ196" s="72">
        <v>0</v>
      </c>
      <c r="BA196" s="70" t="s">
        <v>67</v>
      </c>
      <c r="BB196" s="70" t="s">
        <v>1044</v>
      </c>
      <c r="BC196" s="70" t="s">
        <v>3058</v>
      </c>
      <c r="BD196" s="70" t="s">
        <v>1608</v>
      </c>
      <c r="BE196" s="70" t="s">
        <v>74</v>
      </c>
      <c r="BF196" s="70" t="s">
        <v>273</v>
      </c>
      <c r="BG196" s="70" t="s">
        <v>1609</v>
      </c>
      <c r="BH196" s="70"/>
      <c r="BI196" s="68"/>
      <c r="BJ196" s="68"/>
      <c r="BK196" s="70">
        <v>2</v>
      </c>
      <c r="BL196" s="70">
        <v>2</v>
      </c>
      <c r="BM196" s="70" t="s">
        <v>2847</v>
      </c>
    </row>
    <row r="197" spans="1:65" x14ac:dyDescent="0.3">
      <c r="A197" s="70" t="str">
        <f t="shared" si="3"/>
        <v>001548</v>
      </c>
      <c r="B197" s="70" t="s">
        <v>61</v>
      </c>
      <c r="C197" s="70" t="s">
        <v>273</v>
      </c>
      <c r="D197" s="70" t="s">
        <v>1522</v>
      </c>
      <c r="E197" s="70" t="s">
        <v>614</v>
      </c>
      <c r="F197" s="70" t="s">
        <v>2785</v>
      </c>
      <c r="G197" s="70" t="s">
        <v>2786</v>
      </c>
      <c r="H197" s="70" t="s">
        <v>1639</v>
      </c>
      <c r="I197" s="70" t="s">
        <v>67</v>
      </c>
      <c r="J197" s="70" t="s">
        <v>1640</v>
      </c>
      <c r="K197" s="71">
        <v>45853</v>
      </c>
      <c r="L197" s="71">
        <v>46021</v>
      </c>
      <c r="M197" s="72">
        <v>5000</v>
      </c>
      <c r="N197" s="72">
        <v>5267.04</v>
      </c>
      <c r="O197" s="73">
        <v>21</v>
      </c>
      <c r="P197" s="73">
        <v>12</v>
      </c>
      <c r="Q197" s="70" t="s">
        <v>496</v>
      </c>
      <c r="R197" s="72">
        <v>673.4</v>
      </c>
      <c r="S197" s="72">
        <v>696</v>
      </c>
      <c r="T197" s="72">
        <v>1678.2</v>
      </c>
      <c r="U197" s="72">
        <v>6</v>
      </c>
      <c r="V197" s="72">
        <v>2</v>
      </c>
      <c r="W197" s="72">
        <v>3511.36</v>
      </c>
      <c r="X197" s="72">
        <v>2967.41</v>
      </c>
      <c r="Y197" s="72">
        <v>877.84</v>
      </c>
      <c r="Z197" s="72">
        <v>352.97</v>
      </c>
      <c r="AA197" s="72">
        <v>58.4</v>
      </c>
      <c r="AB197" s="72">
        <v>1678.2</v>
      </c>
      <c r="AC197" s="72">
        <v>673</v>
      </c>
      <c r="AD197" s="71">
        <v>45929</v>
      </c>
      <c r="AE197" s="70" t="s">
        <v>69</v>
      </c>
      <c r="AF197" s="70" t="s">
        <v>1641</v>
      </c>
      <c r="AG197" s="70" t="s">
        <v>1642</v>
      </c>
      <c r="AH197" s="68"/>
      <c r="AI197" s="70" t="s">
        <v>86</v>
      </c>
      <c r="AJ197" s="70" t="s">
        <v>87</v>
      </c>
      <c r="AK197" s="68"/>
      <c r="AL197" s="68"/>
      <c r="AM197" s="70" t="s">
        <v>1643</v>
      </c>
      <c r="AN197" s="70" t="s">
        <v>1644</v>
      </c>
      <c r="AO197" s="70" t="s">
        <v>1645</v>
      </c>
      <c r="AP197" s="70" t="s">
        <v>1646</v>
      </c>
      <c r="AQ197" s="70" t="s">
        <v>1647</v>
      </c>
      <c r="AR197" s="70" t="s">
        <v>1648</v>
      </c>
      <c r="AS197" s="68"/>
      <c r="AT197" s="68"/>
      <c r="AU197" s="68"/>
      <c r="AV197" s="68"/>
      <c r="AW197" s="68"/>
      <c r="AX197" s="68"/>
      <c r="AY197" s="72">
        <v>6659.81</v>
      </c>
      <c r="AZ197" s="72">
        <v>0</v>
      </c>
      <c r="BA197" s="70" t="s">
        <v>67</v>
      </c>
      <c r="BB197" s="70" t="s">
        <v>1044</v>
      </c>
      <c r="BC197" s="70" t="s">
        <v>1649</v>
      </c>
      <c r="BD197" s="70" t="s">
        <v>1650</v>
      </c>
      <c r="BE197" s="70" t="s">
        <v>74</v>
      </c>
      <c r="BF197" s="70" t="s">
        <v>273</v>
      </c>
      <c r="BG197" s="70" t="s">
        <v>1651</v>
      </c>
      <c r="BH197" s="70"/>
      <c r="BI197" s="68"/>
      <c r="BJ197" s="68"/>
      <c r="BK197" s="70">
        <v>4</v>
      </c>
      <c r="BL197" s="70">
        <v>4</v>
      </c>
      <c r="BM197" s="70" t="s">
        <v>2847</v>
      </c>
    </row>
    <row r="198" spans="1:65" x14ac:dyDescent="0.3">
      <c r="A198" s="70" t="str">
        <f t="shared" si="3"/>
        <v>001443</v>
      </c>
      <c r="B198" s="70" t="s">
        <v>61</v>
      </c>
      <c r="C198" s="70" t="s">
        <v>273</v>
      </c>
      <c r="D198" s="70" t="s">
        <v>1522</v>
      </c>
      <c r="E198" s="70" t="s">
        <v>614</v>
      </c>
      <c r="F198" s="70" t="s">
        <v>2785</v>
      </c>
      <c r="G198" s="70" t="s">
        <v>2786</v>
      </c>
      <c r="H198" s="70" t="s">
        <v>1528</v>
      </c>
      <c r="I198" s="70" t="s">
        <v>67</v>
      </c>
      <c r="J198" s="70" t="s">
        <v>1348</v>
      </c>
      <c r="K198" s="71">
        <v>45833</v>
      </c>
      <c r="L198" s="71">
        <v>46001</v>
      </c>
      <c r="M198" s="72">
        <v>7000</v>
      </c>
      <c r="N198" s="72">
        <v>7373.85</v>
      </c>
      <c r="O198" s="73">
        <v>27</v>
      </c>
      <c r="P198" s="73">
        <v>12</v>
      </c>
      <c r="Q198" s="70" t="s">
        <v>496</v>
      </c>
      <c r="R198" s="72">
        <v>919.56000000000006</v>
      </c>
      <c r="S198" s="72">
        <v>696</v>
      </c>
      <c r="T198" s="72">
        <v>1375.81</v>
      </c>
      <c r="U198" s="72">
        <v>7</v>
      </c>
      <c r="V198" s="72">
        <v>2</v>
      </c>
      <c r="W198" s="72">
        <v>4301.41</v>
      </c>
      <c r="X198" s="72">
        <v>3156.924438</v>
      </c>
      <c r="Y198" s="72">
        <v>1228.97</v>
      </c>
      <c r="Z198" s="72">
        <v>494.14</v>
      </c>
      <c r="AA198" s="72">
        <v>58</v>
      </c>
      <c r="AB198" s="72">
        <v>1375.81</v>
      </c>
      <c r="AC198" s="72">
        <v>1000</v>
      </c>
      <c r="AD198" s="71">
        <v>45936</v>
      </c>
      <c r="AE198" s="70" t="s">
        <v>69</v>
      </c>
      <c r="AF198" s="70" t="s">
        <v>1529</v>
      </c>
      <c r="AG198" s="70" t="s">
        <v>1349</v>
      </c>
      <c r="AH198" s="68"/>
      <c r="AI198" s="70" t="s">
        <v>86</v>
      </c>
      <c r="AJ198" s="70" t="s">
        <v>87</v>
      </c>
      <c r="AK198" s="70" t="s">
        <v>1350</v>
      </c>
      <c r="AL198" s="68"/>
      <c r="AM198" s="70" t="s">
        <v>1351</v>
      </c>
      <c r="AN198" s="70" t="s">
        <v>1530</v>
      </c>
      <c r="AO198" s="70" t="s">
        <v>1352</v>
      </c>
      <c r="AP198" s="70" t="s">
        <v>1531</v>
      </c>
      <c r="AQ198" s="70" t="s">
        <v>1353</v>
      </c>
      <c r="AR198" s="70" t="s">
        <v>1532</v>
      </c>
      <c r="AS198" s="68"/>
      <c r="AT198" s="68"/>
      <c r="AU198" s="68"/>
      <c r="AV198" s="68"/>
      <c r="AW198" s="68"/>
      <c r="AX198" s="68"/>
      <c r="AY198" s="72">
        <v>7464.7300000000005</v>
      </c>
      <c r="AZ198" s="72">
        <v>0</v>
      </c>
      <c r="BA198" s="70" t="s">
        <v>67</v>
      </c>
      <c r="BB198" s="70" t="s">
        <v>1044</v>
      </c>
      <c r="BC198" s="70" t="s">
        <v>1354</v>
      </c>
      <c r="BD198" s="70" t="s">
        <v>1355</v>
      </c>
      <c r="BE198" s="70" t="s">
        <v>74</v>
      </c>
      <c r="BF198" s="70" t="s">
        <v>1356</v>
      </c>
      <c r="BG198" s="70" t="s">
        <v>1357</v>
      </c>
      <c r="BH198" s="70"/>
      <c r="BI198" s="68"/>
      <c r="BJ198" s="68"/>
      <c r="BK198" s="70">
        <v>5</v>
      </c>
      <c r="BL198" s="70">
        <v>4</v>
      </c>
      <c r="BM198" s="70" t="s">
        <v>2847</v>
      </c>
    </row>
    <row r="199" spans="1:65" x14ac:dyDescent="0.3">
      <c r="A199" s="70" t="str">
        <f t="shared" si="3"/>
        <v>001121</v>
      </c>
      <c r="B199" s="70" t="s">
        <v>61</v>
      </c>
      <c r="C199" s="70" t="s">
        <v>273</v>
      </c>
      <c r="D199" s="70" t="s">
        <v>286</v>
      </c>
      <c r="E199" s="70" t="s">
        <v>287</v>
      </c>
      <c r="F199" s="70" t="s">
        <v>2785</v>
      </c>
      <c r="G199" s="70" t="s">
        <v>2786</v>
      </c>
      <c r="H199" s="70" t="s">
        <v>2360</v>
      </c>
      <c r="I199" s="70" t="s">
        <v>67</v>
      </c>
      <c r="J199" s="70" t="s">
        <v>297</v>
      </c>
      <c r="K199" s="71">
        <v>45616</v>
      </c>
      <c r="L199" s="71">
        <v>45981</v>
      </c>
      <c r="M199" s="72">
        <v>30000</v>
      </c>
      <c r="N199" s="72">
        <v>31602.23</v>
      </c>
      <c r="O199" s="73">
        <v>22</v>
      </c>
      <c r="P199" s="73">
        <v>12</v>
      </c>
      <c r="Q199" s="70" t="s">
        <v>68</v>
      </c>
      <c r="R199" s="72">
        <v>4493.53</v>
      </c>
      <c r="S199" s="72">
        <v>696</v>
      </c>
      <c r="T199" s="72">
        <v>580</v>
      </c>
      <c r="U199" s="72">
        <v>0</v>
      </c>
      <c r="V199" s="72">
        <v>0.1</v>
      </c>
      <c r="W199" s="72">
        <v>8361.7900000000009</v>
      </c>
      <c r="X199" s="72">
        <v>1149.77</v>
      </c>
      <c r="Y199" s="72">
        <v>569.77</v>
      </c>
      <c r="Z199" s="72">
        <v>0</v>
      </c>
      <c r="AA199" s="72">
        <v>0</v>
      </c>
      <c r="AB199" s="72">
        <v>580</v>
      </c>
      <c r="AC199" s="72">
        <v>4494</v>
      </c>
      <c r="AD199" s="71">
        <v>45939</v>
      </c>
      <c r="AE199" s="70" t="s">
        <v>69</v>
      </c>
      <c r="AF199" s="70" t="s">
        <v>2361</v>
      </c>
      <c r="AG199" s="70" t="s">
        <v>298</v>
      </c>
      <c r="AH199" s="68"/>
      <c r="AI199" s="70" t="s">
        <v>299</v>
      </c>
      <c r="AJ199" s="70" t="s">
        <v>2362</v>
      </c>
      <c r="AK199" s="70" t="s">
        <v>300</v>
      </c>
      <c r="AL199" s="68"/>
      <c r="AM199" s="70" t="s">
        <v>937</v>
      </c>
      <c r="AN199" s="70" t="s">
        <v>2363</v>
      </c>
      <c r="AO199" s="70" t="s">
        <v>935</v>
      </c>
      <c r="AP199" s="70" t="s">
        <v>2364</v>
      </c>
      <c r="AQ199" s="70" t="s">
        <v>936</v>
      </c>
      <c r="AR199" s="70" t="s">
        <v>2365</v>
      </c>
      <c r="AS199" s="70" t="s">
        <v>122</v>
      </c>
      <c r="AT199" s="68" t="s">
        <v>301</v>
      </c>
      <c r="AU199" s="70" t="s">
        <v>302</v>
      </c>
      <c r="AV199" s="68"/>
      <c r="AW199" s="68"/>
      <c r="AX199" s="68"/>
      <c r="AY199" s="72">
        <v>8941.7900000000009</v>
      </c>
      <c r="AZ199" s="72">
        <v>0</v>
      </c>
      <c r="BA199" s="70" t="s">
        <v>135</v>
      </c>
      <c r="BB199" s="70" t="s">
        <v>136</v>
      </c>
      <c r="BC199" s="70" t="s">
        <v>303</v>
      </c>
      <c r="BD199" s="70" t="s">
        <v>304</v>
      </c>
      <c r="BE199" s="70" t="s">
        <v>74</v>
      </c>
      <c r="BF199" s="70" t="s">
        <v>296</v>
      </c>
      <c r="BG199" s="68"/>
      <c r="BI199" s="68"/>
      <c r="BJ199" s="68"/>
      <c r="BK199" s="70">
        <v>4</v>
      </c>
      <c r="BL199" s="70">
        <v>3</v>
      </c>
      <c r="BM199" s="70" t="s">
        <v>2846</v>
      </c>
    </row>
    <row r="200" spans="1:65" x14ac:dyDescent="0.3">
      <c r="A200" s="70" t="str">
        <f t="shared" si="3"/>
        <v>001208</v>
      </c>
      <c r="B200" s="70" t="s">
        <v>61</v>
      </c>
      <c r="C200" s="70" t="s">
        <v>273</v>
      </c>
      <c r="D200" s="70" t="s">
        <v>286</v>
      </c>
      <c r="E200" s="70" t="s">
        <v>287</v>
      </c>
      <c r="F200" s="70" t="s">
        <v>2785</v>
      </c>
      <c r="G200" s="70" t="s">
        <v>2786</v>
      </c>
      <c r="H200" s="70" t="s">
        <v>1502</v>
      </c>
      <c r="I200" s="70" t="s">
        <v>67</v>
      </c>
      <c r="J200" s="70" t="s">
        <v>305</v>
      </c>
      <c r="K200" s="71">
        <v>45719</v>
      </c>
      <c r="L200" s="71">
        <v>46268</v>
      </c>
      <c r="M200" s="72">
        <v>100000</v>
      </c>
      <c r="N200" s="72">
        <v>105340.78</v>
      </c>
      <c r="O200" s="73">
        <v>0</v>
      </c>
      <c r="P200" s="73">
        <v>18</v>
      </c>
      <c r="Q200" s="70" t="s">
        <v>68</v>
      </c>
      <c r="R200" s="72">
        <v>15656.04</v>
      </c>
      <c r="S200" s="72">
        <v>1044</v>
      </c>
      <c r="T200" s="72">
        <v>0</v>
      </c>
      <c r="U200" s="72">
        <v>0</v>
      </c>
      <c r="V200" s="72">
        <v>0</v>
      </c>
      <c r="W200" s="72">
        <v>48493.48</v>
      </c>
      <c r="X200" s="72">
        <v>0</v>
      </c>
      <c r="Y200" s="74">
        <v>0</v>
      </c>
      <c r="Z200" s="74">
        <v>0</v>
      </c>
      <c r="AA200" s="74">
        <v>0</v>
      </c>
      <c r="AB200" s="72">
        <v>0</v>
      </c>
      <c r="AC200" s="72">
        <v>70000</v>
      </c>
      <c r="AD200" s="71">
        <v>45938</v>
      </c>
      <c r="AE200" s="70" t="s">
        <v>69</v>
      </c>
      <c r="AF200" s="70" t="s">
        <v>1503</v>
      </c>
      <c r="AG200" s="70" t="s">
        <v>306</v>
      </c>
      <c r="AH200" s="68"/>
      <c r="AI200" s="70" t="s">
        <v>307</v>
      </c>
      <c r="AJ200" s="70" t="s">
        <v>1504</v>
      </c>
      <c r="AK200" s="70" t="s">
        <v>308</v>
      </c>
      <c r="AL200" s="68"/>
      <c r="AM200" s="70" t="s">
        <v>940</v>
      </c>
      <c r="AN200" s="70" t="s">
        <v>1505</v>
      </c>
      <c r="AO200" s="70" t="s">
        <v>938</v>
      </c>
      <c r="AP200" s="70" t="s">
        <v>1506</v>
      </c>
      <c r="AQ200" s="70" t="s">
        <v>939</v>
      </c>
      <c r="AR200" s="70" t="s">
        <v>1507</v>
      </c>
      <c r="AS200" s="70" t="s">
        <v>122</v>
      </c>
      <c r="AT200" s="68" t="s">
        <v>309</v>
      </c>
      <c r="AU200" s="70" t="s">
        <v>310</v>
      </c>
      <c r="AV200" s="68"/>
      <c r="AW200" s="68"/>
      <c r="AX200" s="68"/>
      <c r="AY200" s="72">
        <v>126285.7</v>
      </c>
      <c r="AZ200" s="72">
        <v>45292.7811</v>
      </c>
      <c r="BA200" s="70" t="s">
        <v>67</v>
      </c>
      <c r="BB200" s="70" t="s">
        <v>1044</v>
      </c>
      <c r="BC200" s="70" t="s">
        <v>311</v>
      </c>
      <c r="BD200" s="70" t="s">
        <v>312</v>
      </c>
      <c r="BE200" s="70" t="s">
        <v>74</v>
      </c>
      <c r="BF200" s="70" t="s">
        <v>273</v>
      </c>
      <c r="BG200" s="68"/>
      <c r="BI200" s="68"/>
      <c r="BJ200" s="68"/>
      <c r="BK200" s="70">
        <v>6</v>
      </c>
      <c r="BL200" s="70">
        <v>6</v>
      </c>
      <c r="BM200" s="70" t="s">
        <v>2847</v>
      </c>
    </row>
    <row r="201" spans="1:65" x14ac:dyDescent="0.3">
      <c r="A201" s="70" t="str">
        <f t="shared" si="3"/>
        <v>001166</v>
      </c>
      <c r="B201" s="70" t="s">
        <v>61</v>
      </c>
      <c r="C201" s="70" t="s">
        <v>273</v>
      </c>
      <c r="D201" s="70" t="s">
        <v>408</v>
      </c>
      <c r="E201" s="70" t="s">
        <v>409</v>
      </c>
      <c r="F201" s="70" t="s">
        <v>2785</v>
      </c>
      <c r="G201" s="70" t="s">
        <v>2786</v>
      </c>
      <c r="H201" s="70" t="s">
        <v>1513</v>
      </c>
      <c r="I201" s="70" t="s">
        <v>67</v>
      </c>
      <c r="J201" s="70" t="s">
        <v>479</v>
      </c>
      <c r="K201" s="71">
        <v>45775</v>
      </c>
      <c r="L201" s="71">
        <v>46140</v>
      </c>
      <c r="M201" s="72">
        <v>15000</v>
      </c>
      <c r="N201" s="72">
        <v>15801.12</v>
      </c>
      <c r="O201" s="73">
        <v>47</v>
      </c>
      <c r="P201" s="73">
        <v>12</v>
      </c>
      <c r="Q201" s="70" t="s">
        <v>68</v>
      </c>
      <c r="R201" s="72">
        <v>2525.04</v>
      </c>
      <c r="S201" s="72">
        <v>696</v>
      </c>
      <c r="T201" s="72">
        <v>1160</v>
      </c>
      <c r="U201" s="72">
        <v>0</v>
      </c>
      <c r="V201" s="72">
        <v>1.5</v>
      </c>
      <c r="W201" s="72">
        <v>11738.23</v>
      </c>
      <c r="X201" s="72">
        <v>4889.1900000000005</v>
      </c>
      <c r="Y201" s="72">
        <v>2520.91</v>
      </c>
      <c r="Z201" s="72">
        <v>1150.28</v>
      </c>
      <c r="AA201" s="72">
        <v>58</v>
      </c>
      <c r="AB201" s="72">
        <v>1160</v>
      </c>
      <c r="AC201" s="72">
        <v>1000</v>
      </c>
      <c r="AD201" s="71">
        <v>45940</v>
      </c>
      <c r="AE201" s="70" t="s">
        <v>69</v>
      </c>
      <c r="AF201" s="70" t="s">
        <v>1514</v>
      </c>
      <c r="AG201" s="70" t="s">
        <v>480</v>
      </c>
      <c r="AH201" s="68"/>
      <c r="AI201" s="70" t="s">
        <v>481</v>
      </c>
      <c r="AJ201" s="70" t="s">
        <v>482</v>
      </c>
      <c r="AK201" s="68"/>
      <c r="AL201" s="68"/>
      <c r="AM201" s="70" t="s">
        <v>957</v>
      </c>
      <c r="AN201" s="70" t="s">
        <v>1515</v>
      </c>
      <c r="AO201" s="70" t="s">
        <v>955</v>
      </c>
      <c r="AP201" s="70" t="s">
        <v>1516</v>
      </c>
      <c r="AQ201" s="70" t="s">
        <v>956</v>
      </c>
      <c r="AR201" s="70" t="s">
        <v>1517</v>
      </c>
      <c r="AS201" s="68"/>
      <c r="AT201" s="68"/>
      <c r="AU201" s="68"/>
      <c r="AV201" s="68"/>
      <c r="AW201" s="68"/>
      <c r="AX201" s="68"/>
      <c r="AY201" s="72">
        <v>22158.45</v>
      </c>
      <c r="AZ201" s="72">
        <v>0</v>
      </c>
      <c r="BA201" s="70" t="s">
        <v>67</v>
      </c>
      <c r="BB201" s="70" t="s">
        <v>1044</v>
      </c>
      <c r="BC201" s="70" t="s">
        <v>2891</v>
      </c>
      <c r="BD201" s="70" t="s">
        <v>484</v>
      </c>
      <c r="BE201" s="70" t="s">
        <v>74</v>
      </c>
      <c r="BF201" s="70" t="s">
        <v>296</v>
      </c>
      <c r="BG201" s="68"/>
      <c r="BI201" s="68"/>
      <c r="BJ201" s="68"/>
      <c r="BK201" s="70">
        <v>4</v>
      </c>
      <c r="BL201" s="70">
        <v>4</v>
      </c>
      <c r="BM201" s="70" t="s">
        <v>2847</v>
      </c>
    </row>
    <row r="202" spans="1:65" x14ac:dyDescent="0.3">
      <c r="A202" s="70" t="str">
        <f t="shared" si="3"/>
        <v>001276</v>
      </c>
      <c r="B202" s="70" t="s">
        <v>61</v>
      </c>
      <c r="C202" s="70" t="s">
        <v>273</v>
      </c>
      <c r="D202" s="70" t="s">
        <v>408</v>
      </c>
      <c r="E202" s="70" t="s">
        <v>409</v>
      </c>
      <c r="F202" s="70" t="s">
        <v>2785</v>
      </c>
      <c r="G202" s="70" t="s">
        <v>2786</v>
      </c>
      <c r="H202" s="70" t="s">
        <v>1518</v>
      </c>
      <c r="I202" s="70" t="s">
        <v>67</v>
      </c>
      <c r="J202" s="70" t="s">
        <v>485</v>
      </c>
      <c r="K202" s="71">
        <v>45775</v>
      </c>
      <c r="L202" s="71">
        <v>46140</v>
      </c>
      <c r="M202" s="72">
        <v>20000</v>
      </c>
      <c r="N202" s="72">
        <v>21068.16</v>
      </c>
      <c r="O202" s="73">
        <v>47</v>
      </c>
      <c r="P202" s="73">
        <v>12</v>
      </c>
      <c r="Q202" s="70" t="s">
        <v>68</v>
      </c>
      <c r="R202" s="72">
        <v>3347.38</v>
      </c>
      <c r="S202" s="72">
        <v>696</v>
      </c>
      <c r="T202" s="72">
        <v>1740</v>
      </c>
      <c r="U202" s="72">
        <v>0</v>
      </c>
      <c r="V202" s="72">
        <v>2</v>
      </c>
      <c r="W202" s="72">
        <v>15801.12</v>
      </c>
      <c r="X202" s="72">
        <v>8404.92</v>
      </c>
      <c r="Y202" s="72">
        <v>3511.36</v>
      </c>
      <c r="Z202" s="72">
        <v>3067.41</v>
      </c>
      <c r="AA202" s="72">
        <v>86.15</v>
      </c>
      <c r="AB202" s="72">
        <v>1740</v>
      </c>
      <c r="AC202" s="72">
        <v>2804</v>
      </c>
      <c r="AD202" s="71">
        <v>45937</v>
      </c>
      <c r="AE202" s="70" t="s">
        <v>69</v>
      </c>
      <c r="AF202" s="70" t="s">
        <v>1515</v>
      </c>
      <c r="AG202" s="70" t="s">
        <v>486</v>
      </c>
      <c r="AH202" s="68"/>
      <c r="AI202" s="70" t="s">
        <v>487</v>
      </c>
      <c r="AJ202" s="70" t="s">
        <v>1519</v>
      </c>
      <c r="AK202" s="68"/>
      <c r="AL202" s="68"/>
      <c r="AM202" s="70" t="s">
        <v>960</v>
      </c>
      <c r="AN202" s="70" t="s">
        <v>1520</v>
      </c>
      <c r="AO202" s="70" t="s">
        <v>958</v>
      </c>
      <c r="AP202" s="70" t="s">
        <v>1521</v>
      </c>
      <c r="AQ202" s="70" t="s">
        <v>959</v>
      </c>
      <c r="AR202" s="70" t="s">
        <v>1514</v>
      </c>
      <c r="AS202" s="68"/>
      <c r="AT202" s="68"/>
      <c r="AU202" s="68"/>
      <c r="AV202" s="68"/>
      <c r="AW202" s="68"/>
      <c r="AX202" s="68"/>
      <c r="AY202" s="72">
        <v>31430.600000000002</v>
      </c>
      <c r="AZ202" s="72">
        <v>0</v>
      </c>
      <c r="BA202" s="70" t="s">
        <v>67</v>
      </c>
      <c r="BB202" s="70" t="s">
        <v>1044</v>
      </c>
      <c r="BC202" s="70" t="s">
        <v>3009</v>
      </c>
      <c r="BD202" s="70" t="s">
        <v>484</v>
      </c>
      <c r="BE202" s="70" t="s">
        <v>74</v>
      </c>
      <c r="BF202" s="70" t="s">
        <v>296</v>
      </c>
      <c r="BG202" s="68"/>
      <c r="BI202" s="68"/>
      <c r="BJ202" s="68"/>
      <c r="BK202" s="70">
        <v>4</v>
      </c>
      <c r="BL202" s="70">
        <v>4</v>
      </c>
      <c r="BM202" s="70" t="s">
        <v>2847</v>
      </c>
    </row>
    <row r="203" spans="1:65" x14ac:dyDescent="0.3">
      <c r="A203" s="70" t="str">
        <f t="shared" si="3"/>
        <v>001060</v>
      </c>
      <c r="B203" s="70" t="s">
        <v>61</v>
      </c>
      <c r="C203" s="70" t="s">
        <v>273</v>
      </c>
      <c r="D203" s="70" t="s">
        <v>286</v>
      </c>
      <c r="E203" s="70" t="s">
        <v>287</v>
      </c>
      <c r="F203" s="70" t="s">
        <v>2785</v>
      </c>
      <c r="G203" s="70" t="s">
        <v>2786</v>
      </c>
      <c r="H203" s="70" t="s">
        <v>313</v>
      </c>
      <c r="I203" s="70" t="s">
        <v>67</v>
      </c>
      <c r="J203" s="70" t="s">
        <v>314</v>
      </c>
      <c r="K203" s="71">
        <v>45443</v>
      </c>
      <c r="L203" s="71">
        <v>45992</v>
      </c>
      <c r="M203" s="72">
        <v>130000</v>
      </c>
      <c r="N203" s="72">
        <v>136943.01</v>
      </c>
      <c r="O203" s="73">
        <v>105</v>
      </c>
      <c r="P203" s="73">
        <v>18</v>
      </c>
      <c r="Q203" s="70" t="s">
        <v>68</v>
      </c>
      <c r="R203" s="72">
        <v>18565.189999999999</v>
      </c>
      <c r="S203" s="72">
        <v>1044</v>
      </c>
      <c r="T203" s="72">
        <v>2320</v>
      </c>
      <c r="U203" s="72">
        <v>0</v>
      </c>
      <c r="V203" s="72">
        <v>3.1</v>
      </c>
      <c r="W203" s="72">
        <v>68661.03</v>
      </c>
      <c r="X203" s="72">
        <v>59296.05</v>
      </c>
      <c r="Y203" s="72">
        <v>37217.96</v>
      </c>
      <c r="Z203" s="72">
        <v>19584.09</v>
      </c>
      <c r="AA203" s="72">
        <v>174</v>
      </c>
      <c r="AB203" s="72">
        <v>2320</v>
      </c>
      <c r="AC203" s="72">
        <v>6000</v>
      </c>
      <c r="AD203" s="71">
        <v>45941</v>
      </c>
      <c r="AE203" s="70" t="s">
        <v>69</v>
      </c>
      <c r="AF203" s="70" t="s">
        <v>315</v>
      </c>
      <c r="AG203" s="70" t="s">
        <v>316</v>
      </c>
      <c r="AH203" s="68"/>
      <c r="AI203" s="70" t="s">
        <v>98</v>
      </c>
      <c r="AJ203" s="70" t="s">
        <v>99</v>
      </c>
      <c r="AK203" s="68"/>
      <c r="AL203" s="68"/>
      <c r="AM203" s="70" t="s">
        <v>942</v>
      </c>
      <c r="AN203" s="70" t="s">
        <v>941</v>
      </c>
      <c r="AO203" s="70" t="s">
        <v>1253</v>
      </c>
      <c r="AP203" s="70" t="s">
        <v>1254</v>
      </c>
      <c r="AQ203" s="70" t="s">
        <v>1255</v>
      </c>
      <c r="AR203" s="70" t="s">
        <v>1256</v>
      </c>
      <c r="AS203" s="70" t="s">
        <v>122</v>
      </c>
      <c r="AT203" s="68" t="s">
        <v>317</v>
      </c>
      <c r="AU203" s="70" t="s">
        <v>318</v>
      </c>
      <c r="AV203" s="70" t="s">
        <v>122</v>
      </c>
      <c r="AW203" s="68" t="s">
        <v>319</v>
      </c>
      <c r="AX203" s="70" t="s">
        <v>320</v>
      </c>
      <c r="AY203" s="72">
        <v>90739.12</v>
      </c>
      <c r="AZ203" s="72">
        <v>0</v>
      </c>
      <c r="BA203" s="70" t="s">
        <v>67</v>
      </c>
      <c r="BB203" s="70" t="s">
        <v>77</v>
      </c>
      <c r="BC203" s="70" t="s">
        <v>2874</v>
      </c>
      <c r="BD203" s="70" t="s">
        <v>322</v>
      </c>
      <c r="BE203" s="70" t="s">
        <v>74</v>
      </c>
      <c r="BF203" s="70" t="s">
        <v>323</v>
      </c>
      <c r="BG203" s="68"/>
      <c r="BI203" s="68"/>
      <c r="BJ203" s="68"/>
      <c r="BK203" s="70">
        <v>11</v>
      </c>
      <c r="BL203" s="70">
        <v>7</v>
      </c>
      <c r="BM203" s="70" t="s">
        <v>2846</v>
      </c>
    </row>
    <row r="204" spans="1:65" x14ac:dyDescent="0.3">
      <c r="A204" s="70" t="str">
        <f t="shared" si="3"/>
        <v>001408</v>
      </c>
      <c r="B204" s="70" t="s">
        <v>61</v>
      </c>
      <c r="C204" s="70" t="s">
        <v>273</v>
      </c>
      <c r="D204" s="70" t="s">
        <v>1522</v>
      </c>
      <c r="E204" s="70" t="s">
        <v>614</v>
      </c>
      <c r="F204" s="70" t="s">
        <v>2785</v>
      </c>
      <c r="G204" s="70" t="s">
        <v>2786</v>
      </c>
      <c r="H204" s="70" t="s">
        <v>2471</v>
      </c>
      <c r="I204" s="70" t="s">
        <v>67</v>
      </c>
      <c r="J204" s="70" t="s">
        <v>1199</v>
      </c>
      <c r="K204" s="71">
        <v>45825</v>
      </c>
      <c r="L204" s="71">
        <v>46008</v>
      </c>
      <c r="M204" s="72">
        <v>10000</v>
      </c>
      <c r="N204" s="72">
        <v>10534.08</v>
      </c>
      <c r="O204" s="73">
        <v>57</v>
      </c>
      <c r="P204" s="73">
        <v>6</v>
      </c>
      <c r="Q204" s="70" t="s">
        <v>68</v>
      </c>
      <c r="R204" s="72">
        <v>2582.63</v>
      </c>
      <c r="S204" s="72">
        <v>348</v>
      </c>
      <c r="T204" s="72">
        <v>1160</v>
      </c>
      <c r="U204" s="72">
        <v>0</v>
      </c>
      <c r="V204" s="72">
        <v>2</v>
      </c>
      <c r="W204" s="72">
        <v>8778.4</v>
      </c>
      <c r="X204" s="72">
        <v>6324.27</v>
      </c>
      <c r="Y204" s="72">
        <v>3511.36</v>
      </c>
      <c r="Z204" s="72">
        <v>1537.91</v>
      </c>
      <c r="AA204" s="72">
        <v>115</v>
      </c>
      <c r="AB204" s="72">
        <v>1160</v>
      </c>
      <c r="AC204" s="72">
        <v>2583.63</v>
      </c>
      <c r="AD204" s="71">
        <v>45859</v>
      </c>
      <c r="AE204" s="70" t="s">
        <v>69</v>
      </c>
      <c r="AF204" s="70" t="s">
        <v>2472</v>
      </c>
      <c r="AG204" s="70" t="s">
        <v>1200</v>
      </c>
      <c r="AH204" s="68"/>
      <c r="AI204" s="70" t="s">
        <v>1201</v>
      </c>
      <c r="AJ204" s="70" t="s">
        <v>2049</v>
      </c>
      <c r="AK204" s="68"/>
      <c r="AL204" s="68"/>
      <c r="AM204" s="70" t="s">
        <v>1202</v>
      </c>
      <c r="AN204" s="70" t="s">
        <v>2473</v>
      </c>
      <c r="AO204" s="70" t="s">
        <v>1203</v>
      </c>
      <c r="AP204" s="70" t="s">
        <v>2474</v>
      </c>
      <c r="AQ204" s="70" t="s">
        <v>1204</v>
      </c>
      <c r="AR204" s="70" t="s">
        <v>2475</v>
      </c>
      <c r="AS204" s="68"/>
      <c r="AT204" s="68"/>
      <c r="AU204" s="68"/>
      <c r="AV204" s="68"/>
      <c r="AW204" s="68"/>
      <c r="AX204" s="68"/>
      <c r="AY204" s="72">
        <v>13898.17</v>
      </c>
      <c r="AZ204" s="72">
        <v>0</v>
      </c>
      <c r="BA204" s="70" t="s">
        <v>67</v>
      </c>
      <c r="BB204" s="70" t="s">
        <v>1044</v>
      </c>
      <c r="BC204" s="70" t="s">
        <v>2903</v>
      </c>
      <c r="BD204" s="70" t="s">
        <v>1206</v>
      </c>
      <c r="BE204" s="70" t="s">
        <v>74</v>
      </c>
      <c r="BF204" s="70" t="s">
        <v>285</v>
      </c>
      <c r="BG204" s="70" t="s">
        <v>1207</v>
      </c>
      <c r="BH204" s="70"/>
      <c r="BI204" s="68"/>
      <c r="BJ204" s="68"/>
      <c r="BK204" s="70">
        <v>3</v>
      </c>
      <c r="BL204" s="70">
        <v>3</v>
      </c>
      <c r="BM204" s="70" t="s">
        <v>2847</v>
      </c>
    </row>
    <row r="205" spans="1:65" x14ac:dyDescent="0.3">
      <c r="A205" s="70" t="str">
        <f t="shared" si="3"/>
        <v>001263</v>
      </c>
      <c r="B205" s="70" t="s">
        <v>61</v>
      </c>
      <c r="C205" s="70" t="s">
        <v>273</v>
      </c>
      <c r="D205" s="70" t="s">
        <v>408</v>
      </c>
      <c r="E205" s="70" t="s">
        <v>409</v>
      </c>
      <c r="F205" s="70" t="s">
        <v>2785</v>
      </c>
      <c r="G205" s="70" t="s">
        <v>2786</v>
      </c>
      <c r="H205" s="70" t="s">
        <v>439</v>
      </c>
      <c r="I205" s="70" t="s">
        <v>67</v>
      </c>
      <c r="J205" s="70" t="s">
        <v>440</v>
      </c>
      <c r="K205" s="71">
        <v>45770</v>
      </c>
      <c r="L205" s="71">
        <v>46135</v>
      </c>
      <c r="M205" s="72">
        <v>15000</v>
      </c>
      <c r="N205" s="72">
        <v>15801.12</v>
      </c>
      <c r="O205" s="73">
        <v>50</v>
      </c>
      <c r="P205" s="73">
        <v>12</v>
      </c>
      <c r="Q205" s="70" t="s">
        <v>68</v>
      </c>
      <c r="R205" s="72">
        <v>2525.04</v>
      </c>
      <c r="S205" s="72">
        <v>696</v>
      </c>
      <c r="T205" s="72">
        <v>1160</v>
      </c>
      <c r="U205" s="72">
        <v>0</v>
      </c>
      <c r="V205" s="72">
        <v>1.1000000000000001</v>
      </c>
      <c r="W205" s="72">
        <v>10759.23</v>
      </c>
      <c r="X205" s="72">
        <v>3910.19</v>
      </c>
      <c r="Y205" s="72">
        <v>1541.91</v>
      </c>
      <c r="Z205" s="72">
        <v>1150.28</v>
      </c>
      <c r="AA205" s="72">
        <v>58</v>
      </c>
      <c r="AB205" s="72">
        <v>1160</v>
      </c>
      <c r="AC205" s="72">
        <v>2000</v>
      </c>
      <c r="AD205" s="71">
        <v>45938</v>
      </c>
      <c r="AE205" s="70" t="s">
        <v>69</v>
      </c>
      <c r="AF205" s="70" t="s">
        <v>441</v>
      </c>
      <c r="AG205" s="70" t="s">
        <v>442</v>
      </c>
      <c r="AH205" s="68"/>
      <c r="AI205" s="70" t="s">
        <v>86</v>
      </c>
      <c r="AJ205" s="70" t="s">
        <v>87</v>
      </c>
      <c r="AK205" s="68"/>
      <c r="AL205" s="68"/>
      <c r="AM205" s="70" t="s">
        <v>973</v>
      </c>
      <c r="AN205" s="70" t="s">
        <v>1295</v>
      </c>
      <c r="AO205" s="70" t="s">
        <v>970</v>
      </c>
      <c r="AP205" s="70" t="s">
        <v>971</v>
      </c>
      <c r="AQ205" s="70" t="s">
        <v>972</v>
      </c>
      <c r="AR205" s="70" t="s">
        <v>1296</v>
      </c>
      <c r="AS205" s="68"/>
      <c r="AT205" s="68"/>
      <c r="AU205" s="68"/>
      <c r="AV205" s="68"/>
      <c r="AW205" s="68"/>
      <c r="AX205" s="68"/>
      <c r="AY205" s="72">
        <v>21179.45</v>
      </c>
      <c r="AZ205" s="72">
        <v>0</v>
      </c>
      <c r="BA205" s="70" t="s">
        <v>67</v>
      </c>
      <c r="BB205" s="70" t="s">
        <v>1044</v>
      </c>
      <c r="BC205" s="70" t="s">
        <v>2881</v>
      </c>
      <c r="BD205" s="70" t="s">
        <v>444</v>
      </c>
      <c r="BE205" s="70" t="s">
        <v>74</v>
      </c>
      <c r="BF205" s="70" t="s">
        <v>445</v>
      </c>
      <c r="BG205" s="68"/>
      <c r="BI205" s="68"/>
      <c r="BJ205" s="68"/>
      <c r="BK205" s="70">
        <v>4</v>
      </c>
      <c r="BL205" s="70">
        <v>4</v>
      </c>
      <c r="BM205" s="70" t="s">
        <v>2847</v>
      </c>
    </row>
    <row r="206" spans="1:65" x14ac:dyDescent="0.3">
      <c r="A206" s="70" t="str">
        <f t="shared" si="3"/>
        <v>001400</v>
      </c>
      <c r="B206" s="70" t="s">
        <v>61</v>
      </c>
      <c r="C206" s="70" t="s">
        <v>273</v>
      </c>
      <c r="D206" s="70" t="s">
        <v>1522</v>
      </c>
      <c r="E206" s="70" t="s">
        <v>614</v>
      </c>
      <c r="F206" s="70" t="s">
        <v>2785</v>
      </c>
      <c r="G206" s="70" t="s">
        <v>2786</v>
      </c>
      <c r="H206" s="70" t="s">
        <v>2476</v>
      </c>
      <c r="I206" s="70" t="s">
        <v>67</v>
      </c>
      <c r="J206" s="70" t="s">
        <v>1166</v>
      </c>
      <c r="K206" s="71">
        <v>45821</v>
      </c>
      <c r="L206" s="71">
        <v>46004</v>
      </c>
      <c r="M206" s="72">
        <v>5000</v>
      </c>
      <c r="N206" s="72">
        <v>5267.04</v>
      </c>
      <c r="O206" s="73">
        <v>29</v>
      </c>
      <c r="P206" s="73">
        <v>6</v>
      </c>
      <c r="Q206" s="70" t="s">
        <v>68</v>
      </c>
      <c r="R206" s="72">
        <v>1320.32</v>
      </c>
      <c r="S206" s="72">
        <v>348</v>
      </c>
      <c r="T206" s="72">
        <v>580</v>
      </c>
      <c r="U206" s="72">
        <v>0</v>
      </c>
      <c r="V206" s="72">
        <v>1.5</v>
      </c>
      <c r="W206" s="72">
        <v>3213.51</v>
      </c>
      <c r="X206" s="72">
        <v>2480.31</v>
      </c>
      <c r="Y206" s="72">
        <v>1457.83</v>
      </c>
      <c r="Z206" s="72">
        <v>384.48</v>
      </c>
      <c r="AA206" s="72">
        <v>58</v>
      </c>
      <c r="AB206" s="72">
        <v>580</v>
      </c>
      <c r="AC206" s="72">
        <v>1320.32</v>
      </c>
      <c r="AD206" s="71">
        <v>45940</v>
      </c>
      <c r="AE206" s="70" t="s">
        <v>69</v>
      </c>
      <c r="AF206" s="70" t="s">
        <v>2477</v>
      </c>
      <c r="AG206" s="70" t="s">
        <v>1167</v>
      </c>
      <c r="AH206" s="68"/>
      <c r="AI206" s="70" t="s">
        <v>192</v>
      </c>
      <c r="AJ206" s="70" t="s">
        <v>193</v>
      </c>
      <c r="AK206" s="70" t="s">
        <v>1168</v>
      </c>
      <c r="AL206" s="68"/>
      <c r="AM206" s="70" t="s">
        <v>1169</v>
      </c>
      <c r="AN206" s="70" t="s">
        <v>2478</v>
      </c>
      <c r="AO206" s="70" t="s">
        <v>1170</v>
      </c>
      <c r="AP206" s="70" t="s">
        <v>2479</v>
      </c>
      <c r="AQ206" s="70" t="s">
        <v>1171</v>
      </c>
      <c r="AR206" s="70" t="s">
        <v>2480</v>
      </c>
      <c r="AS206" s="68"/>
      <c r="AT206" s="68"/>
      <c r="AU206" s="68"/>
      <c r="AV206" s="68"/>
      <c r="AW206" s="68"/>
      <c r="AX206" s="68"/>
      <c r="AY206" s="72">
        <v>5004.9400000000005</v>
      </c>
      <c r="AZ206" s="72">
        <v>0</v>
      </c>
      <c r="BA206" s="70" t="s">
        <v>67</v>
      </c>
      <c r="BB206" s="70" t="s">
        <v>1044</v>
      </c>
      <c r="BC206" s="70" t="s">
        <v>1172</v>
      </c>
      <c r="BD206" s="70" t="s">
        <v>687</v>
      </c>
      <c r="BE206" s="70" t="s">
        <v>74</v>
      </c>
      <c r="BF206" s="70" t="s">
        <v>273</v>
      </c>
      <c r="BG206" s="70" t="s">
        <v>1173</v>
      </c>
      <c r="BH206" s="70"/>
      <c r="BI206" s="68"/>
      <c r="BJ206" s="68"/>
      <c r="BK206" s="70">
        <v>2</v>
      </c>
      <c r="BL206" s="70">
        <v>2</v>
      </c>
      <c r="BM206" s="70" t="s">
        <v>2847</v>
      </c>
    </row>
    <row r="207" spans="1:65" x14ac:dyDescent="0.3">
      <c r="A207" s="70" t="str">
        <f t="shared" si="3"/>
        <v>001392</v>
      </c>
      <c r="B207" s="70" t="s">
        <v>61</v>
      </c>
      <c r="C207" s="70" t="s">
        <v>392</v>
      </c>
      <c r="D207" s="70" t="s">
        <v>657</v>
      </c>
      <c r="E207" s="70" t="s">
        <v>658</v>
      </c>
      <c r="F207" s="70" t="s">
        <v>590</v>
      </c>
      <c r="G207" s="70" t="s">
        <v>2763</v>
      </c>
      <c r="H207" s="70" t="s">
        <v>1539</v>
      </c>
      <c r="I207" s="70" t="s">
        <v>67</v>
      </c>
      <c r="J207" s="70" t="s">
        <v>1208</v>
      </c>
      <c r="K207" s="71">
        <v>45825</v>
      </c>
      <c r="L207" s="71">
        <v>45993</v>
      </c>
      <c r="M207" s="72">
        <v>8000</v>
      </c>
      <c r="N207" s="72">
        <v>8427.26</v>
      </c>
      <c r="O207" s="73">
        <v>7</v>
      </c>
      <c r="P207" s="73">
        <v>12</v>
      </c>
      <c r="Q207" s="70" t="s">
        <v>496</v>
      </c>
      <c r="R207" s="72">
        <v>1042.6400000000001</v>
      </c>
      <c r="S207" s="72">
        <v>696</v>
      </c>
      <c r="T207" s="72">
        <v>0</v>
      </c>
      <c r="U207" s="72">
        <v>8</v>
      </c>
      <c r="V207" s="72">
        <v>0.2</v>
      </c>
      <c r="W207" s="72">
        <v>2968.2200000000003</v>
      </c>
      <c r="X207" s="72">
        <v>159.13330000000002</v>
      </c>
      <c r="Y207" s="72">
        <v>159.13</v>
      </c>
      <c r="Z207" s="72">
        <v>0</v>
      </c>
      <c r="AA207" s="72">
        <v>0</v>
      </c>
      <c r="AB207" s="72">
        <v>0</v>
      </c>
      <c r="AC207" s="72">
        <v>1050</v>
      </c>
      <c r="AD207" s="71">
        <v>45940</v>
      </c>
      <c r="AE207" s="70" t="s">
        <v>69</v>
      </c>
      <c r="AF207" s="70" t="s">
        <v>1540</v>
      </c>
      <c r="AG207" s="70" t="s">
        <v>1209</v>
      </c>
      <c r="AH207" s="68"/>
      <c r="AI207" s="70" t="s">
        <v>98</v>
      </c>
      <c r="AJ207" s="70" t="s">
        <v>99</v>
      </c>
      <c r="AK207" s="68"/>
      <c r="AL207" s="68"/>
      <c r="AM207" s="70" t="s">
        <v>1210</v>
      </c>
      <c r="AN207" s="70" t="s">
        <v>1541</v>
      </c>
      <c r="AO207" s="70" t="s">
        <v>1211</v>
      </c>
      <c r="AP207" s="70" t="s">
        <v>1542</v>
      </c>
      <c r="AQ207" s="70" t="s">
        <v>1212</v>
      </c>
      <c r="AR207" s="70" t="s">
        <v>1543</v>
      </c>
      <c r="AS207" s="68"/>
      <c r="AT207" s="68"/>
      <c r="AU207" s="68"/>
      <c r="AV207" s="68"/>
      <c r="AW207" s="68"/>
      <c r="AX207" s="68"/>
      <c r="AY207" s="72">
        <v>4097.6900000000005</v>
      </c>
      <c r="AZ207" s="72">
        <v>0</v>
      </c>
      <c r="BA207" s="70" t="s">
        <v>67</v>
      </c>
      <c r="BB207" s="70" t="s">
        <v>1044</v>
      </c>
      <c r="BC207" s="70" t="s">
        <v>2875</v>
      </c>
      <c r="BD207" s="70" t="s">
        <v>1214</v>
      </c>
      <c r="BE207" s="70" t="s">
        <v>74</v>
      </c>
      <c r="BF207" s="70" t="s">
        <v>670</v>
      </c>
      <c r="BG207" s="70" t="s">
        <v>1215</v>
      </c>
      <c r="BH207" s="70"/>
      <c r="BI207" s="68"/>
      <c r="BJ207" s="68"/>
      <c r="BK207" s="70">
        <v>5</v>
      </c>
      <c r="BL207" s="70">
        <v>4</v>
      </c>
      <c r="BM207" s="70" t="s">
        <v>2847</v>
      </c>
    </row>
    <row r="208" spans="1:65" x14ac:dyDescent="0.3">
      <c r="A208" s="70" t="str">
        <f t="shared" si="3"/>
        <v>001405</v>
      </c>
      <c r="B208" s="70" t="s">
        <v>61</v>
      </c>
      <c r="C208" s="70" t="s">
        <v>392</v>
      </c>
      <c r="D208" s="70" t="s">
        <v>1544</v>
      </c>
      <c r="E208" s="70" t="s">
        <v>1068</v>
      </c>
      <c r="F208" s="70" t="s">
        <v>590</v>
      </c>
      <c r="G208" s="70" t="s">
        <v>2763</v>
      </c>
      <c r="H208" s="70" t="s">
        <v>2491</v>
      </c>
      <c r="I208" s="70" t="s">
        <v>67</v>
      </c>
      <c r="J208" s="70" t="s">
        <v>1184</v>
      </c>
      <c r="K208" s="71">
        <v>45824</v>
      </c>
      <c r="L208" s="71">
        <v>46007</v>
      </c>
      <c r="M208" s="72">
        <v>10000</v>
      </c>
      <c r="N208" s="72">
        <v>10534.08</v>
      </c>
      <c r="O208" s="73">
        <v>0</v>
      </c>
      <c r="P208" s="73">
        <v>6</v>
      </c>
      <c r="Q208" s="70" t="s">
        <v>68</v>
      </c>
      <c r="R208" s="72">
        <v>2582.63</v>
      </c>
      <c r="S208" s="72">
        <v>348</v>
      </c>
      <c r="T208" s="72">
        <v>0</v>
      </c>
      <c r="U208" s="72">
        <v>0</v>
      </c>
      <c r="V208" s="72">
        <v>0</v>
      </c>
      <c r="W208" s="72">
        <v>5267.04</v>
      </c>
      <c r="X208" s="72">
        <v>0</v>
      </c>
      <c r="Y208" s="72">
        <v>0</v>
      </c>
      <c r="Z208" s="72">
        <v>0</v>
      </c>
      <c r="AA208" s="74">
        <v>0</v>
      </c>
      <c r="AB208" s="72">
        <v>0</v>
      </c>
      <c r="AC208" s="72">
        <v>2583</v>
      </c>
      <c r="AD208" s="71">
        <v>45917</v>
      </c>
      <c r="AE208" s="70" t="s">
        <v>69</v>
      </c>
      <c r="AF208" s="70" t="s">
        <v>2492</v>
      </c>
      <c r="AG208" s="70" t="s">
        <v>1185</v>
      </c>
      <c r="AH208" s="68"/>
      <c r="AI208" s="70" t="s">
        <v>89</v>
      </c>
      <c r="AJ208" s="70" t="s">
        <v>90</v>
      </c>
      <c r="AK208" s="70" t="s">
        <v>1186</v>
      </c>
      <c r="AL208" s="70" t="s">
        <v>2493</v>
      </c>
      <c r="AM208" s="70" t="s">
        <v>1187</v>
      </c>
      <c r="AN208" s="70" t="s">
        <v>2494</v>
      </c>
      <c r="AO208" s="70" t="s">
        <v>1188</v>
      </c>
      <c r="AP208" s="70" t="s">
        <v>2495</v>
      </c>
      <c r="AQ208" s="70" t="s">
        <v>1189</v>
      </c>
      <c r="AR208" s="70" t="s">
        <v>2496</v>
      </c>
      <c r="AS208" s="68"/>
      <c r="AT208" s="68"/>
      <c r="AU208" s="68"/>
      <c r="AV208" s="68"/>
      <c r="AW208" s="68"/>
      <c r="AX208" s="68"/>
      <c r="AY208" s="72">
        <v>7572.8</v>
      </c>
      <c r="AZ208" s="72">
        <v>1.1018208</v>
      </c>
      <c r="BA208" s="70" t="s">
        <v>67</v>
      </c>
      <c r="BB208" s="70" t="s">
        <v>1044</v>
      </c>
      <c r="BC208" s="70" t="s">
        <v>2998</v>
      </c>
      <c r="BD208" s="70" t="s">
        <v>1191</v>
      </c>
      <c r="BE208" s="70" t="s">
        <v>74</v>
      </c>
      <c r="BF208" s="70" t="s">
        <v>392</v>
      </c>
      <c r="BG208" s="70" t="s">
        <v>1192</v>
      </c>
      <c r="BH208" s="70"/>
      <c r="BI208" s="68"/>
      <c r="BJ208" s="68"/>
      <c r="BK208" s="70">
        <v>0</v>
      </c>
      <c r="BL208" s="70">
        <v>0</v>
      </c>
      <c r="BM208" s="70" t="s">
        <v>2847</v>
      </c>
    </row>
    <row r="209" spans="1:65" x14ac:dyDescent="0.3">
      <c r="A209" s="70" t="str">
        <f t="shared" ref="A209:A220" si="4">H209</f>
        <v>001449</v>
      </c>
      <c r="B209" s="70" t="s">
        <v>61</v>
      </c>
      <c r="C209" s="70" t="s">
        <v>392</v>
      </c>
      <c r="D209" s="70" t="s">
        <v>1544</v>
      </c>
      <c r="E209" s="70" t="s">
        <v>1068</v>
      </c>
      <c r="F209" s="70" t="s">
        <v>590</v>
      </c>
      <c r="G209" s="70" t="s">
        <v>2763</v>
      </c>
      <c r="H209" s="70" t="s">
        <v>2497</v>
      </c>
      <c r="I209" s="70" t="s">
        <v>67</v>
      </c>
      <c r="J209" s="70" t="s">
        <v>1365</v>
      </c>
      <c r="K209" s="71">
        <v>45834</v>
      </c>
      <c r="L209" s="71">
        <v>46023</v>
      </c>
      <c r="M209" s="72">
        <v>20000</v>
      </c>
      <c r="N209" s="72">
        <v>21068.16</v>
      </c>
      <c r="O209" s="73">
        <v>0</v>
      </c>
      <c r="P209" s="73">
        <v>6</v>
      </c>
      <c r="Q209" s="70" t="s">
        <v>68</v>
      </c>
      <c r="R209" s="72">
        <v>5115.67</v>
      </c>
      <c r="S209" s="72">
        <v>348</v>
      </c>
      <c r="T209" s="72">
        <v>0</v>
      </c>
      <c r="U209" s="72">
        <v>0</v>
      </c>
      <c r="V209" s="72">
        <v>0</v>
      </c>
      <c r="W209" s="72">
        <v>10534.08</v>
      </c>
      <c r="X209" s="72">
        <v>0</v>
      </c>
      <c r="Y209" s="72">
        <v>0</v>
      </c>
      <c r="Z209" s="72">
        <v>0</v>
      </c>
      <c r="AA209" s="72">
        <v>0</v>
      </c>
      <c r="AB209" s="72">
        <v>0</v>
      </c>
      <c r="AC209" s="72">
        <v>10811.34</v>
      </c>
      <c r="AD209" s="71">
        <v>45903</v>
      </c>
      <c r="AE209" s="70" t="s">
        <v>69</v>
      </c>
      <c r="AF209" s="70" t="s">
        <v>2498</v>
      </c>
      <c r="AG209" s="70" t="s">
        <v>2815</v>
      </c>
      <c r="AH209" s="68"/>
      <c r="AI209" s="70" t="s">
        <v>256</v>
      </c>
      <c r="AJ209" s="70" t="s">
        <v>257</v>
      </c>
      <c r="AK209" s="68"/>
      <c r="AL209" s="68"/>
      <c r="AM209" s="70" t="s">
        <v>1366</v>
      </c>
      <c r="AN209" s="70" t="s">
        <v>2499</v>
      </c>
      <c r="AO209" s="70" t="s">
        <v>1367</v>
      </c>
      <c r="AP209" s="70" t="s">
        <v>2500</v>
      </c>
      <c r="AQ209" s="70" t="s">
        <v>1368</v>
      </c>
      <c r="AR209" s="70" t="s">
        <v>2501</v>
      </c>
      <c r="AS209" s="68"/>
      <c r="AT209" s="68"/>
      <c r="AU209" s="68"/>
      <c r="AV209" s="68"/>
      <c r="AW209" s="68"/>
      <c r="AX209" s="68"/>
      <c r="AY209" s="72">
        <v>15173.01</v>
      </c>
      <c r="AZ209" s="72">
        <v>2.0768000000000002E-3</v>
      </c>
      <c r="BA209" s="70" t="s">
        <v>67</v>
      </c>
      <c r="BB209" s="70" t="s">
        <v>1044</v>
      </c>
      <c r="BC209" s="70" t="s">
        <v>2944</v>
      </c>
      <c r="BD209" s="70" t="s">
        <v>1696</v>
      </c>
      <c r="BE209" s="70" t="s">
        <v>74</v>
      </c>
      <c r="BF209" s="70" t="s">
        <v>392</v>
      </c>
      <c r="BG209" s="70" t="s">
        <v>1369</v>
      </c>
      <c r="BH209" s="70"/>
      <c r="BI209" s="68"/>
      <c r="BJ209" s="68"/>
      <c r="BK209" s="70">
        <v>1</v>
      </c>
      <c r="BL209" s="70">
        <v>1</v>
      </c>
      <c r="BM209" s="70" t="s">
        <v>2847</v>
      </c>
    </row>
    <row r="210" spans="1:65" x14ac:dyDescent="0.3">
      <c r="A210" s="70" t="str">
        <f t="shared" si="4"/>
        <v>001447</v>
      </c>
      <c r="B210" s="70" t="s">
        <v>61</v>
      </c>
      <c r="C210" s="70" t="s">
        <v>392</v>
      </c>
      <c r="D210" s="70" t="s">
        <v>1544</v>
      </c>
      <c r="E210" s="70" t="s">
        <v>1068</v>
      </c>
      <c r="F210" s="70" t="s">
        <v>590</v>
      </c>
      <c r="G210" s="70" t="s">
        <v>2763</v>
      </c>
      <c r="H210" s="70" t="s">
        <v>2502</v>
      </c>
      <c r="I210" s="70" t="s">
        <v>67</v>
      </c>
      <c r="J210" s="70" t="s">
        <v>1370</v>
      </c>
      <c r="K210" s="71">
        <v>45835</v>
      </c>
      <c r="L210" s="71">
        <v>46023</v>
      </c>
      <c r="M210" s="72">
        <v>20000</v>
      </c>
      <c r="N210" s="72">
        <v>21068.16</v>
      </c>
      <c r="O210" s="73">
        <v>43</v>
      </c>
      <c r="P210" s="73">
        <v>6</v>
      </c>
      <c r="Q210" s="70" t="s">
        <v>68</v>
      </c>
      <c r="R210" s="72">
        <v>5149.28</v>
      </c>
      <c r="S210" s="72">
        <v>348</v>
      </c>
      <c r="T210" s="72">
        <v>580</v>
      </c>
      <c r="U210" s="72">
        <v>0</v>
      </c>
      <c r="V210" s="72">
        <v>1.2</v>
      </c>
      <c r="W210" s="72">
        <v>15044.01</v>
      </c>
      <c r="X210" s="72">
        <v>6727.8529232000001</v>
      </c>
      <c r="Y210" s="72">
        <v>4509.93</v>
      </c>
      <c r="Z210" s="72">
        <v>1579.92</v>
      </c>
      <c r="AA210" s="72">
        <v>58</v>
      </c>
      <c r="AB210" s="72">
        <v>580</v>
      </c>
      <c r="AC210" s="72">
        <v>1730</v>
      </c>
      <c r="AD210" s="71">
        <v>45909</v>
      </c>
      <c r="AE210" s="70" t="s">
        <v>69</v>
      </c>
      <c r="AF210" s="70" t="s">
        <v>2503</v>
      </c>
      <c r="AG210" s="70" t="s">
        <v>1371</v>
      </c>
      <c r="AH210" s="68"/>
      <c r="AI210" s="70" t="s">
        <v>1372</v>
      </c>
      <c r="AJ210" s="70" t="s">
        <v>2504</v>
      </c>
      <c r="AK210" s="70" t="s">
        <v>1373</v>
      </c>
      <c r="AL210" s="70" t="s">
        <v>2505</v>
      </c>
      <c r="AM210" s="70" t="s">
        <v>1374</v>
      </c>
      <c r="AN210" s="70" t="s">
        <v>2506</v>
      </c>
      <c r="AO210" s="70" t="s">
        <v>1375</v>
      </c>
      <c r="AP210" s="70" t="s">
        <v>2507</v>
      </c>
      <c r="AQ210" s="70" t="s">
        <v>1376</v>
      </c>
      <c r="AR210" s="70" t="s">
        <v>2508</v>
      </c>
      <c r="AS210" s="68"/>
      <c r="AT210" s="68"/>
      <c r="AU210" s="68"/>
      <c r="AV210" s="68"/>
      <c r="AW210" s="68"/>
      <c r="AX210" s="68"/>
      <c r="AY210" s="72">
        <v>22001.71</v>
      </c>
      <c r="AZ210" s="72">
        <v>0</v>
      </c>
      <c r="BA210" s="70" t="s">
        <v>67</v>
      </c>
      <c r="BB210" s="70" t="s">
        <v>1044</v>
      </c>
      <c r="BC210" s="70" t="s">
        <v>2899</v>
      </c>
      <c r="BD210" s="70" t="s">
        <v>641</v>
      </c>
      <c r="BE210" s="70" t="s">
        <v>74</v>
      </c>
      <c r="BF210" s="70" t="s">
        <v>392</v>
      </c>
      <c r="BG210" s="70" t="s">
        <v>1378</v>
      </c>
      <c r="BH210" s="70"/>
      <c r="BI210" s="68"/>
      <c r="BJ210" s="68"/>
      <c r="BK210" s="70">
        <v>2</v>
      </c>
      <c r="BL210" s="70">
        <v>2</v>
      </c>
      <c r="BM210" s="70" t="s">
        <v>2847</v>
      </c>
    </row>
    <row r="211" spans="1:65" x14ac:dyDescent="0.3">
      <c r="A211" s="70" t="str">
        <f t="shared" si="4"/>
        <v>001388</v>
      </c>
      <c r="B211" s="70" t="s">
        <v>61</v>
      </c>
      <c r="C211" s="70" t="s">
        <v>392</v>
      </c>
      <c r="D211" s="70" t="s">
        <v>1551</v>
      </c>
      <c r="E211" s="70" t="s">
        <v>1131</v>
      </c>
      <c r="F211" s="70" t="s">
        <v>590</v>
      </c>
      <c r="G211" s="70" t="s">
        <v>2763</v>
      </c>
      <c r="H211" s="70" t="s">
        <v>2509</v>
      </c>
      <c r="I211" s="70" t="s">
        <v>67</v>
      </c>
      <c r="J211" s="70" t="s">
        <v>1132</v>
      </c>
      <c r="K211" s="71">
        <v>45818</v>
      </c>
      <c r="L211" s="71">
        <v>46001</v>
      </c>
      <c r="M211" s="72">
        <v>40000</v>
      </c>
      <c r="N211" s="72">
        <v>42136.31</v>
      </c>
      <c r="O211" s="73">
        <v>0</v>
      </c>
      <c r="P211" s="73">
        <v>6</v>
      </c>
      <c r="Q211" s="70" t="s">
        <v>68</v>
      </c>
      <c r="R211" s="72">
        <v>10156.530000000001</v>
      </c>
      <c r="S211" s="72">
        <v>348</v>
      </c>
      <c r="T211" s="72">
        <v>580</v>
      </c>
      <c r="U211" s="72">
        <v>0</v>
      </c>
      <c r="V211" s="72">
        <v>0</v>
      </c>
      <c r="W211" s="72">
        <v>14045.44</v>
      </c>
      <c r="X211" s="72">
        <v>579.05403586666705</v>
      </c>
      <c r="Y211" s="72">
        <v>0</v>
      </c>
      <c r="Z211" s="72">
        <v>0</v>
      </c>
      <c r="AA211" s="74">
        <v>0</v>
      </c>
      <c r="AB211" s="72">
        <v>580</v>
      </c>
      <c r="AC211" s="72">
        <v>10157</v>
      </c>
      <c r="AD211" s="71">
        <v>45941</v>
      </c>
      <c r="AE211" s="70" t="s">
        <v>69</v>
      </c>
      <c r="AF211" s="70" t="s">
        <v>2510</v>
      </c>
      <c r="AG211" s="70" t="s">
        <v>1133</v>
      </c>
      <c r="AH211" s="68"/>
      <c r="AI211" s="70" t="s">
        <v>1134</v>
      </c>
      <c r="AJ211" s="70" t="s">
        <v>2511</v>
      </c>
      <c r="AK211" s="70" t="s">
        <v>1135</v>
      </c>
      <c r="AL211" s="70" t="s">
        <v>2512</v>
      </c>
      <c r="AM211" s="70" t="s">
        <v>1136</v>
      </c>
      <c r="AN211" s="70" t="s">
        <v>2513</v>
      </c>
      <c r="AO211" s="70" t="s">
        <v>1137</v>
      </c>
      <c r="AP211" s="70" t="s">
        <v>2514</v>
      </c>
      <c r="AQ211" s="70" t="s">
        <v>1138</v>
      </c>
      <c r="AR211" s="70" t="s">
        <v>2515</v>
      </c>
      <c r="AS211" s="68"/>
      <c r="AT211" s="68"/>
      <c r="AU211" s="68"/>
      <c r="AV211" s="68"/>
      <c r="AW211" s="68"/>
      <c r="AX211" s="68"/>
      <c r="AY211" s="72">
        <v>20776.11</v>
      </c>
      <c r="AZ211" s="72">
        <v>0</v>
      </c>
      <c r="BA211" s="70" t="s">
        <v>67</v>
      </c>
      <c r="BB211" s="70" t="s">
        <v>1044</v>
      </c>
      <c r="BC211" s="70" t="s">
        <v>2873</v>
      </c>
      <c r="BD211" s="70" t="s">
        <v>1140</v>
      </c>
      <c r="BE211" s="70" t="s">
        <v>74</v>
      </c>
      <c r="BF211" s="70" t="s">
        <v>1141</v>
      </c>
      <c r="BG211" s="70" t="s">
        <v>1142</v>
      </c>
      <c r="BH211" s="70"/>
      <c r="BI211" s="68"/>
      <c r="BJ211" s="68"/>
      <c r="BK211" s="70">
        <v>1</v>
      </c>
      <c r="BL211" s="70">
        <v>1</v>
      </c>
      <c r="BM211" s="70" t="s">
        <v>2847</v>
      </c>
    </row>
    <row r="212" spans="1:65" x14ac:dyDescent="0.3">
      <c r="A212" s="70" t="str">
        <f t="shared" si="4"/>
        <v>001609</v>
      </c>
      <c r="B212" s="70" t="s">
        <v>61</v>
      </c>
      <c r="C212" s="70" t="s">
        <v>392</v>
      </c>
      <c r="D212" s="70" t="s">
        <v>633</v>
      </c>
      <c r="E212" s="70" t="s">
        <v>634</v>
      </c>
      <c r="F212" s="70" t="s">
        <v>590</v>
      </c>
      <c r="G212" s="70" t="s">
        <v>2763</v>
      </c>
      <c r="H212" s="70" t="s">
        <v>2699</v>
      </c>
      <c r="I212" s="70" t="s">
        <v>67</v>
      </c>
      <c r="J212" s="70" t="s">
        <v>2700</v>
      </c>
      <c r="K212" s="71">
        <v>45873</v>
      </c>
      <c r="L212" s="71">
        <v>46238</v>
      </c>
      <c r="M212" s="72">
        <v>20000</v>
      </c>
      <c r="N212" s="72">
        <v>21068.16</v>
      </c>
      <c r="O212" s="73">
        <v>40</v>
      </c>
      <c r="P212" s="73">
        <v>12</v>
      </c>
      <c r="Q212" s="70" t="s">
        <v>68</v>
      </c>
      <c r="R212" s="72">
        <v>3347.38</v>
      </c>
      <c r="S212" s="72">
        <v>696</v>
      </c>
      <c r="T212" s="72">
        <v>1160</v>
      </c>
      <c r="U212" s="72">
        <v>0</v>
      </c>
      <c r="V212" s="72">
        <v>2</v>
      </c>
      <c r="W212" s="72">
        <v>21068.16</v>
      </c>
      <c r="X212" s="72">
        <v>7854.77</v>
      </c>
      <c r="Y212" s="72">
        <v>3511.36</v>
      </c>
      <c r="Z212" s="72">
        <v>3067.41</v>
      </c>
      <c r="AA212" s="72">
        <v>116</v>
      </c>
      <c r="AB212" s="72">
        <v>1160</v>
      </c>
      <c r="AC212" s="68"/>
      <c r="AD212" s="68"/>
      <c r="AE212" s="70" t="s">
        <v>69</v>
      </c>
      <c r="AF212" s="70" t="s">
        <v>2701</v>
      </c>
      <c r="AG212" s="70" t="s">
        <v>2702</v>
      </c>
      <c r="AH212" s="68"/>
      <c r="AI212" s="70" t="s">
        <v>2703</v>
      </c>
      <c r="AJ212" s="70" t="s">
        <v>2704</v>
      </c>
      <c r="AK212" s="70" t="s">
        <v>2705</v>
      </c>
      <c r="AL212" s="68"/>
      <c r="AM212" s="70" t="s">
        <v>2706</v>
      </c>
      <c r="AN212" s="70" t="s">
        <v>2707</v>
      </c>
      <c r="AO212" s="70" t="s">
        <v>2708</v>
      </c>
      <c r="AP212" s="70" t="s">
        <v>2709</v>
      </c>
      <c r="AQ212" s="70" t="s">
        <v>2710</v>
      </c>
      <c r="AR212" s="70" t="s">
        <v>2711</v>
      </c>
      <c r="AS212" s="68"/>
      <c r="AT212" s="68"/>
      <c r="AU212" s="68"/>
      <c r="AV212" s="68"/>
      <c r="AW212" s="68"/>
      <c r="AX212" s="68"/>
      <c r="AY212" s="72">
        <v>40748.6</v>
      </c>
      <c r="AZ212" s="72">
        <v>0</v>
      </c>
      <c r="BA212" s="70" t="s">
        <v>67</v>
      </c>
      <c r="BB212" s="70" t="s">
        <v>1044</v>
      </c>
      <c r="BC212" s="70" t="s">
        <v>2966</v>
      </c>
      <c r="BD212" s="70" t="s">
        <v>2713</v>
      </c>
      <c r="BE212" s="70" t="s">
        <v>74</v>
      </c>
      <c r="BF212" s="70" t="s">
        <v>392</v>
      </c>
      <c r="BG212" s="70" t="s">
        <v>2714</v>
      </c>
      <c r="BH212" s="70"/>
      <c r="BI212" s="68"/>
      <c r="BJ212" s="68"/>
      <c r="BK212" s="70">
        <v>2</v>
      </c>
      <c r="BL212" s="70">
        <v>2</v>
      </c>
      <c r="BM212" s="70" t="s">
        <v>2847</v>
      </c>
    </row>
    <row r="213" spans="1:65" x14ac:dyDescent="0.3">
      <c r="A213" s="70" t="str">
        <f t="shared" si="4"/>
        <v>001364</v>
      </c>
      <c r="B213" s="70" t="s">
        <v>61</v>
      </c>
      <c r="C213" s="70" t="s">
        <v>392</v>
      </c>
      <c r="D213" s="70" t="s">
        <v>1545</v>
      </c>
      <c r="E213" s="70" t="s">
        <v>665</v>
      </c>
      <c r="F213" s="70" t="s">
        <v>590</v>
      </c>
      <c r="G213" s="70" t="s">
        <v>2763</v>
      </c>
      <c r="H213" s="70" t="s">
        <v>2522</v>
      </c>
      <c r="I213" s="70" t="s">
        <v>67</v>
      </c>
      <c r="J213" s="70" t="s">
        <v>1058</v>
      </c>
      <c r="K213" s="71">
        <v>45811</v>
      </c>
      <c r="L213" s="71">
        <v>45994</v>
      </c>
      <c r="M213" s="72">
        <v>10000</v>
      </c>
      <c r="N213" s="72">
        <v>10534.08</v>
      </c>
      <c r="O213" s="73">
        <v>0</v>
      </c>
      <c r="P213" s="73">
        <v>6</v>
      </c>
      <c r="Q213" s="70" t="s">
        <v>68</v>
      </c>
      <c r="R213" s="72">
        <v>2582.63</v>
      </c>
      <c r="S213" s="72">
        <v>348</v>
      </c>
      <c r="T213" s="72">
        <v>0</v>
      </c>
      <c r="U213" s="72">
        <v>0</v>
      </c>
      <c r="V213" s="72">
        <v>0</v>
      </c>
      <c r="W213" s="72">
        <v>3511.36</v>
      </c>
      <c r="X213" s="72">
        <v>0</v>
      </c>
      <c r="Y213" s="72">
        <v>0</v>
      </c>
      <c r="Z213" s="72">
        <v>0</v>
      </c>
      <c r="AA213" s="74">
        <v>0</v>
      </c>
      <c r="AB213" s="72">
        <v>0</v>
      </c>
      <c r="AC213" s="72">
        <v>2583</v>
      </c>
      <c r="AD213" s="71">
        <v>45933</v>
      </c>
      <c r="AE213" s="70" t="s">
        <v>69</v>
      </c>
      <c r="AF213" s="70" t="s">
        <v>2523</v>
      </c>
      <c r="AG213" s="70" t="s">
        <v>1059</v>
      </c>
      <c r="AH213" s="68"/>
      <c r="AI213" s="70" t="s">
        <v>1060</v>
      </c>
      <c r="AJ213" s="70" t="s">
        <v>2524</v>
      </c>
      <c r="AK213" s="70" t="s">
        <v>1061</v>
      </c>
      <c r="AL213" s="70" t="s">
        <v>2523</v>
      </c>
      <c r="AM213" s="70" t="s">
        <v>1062</v>
      </c>
      <c r="AN213" s="70" t="s">
        <v>2525</v>
      </c>
      <c r="AO213" s="70" t="s">
        <v>1063</v>
      </c>
      <c r="AP213" s="70" t="s">
        <v>2526</v>
      </c>
      <c r="AQ213" s="70" t="s">
        <v>1064</v>
      </c>
      <c r="AR213" s="70" t="s">
        <v>2527</v>
      </c>
      <c r="AS213" s="68"/>
      <c r="AT213" s="68"/>
      <c r="AU213" s="68"/>
      <c r="AV213" s="68"/>
      <c r="AW213" s="68"/>
      <c r="AX213" s="68"/>
      <c r="AY213" s="72">
        <v>5014.8</v>
      </c>
      <c r="AZ213" s="72">
        <v>34.47</v>
      </c>
      <c r="BA213" s="70" t="s">
        <v>67</v>
      </c>
      <c r="BB213" s="70" t="s">
        <v>1044</v>
      </c>
      <c r="BC213" s="70" t="s">
        <v>2970</v>
      </c>
      <c r="BD213" s="70" t="s">
        <v>1065</v>
      </c>
      <c r="BE213" s="70" t="s">
        <v>74</v>
      </c>
      <c r="BF213" s="70" t="s">
        <v>1066</v>
      </c>
      <c r="BG213" s="70" t="s">
        <v>1067</v>
      </c>
      <c r="BH213" s="70"/>
      <c r="BI213" s="68"/>
      <c r="BJ213" s="68"/>
      <c r="BK213" s="70">
        <v>0</v>
      </c>
      <c r="BL213" s="70">
        <v>0</v>
      </c>
      <c r="BM213" s="70" t="s">
        <v>2847</v>
      </c>
    </row>
    <row r="214" spans="1:65" x14ac:dyDescent="0.3">
      <c r="A214" s="70" t="str">
        <f t="shared" si="4"/>
        <v>001368</v>
      </c>
      <c r="B214" s="70" t="s">
        <v>61</v>
      </c>
      <c r="C214" s="70" t="s">
        <v>392</v>
      </c>
      <c r="D214" s="70" t="s">
        <v>1544</v>
      </c>
      <c r="E214" s="70" t="s">
        <v>1068</v>
      </c>
      <c r="F214" s="70" t="s">
        <v>590</v>
      </c>
      <c r="G214" s="70" t="s">
        <v>2763</v>
      </c>
      <c r="H214" s="70" t="s">
        <v>1566</v>
      </c>
      <c r="I214" s="70" t="s">
        <v>67</v>
      </c>
      <c r="J214" s="70" t="s">
        <v>1069</v>
      </c>
      <c r="K214" s="71">
        <v>45811</v>
      </c>
      <c r="L214" s="71">
        <v>45979</v>
      </c>
      <c r="M214" s="72">
        <v>5000</v>
      </c>
      <c r="N214" s="72">
        <v>5267.04</v>
      </c>
      <c r="O214" s="73">
        <v>0</v>
      </c>
      <c r="P214" s="73">
        <v>24</v>
      </c>
      <c r="Q214" s="70" t="s">
        <v>469</v>
      </c>
      <c r="R214" s="72">
        <v>365.7</v>
      </c>
      <c r="S214" s="72">
        <v>1392</v>
      </c>
      <c r="T214" s="72">
        <v>0</v>
      </c>
      <c r="U214" s="72">
        <v>19</v>
      </c>
      <c r="V214" s="72">
        <v>0</v>
      </c>
      <c r="W214" s="72">
        <v>1097.3</v>
      </c>
      <c r="X214" s="72">
        <v>0</v>
      </c>
      <c r="Y214" s="72">
        <v>0</v>
      </c>
      <c r="Z214" s="72">
        <v>0</v>
      </c>
      <c r="AA214" s="74">
        <v>0</v>
      </c>
      <c r="AB214" s="72">
        <v>0</v>
      </c>
      <c r="AC214" s="72">
        <v>367</v>
      </c>
      <c r="AD214" s="71">
        <v>45940</v>
      </c>
      <c r="AE214" s="70" t="s">
        <v>69</v>
      </c>
      <c r="AF214" s="70" t="s">
        <v>1567</v>
      </c>
      <c r="AG214" s="70" t="s">
        <v>1070</v>
      </c>
      <c r="AH214" s="68"/>
      <c r="AI214" s="70" t="s">
        <v>379</v>
      </c>
      <c r="AJ214" s="70" t="s">
        <v>380</v>
      </c>
      <c r="AK214" s="70" t="s">
        <v>1071</v>
      </c>
      <c r="AL214" s="70" t="s">
        <v>1567</v>
      </c>
      <c r="AM214" s="70" t="s">
        <v>1072</v>
      </c>
      <c r="AN214" s="70" t="s">
        <v>1568</v>
      </c>
      <c r="AO214" s="70" t="s">
        <v>1073</v>
      </c>
      <c r="AP214" s="70" t="s">
        <v>1569</v>
      </c>
      <c r="AQ214" s="70" t="s">
        <v>1074</v>
      </c>
      <c r="AR214" s="70" t="s">
        <v>1570</v>
      </c>
      <c r="AS214" s="68"/>
      <c r="AT214" s="68"/>
      <c r="AU214" s="68"/>
      <c r="AV214" s="68"/>
      <c r="AW214" s="68"/>
      <c r="AX214" s="68"/>
      <c r="AY214" s="72">
        <v>1499.01</v>
      </c>
      <c r="AZ214" s="72">
        <v>39.490940799999997</v>
      </c>
      <c r="BA214" s="70" t="s">
        <v>67</v>
      </c>
      <c r="BB214" s="70" t="s">
        <v>1044</v>
      </c>
      <c r="BC214" s="70" t="s">
        <v>2980</v>
      </c>
      <c r="BD214" s="70" t="s">
        <v>1076</v>
      </c>
      <c r="BE214" s="70" t="s">
        <v>74</v>
      </c>
      <c r="BF214" s="70" t="s">
        <v>392</v>
      </c>
      <c r="BG214" s="70" t="s">
        <v>1077</v>
      </c>
      <c r="BH214" s="70"/>
      <c r="BI214" s="68"/>
      <c r="BJ214" s="68"/>
      <c r="BK214" s="70">
        <v>0</v>
      </c>
      <c r="BL214" s="70">
        <v>0</v>
      </c>
      <c r="BM214" s="70" t="s">
        <v>2847</v>
      </c>
    </row>
    <row r="215" spans="1:65" x14ac:dyDescent="0.3">
      <c r="A215" s="70" t="str">
        <f t="shared" si="4"/>
        <v>001370</v>
      </c>
      <c r="B215" s="70" t="s">
        <v>61</v>
      </c>
      <c r="C215" s="70" t="s">
        <v>392</v>
      </c>
      <c r="D215" s="70" t="s">
        <v>1544</v>
      </c>
      <c r="E215" s="70" t="s">
        <v>1068</v>
      </c>
      <c r="F215" s="70" t="s">
        <v>590</v>
      </c>
      <c r="G215" s="70" t="s">
        <v>2763</v>
      </c>
      <c r="H215" s="70" t="s">
        <v>2528</v>
      </c>
      <c r="I215" s="70" t="s">
        <v>67</v>
      </c>
      <c r="J215" s="70" t="s">
        <v>1078</v>
      </c>
      <c r="K215" s="71">
        <v>45811</v>
      </c>
      <c r="L215" s="71">
        <v>45979</v>
      </c>
      <c r="M215" s="72">
        <v>5000</v>
      </c>
      <c r="N215" s="72">
        <v>5267.04</v>
      </c>
      <c r="O215" s="73">
        <v>0</v>
      </c>
      <c r="P215" s="73">
        <v>24</v>
      </c>
      <c r="Q215" s="70" t="s">
        <v>469</v>
      </c>
      <c r="R215" s="72">
        <v>365.7</v>
      </c>
      <c r="S215" s="72">
        <v>1392</v>
      </c>
      <c r="T215" s="72">
        <v>0</v>
      </c>
      <c r="U215" s="72">
        <v>19</v>
      </c>
      <c r="V215" s="72">
        <v>1</v>
      </c>
      <c r="W215" s="72">
        <v>1316.76</v>
      </c>
      <c r="X215" s="72">
        <v>365.41</v>
      </c>
      <c r="Y215" s="72">
        <v>219.46</v>
      </c>
      <c r="Z215" s="72">
        <v>88.24</v>
      </c>
      <c r="AA215" s="72">
        <v>57.71</v>
      </c>
      <c r="AB215" s="72">
        <v>0</v>
      </c>
      <c r="AC215" s="72">
        <v>365.7</v>
      </c>
      <c r="AD215" s="71">
        <v>45937</v>
      </c>
      <c r="AE215" s="70" t="s">
        <v>69</v>
      </c>
      <c r="AF215" s="70" t="s">
        <v>2529</v>
      </c>
      <c r="AG215" s="70" t="s">
        <v>1079</v>
      </c>
      <c r="AH215" s="68"/>
      <c r="AI215" s="70" t="s">
        <v>537</v>
      </c>
      <c r="AJ215" s="70" t="s">
        <v>1457</v>
      </c>
      <c r="AK215" s="68"/>
      <c r="AL215" s="68"/>
      <c r="AM215" s="70" t="s">
        <v>1080</v>
      </c>
      <c r="AN215" s="70" t="s">
        <v>2530</v>
      </c>
      <c r="AO215" s="70" t="s">
        <v>1081</v>
      </c>
      <c r="AP215" s="70" t="s">
        <v>2531</v>
      </c>
      <c r="AQ215" s="70" t="s">
        <v>1082</v>
      </c>
      <c r="AR215" s="70" t="s">
        <v>2532</v>
      </c>
      <c r="AS215" s="68"/>
      <c r="AT215" s="68"/>
      <c r="AU215" s="68"/>
      <c r="AV215" s="68"/>
      <c r="AW215" s="68"/>
      <c r="AX215" s="68"/>
      <c r="AY215" s="72">
        <v>1903.91</v>
      </c>
      <c r="AZ215" s="72">
        <v>0</v>
      </c>
      <c r="BA215" s="70" t="s">
        <v>67</v>
      </c>
      <c r="BB215" s="70" t="s">
        <v>1044</v>
      </c>
      <c r="BC215" s="70" t="s">
        <v>3060</v>
      </c>
      <c r="BD215" s="70" t="s">
        <v>641</v>
      </c>
      <c r="BE215" s="70" t="s">
        <v>74</v>
      </c>
      <c r="BF215" s="70" t="s">
        <v>392</v>
      </c>
      <c r="BG215" s="70" t="s">
        <v>1084</v>
      </c>
      <c r="BH215" s="70"/>
      <c r="BI215" s="68"/>
      <c r="BJ215" s="68"/>
      <c r="BK215" s="70">
        <v>1</v>
      </c>
      <c r="BL215" s="70">
        <v>1</v>
      </c>
      <c r="BM215" s="70" t="s">
        <v>2847</v>
      </c>
    </row>
    <row r="216" spans="1:65" x14ac:dyDescent="0.3">
      <c r="A216" s="70" t="str">
        <f t="shared" si="4"/>
        <v>001338</v>
      </c>
      <c r="B216" s="70" t="s">
        <v>61</v>
      </c>
      <c r="C216" s="70" t="s">
        <v>392</v>
      </c>
      <c r="D216" s="70" t="s">
        <v>657</v>
      </c>
      <c r="E216" s="70" t="s">
        <v>658</v>
      </c>
      <c r="F216" s="70" t="s">
        <v>2802</v>
      </c>
      <c r="G216" s="70" t="s">
        <v>2803</v>
      </c>
      <c r="H216" s="70" t="s">
        <v>659</v>
      </c>
      <c r="I216" s="70" t="s">
        <v>67</v>
      </c>
      <c r="J216" s="70" t="s">
        <v>660</v>
      </c>
      <c r="K216" s="71">
        <v>45803</v>
      </c>
      <c r="L216" s="71">
        <v>46168</v>
      </c>
      <c r="M216" s="72">
        <v>15000</v>
      </c>
      <c r="N216" s="72">
        <v>15801.12</v>
      </c>
      <c r="O216" s="73">
        <v>18</v>
      </c>
      <c r="P216" s="73">
        <v>12</v>
      </c>
      <c r="Q216" s="70" t="s">
        <v>68</v>
      </c>
      <c r="R216" s="72">
        <v>2525.04</v>
      </c>
      <c r="S216" s="72">
        <v>696</v>
      </c>
      <c r="T216" s="72">
        <v>0</v>
      </c>
      <c r="U216" s="72">
        <v>0</v>
      </c>
      <c r="V216" s="72">
        <v>0.4</v>
      </c>
      <c r="W216" s="72">
        <v>11613.19</v>
      </c>
      <c r="X216" s="72">
        <v>1079.110576</v>
      </c>
      <c r="Y216" s="72">
        <v>1079.1100000000001</v>
      </c>
      <c r="Z216" s="72">
        <v>0</v>
      </c>
      <c r="AA216" s="72">
        <v>0</v>
      </c>
      <c r="AB216" s="72">
        <v>0</v>
      </c>
      <c r="AC216" s="72">
        <v>500</v>
      </c>
      <c r="AD216" s="71">
        <v>45943</v>
      </c>
      <c r="AE216" s="70" t="s">
        <v>69</v>
      </c>
      <c r="AF216" s="70" t="s">
        <v>661</v>
      </c>
      <c r="AG216" s="70" t="s">
        <v>662</v>
      </c>
      <c r="AH216" s="68"/>
      <c r="AI216" s="70" t="s">
        <v>481</v>
      </c>
      <c r="AJ216" s="70" t="s">
        <v>482</v>
      </c>
      <c r="AK216" s="68"/>
      <c r="AL216" s="68"/>
      <c r="AM216" s="70" t="s">
        <v>997</v>
      </c>
      <c r="AN216" s="70" t="s">
        <v>1030</v>
      </c>
      <c r="AO216" s="70" t="s">
        <v>994</v>
      </c>
      <c r="AP216" s="70" t="s">
        <v>995</v>
      </c>
      <c r="AQ216" s="70" t="s">
        <v>996</v>
      </c>
      <c r="AR216" s="70" t="s">
        <v>1031</v>
      </c>
      <c r="AS216" s="68"/>
      <c r="AT216" s="68"/>
      <c r="AU216" s="68"/>
      <c r="AV216" s="68"/>
      <c r="AW216" s="68"/>
      <c r="AX216" s="68"/>
      <c r="AY216" s="72">
        <v>20815.41</v>
      </c>
      <c r="AZ216" s="72">
        <v>0</v>
      </c>
      <c r="BA216" s="70" t="s">
        <v>67</v>
      </c>
      <c r="BB216" s="70" t="s">
        <v>1044</v>
      </c>
      <c r="BC216" s="70" t="s">
        <v>2896</v>
      </c>
      <c r="BD216" s="70" t="s">
        <v>664</v>
      </c>
      <c r="BE216" s="70" t="s">
        <v>74</v>
      </c>
      <c r="BF216" s="70" t="s">
        <v>392</v>
      </c>
      <c r="BG216" s="68"/>
      <c r="BI216" s="68"/>
      <c r="BJ216" s="68"/>
      <c r="BK216" s="70">
        <v>3</v>
      </c>
      <c r="BL216" s="70">
        <v>3</v>
      </c>
      <c r="BM216" s="70" t="s">
        <v>2847</v>
      </c>
    </row>
    <row r="217" spans="1:65" x14ac:dyDescent="0.3">
      <c r="A217" s="70" t="str">
        <f t="shared" si="4"/>
        <v>001337</v>
      </c>
      <c r="B217" s="70" t="s">
        <v>61</v>
      </c>
      <c r="C217" s="70" t="s">
        <v>392</v>
      </c>
      <c r="D217" s="70" t="s">
        <v>1545</v>
      </c>
      <c r="E217" s="70" t="s">
        <v>665</v>
      </c>
      <c r="F217" s="70" t="s">
        <v>2802</v>
      </c>
      <c r="G217" s="70" t="s">
        <v>2803</v>
      </c>
      <c r="H217" s="70" t="s">
        <v>1546</v>
      </c>
      <c r="I217" s="70" t="s">
        <v>67</v>
      </c>
      <c r="J217" s="70" t="s">
        <v>666</v>
      </c>
      <c r="K217" s="71">
        <v>45804</v>
      </c>
      <c r="L217" s="71">
        <v>45988</v>
      </c>
      <c r="M217" s="72">
        <v>7000</v>
      </c>
      <c r="N217" s="72">
        <v>7373.85</v>
      </c>
      <c r="O217" s="73">
        <v>78</v>
      </c>
      <c r="P217" s="73">
        <v>6</v>
      </c>
      <c r="Q217" s="70" t="s">
        <v>68</v>
      </c>
      <c r="R217" s="72">
        <v>1828.18</v>
      </c>
      <c r="S217" s="72">
        <v>348</v>
      </c>
      <c r="T217" s="72">
        <v>1740</v>
      </c>
      <c r="U217" s="72">
        <v>0</v>
      </c>
      <c r="V217" s="72">
        <v>2</v>
      </c>
      <c r="W217" s="72">
        <v>4944.09</v>
      </c>
      <c r="X217" s="72">
        <v>5424.551269333333</v>
      </c>
      <c r="Y217" s="72">
        <v>2486.14</v>
      </c>
      <c r="Z217" s="72">
        <v>1082.4100000000001</v>
      </c>
      <c r="AA217" s="72">
        <v>116</v>
      </c>
      <c r="AB217" s="72">
        <v>1740</v>
      </c>
      <c r="AC217" s="72">
        <v>1000</v>
      </c>
      <c r="AD217" s="71">
        <v>45943</v>
      </c>
      <c r="AE217" s="70" t="s">
        <v>69</v>
      </c>
      <c r="AF217" s="70" t="s">
        <v>1547</v>
      </c>
      <c r="AG217" s="70" t="s">
        <v>667</v>
      </c>
      <c r="AH217" s="68"/>
      <c r="AI217" s="70" t="s">
        <v>481</v>
      </c>
      <c r="AJ217" s="70" t="s">
        <v>482</v>
      </c>
      <c r="AK217" s="68"/>
      <c r="AL217" s="68"/>
      <c r="AM217" s="70" t="s">
        <v>1000</v>
      </c>
      <c r="AN217" s="70" t="s">
        <v>1548</v>
      </c>
      <c r="AO217" s="70" t="s">
        <v>998</v>
      </c>
      <c r="AP217" s="70" t="s">
        <v>1549</v>
      </c>
      <c r="AQ217" s="70" t="s">
        <v>999</v>
      </c>
      <c r="AR217" s="70" t="s">
        <v>1550</v>
      </c>
      <c r="AS217" s="68"/>
      <c r="AT217" s="68"/>
      <c r="AU217" s="68"/>
      <c r="AV217" s="68"/>
      <c r="AW217" s="68"/>
      <c r="AX217" s="68"/>
      <c r="AY217" s="72">
        <v>8964.92</v>
      </c>
      <c r="AZ217" s="72">
        <v>0</v>
      </c>
      <c r="BA217" s="70" t="s">
        <v>67</v>
      </c>
      <c r="BB217" s="70" t="s">
        <v>1044</v>
      </c>
      <c r="BC217" s="70" t="s">
        <v>2897</v>
      </c>
      <c r="BD217" s="70" t="s">
        <v>669</v>
      </c>
      <c r="BE217" s="70" t="s">
        <v>74</v>
      </c>
      <c r="BF217" s="70" t="s">
        <v>670</v>
      </c>
      <c r="BG217" s="68"/>
      <c r="BI217" s="68"/>
      <c r="BJ217" s="68"/>
      <c r="BK217" s="70">
        <v>3</v>
      </c>
      <c r="BL217" s="70">
        <v>3</v>
      </c>
      <c r="BM217" s="70" t="s">
        <v>2847</v>
      </c>
    </row>
    <row r="218" spans="1:65" x14ac:dyDescent="0.3">
      <c r="A218" s="70" t="str">
        <f t="shared" si="4"/>
        <v>001427</v>
      </c>
      <c r="B218" s="70" t="s">
        <v>61</v>
      </c>
      <c r="C218" s="70" t="s">
        <v>392</v>
      </c>
      <c r="D218" s="70" t="s">
        <v>1551</v>
      </c>
      <c r="E218" s="70" t="s">
        <v>1131</v>
      </c>
      <c r="F218" s="70" t="s">
        <v>2802</v>
      </c>
      <c r="G218" s="70" t="s">
        <v>2803</v>
      </c>
      <c r="H218" s="70" t="s">
        <v>1552</v>
      </c>
      <c r="I218" s="70" t="s">
        <v>67</v>
      </c>
      <c r="J218" s="70" t="s">
        <v>1305</v>
      </c>
      <c r="K218" s="71">
        <v>45828</v>
      </c>
      <c r="L218" s="71">
        <v>46193</v>
      </c>
      <c r="M218" s="72">
        <v>20000</v>
      </c>
      <c r="N218" s="72">
        <v>21068.16</v>
      </c>
      <c r="O218" s="73">
        <v>0</v>
      </c>
      <c r="P218" s="73">
        <v>12</v>
      </c>
      <c r="Q218" s="70" t="s">
        <v>68</v>
      </c>
      <c r="R218" s="72">
        <v>3347.38</v>
      </c>
      <c r="S218" s="72">
        <v>696</v>
      </c>
      <c r="T218" s="72">
        <v>0</v>
      </c>
      <c r="U218" s="72">
        <v>0</v>
      </c>
      <c r="V218" s="72">
        <v>0</v>
      </c>
      <c r="W218" s="72">
        <v>15801.12</v>
      </c>
      <c r="X218" s="72">
        <v>0</v>
      </c>
      <c r="Y218" s="72">
        <v>0</v>
      </c>
      <c r="Z218" s="72">
        <v>0</v>
      </c>
      <c r="AA218" s="74">
        <v>0</v>
      </c>
      <c r="AB218" s="72">
        <v>0</v>
      </c>
      <c r="AC218" s="72">
        <v>3950</v>
      </c>
      <c r="AD218" s="71">
        <v>45940</v>
      </c>
      <c r="AE218" s="70" t="s">
        <v>69</v>
      </c>
      <c r="AF218" s="70" t="s">
        <v>1553</v>
      </c>
      <c r="AG218" s="70" t="s">
        <v>1306</v>
      </c>
      <c r="AH218" s="68"/>
      <c r="AI218" s="70" t="s">
        <v>537</v>
      </c>
      <c r="AJ218" s="70" t="s">
        <v>1457</v>
      </c>
      <c r="AK218" s="70" t="s">
        <v>1307</v>
      </c>
      <c r="AL218" s="70" t="s">
        <v>1553</v>
      </c>
      <c r="AM218" s="70" t="s">
        <v>1308</v>
      </c>
      <c r="AN218" s="70" t="s">
        <v>1554</v>
      </c>
      <c r="AO218" s="70" t="s">
        <v>1309</v>
      </c>
      <c r="AP218" s="70" t="s">
        <v>1555</v>
      </c>
      <c r="AQ218" s="70" t="s">
        <v>1310</v>
      </c>
      <c r="AR218" s="70" t="s">
        <v>1556</v>
      </c>
      <c r="AS218" s="68"/>
      <c r="AT218" s="68"/>
      <c r="AU218" s="68"/>
      <c r="AV218" s="68"/>
      <c r="AW218" s="68"/>
      <c r="AX218" s="68"/>
      <c r="AY218" s="72">
        <v>29581.600000000002</v>
      </c>
      <c r="AZ218" s="72">
        <v>22.85</v>
      </c>
      <c r="BA218" s="70" t="s">
        <v>67</v>
      </c>
      <c r="BB218" s="70" t="s">
        <v>1044</v>
      </c>
      <c r="BC218" s="70" t="s">
        <v>3003</v>
      </c>
      <c r="BD218" s="70" t="s">
        <v>1312</v>
      </c>
      <c r="BE218" s="70" t="s">
        <v>74</v>
      </c>
      <c r="BF218" s="70" t="s">
        <v>1141</v>
      </c>
      <c r="BG218" s="70" t="s">
        <v>1313</v>
      </c>
      <c r="BH218" s="70"/>
      <c r="BI218" s="68"/>
      <c r="BJ218" s="68"/>
      <c r="BK218" s="70">
        <v>3</v>
      </c>
      <c r="BL218" s="70">
        <v>3</v>
      </c>
      <c r="BM218" s="70" t="s">
        <v>2847</v>
      </c>
    </row>
    <row r="219" spans="1:65" x14ac:dyDescent="0.3">
      <c r="A219" s="70" t="str">
        <f t="shared" si="4"/>
        <v>001460</v>
      </c>
      <c r="B219" s="70" t="s">
        <v>61</v>
      </c>
      <c r="C219" s="70" t="s">
        <v>392</v>
      </c>
      <c r="D219" s="70" t="s">
        <v>1545</v>
      </c>
      <c r="E219" s="70" t="s">
        <v>665</v>
      </c>
      <c r="F219" s="70" t="s">
        <v>2802</v>
      </c>
      <c r="G219" s="70" t="s">
        <v>2803</v>
      </c>
      <c r="H219" s="70" t="s">
        <v>2516</v>
      </c>
      <c r="I219" s="70" t="s">
        <v>67</v>
      </c>
      <c r="J219" s="70" t="s">
        <v>1557</v>
      </c>
      <c r="K219" s="71">
        <v>45839</v>
      </c>
      <c r="L219" s="71">
        <v>46204</v>
      </c>
      <c r="M219" s="72">
        <v>20000</v>
      </c>
      <c r="N219" s="72">
        <v>21068.16</v>
      </c>
      <c r="O219" s="73">
        <v>0</v>
      </c>
      <c r="P219" s="73">
        <v>12</v>
      </c>
      <c r="Q219" s="70" t="s">
        <v>68</v>
      </c>
      <c r="R219" s="72">
        <v>3347.38</v>
      </c>
      <c r="S219" s="72">
        <v>696</v>
      </c>
      <c r="T219" s="72">
        <v>0</v>
      </c>
      <c r="U219" s="72">
        <v>0</v>
      </c>
      <c r="V219" s="72">
        <v>0</v>
      </c>
      <c r="W219" s="72">
        <v>15801.12</v>
      </c>
      <c r="X219" s="72">
        <v>0</v>
      </c>
      <c r="Y219" s="72">
        <v>0</v>
      </c>
      <c r="Z219" s="72">
        <v>0</v>
      </c>
      <c r="AA219" s="74">
        <v>0</v>
      </c>
      <c r="AB219" s="72">
        <v>0</v>
      </c>
      <c r="AC219" s="72">
        <v>3800</v>
      </c>
      <c r="AD219" s="71">
        <v>45940</v>
      </c>
      <c r="AE219" s="70" t="s">
        <v>69</v>
      </c>
      <c r="AF219" s="70" t="s">
        <v>2517</v>
      </c>
      <c r="AG219" s="70" t="s">
        <v>1558</v>
      </c>
      <c r="AH219" s="68"/>
      <c r="AI219" s="70" t="s">
        <v>393</v>
      </c>
      <c r="AJ219" s="70" t="s">
        <v>394</v>
      </c>
      <c r="AK219" s="70" t="s">
        <v>1559</v>
      </c>
      <c r="AL219" s="70" t="s">
        <v>2518</v>
      </c>
      <c r="AM219" s="70" t="s">
        <v>1560</v>
      </c>
      <c r="AN219" s="70" t="s">
        <v>2519</v>
      </c>
      <c r="AO219" s="70" t="s">
        <v>1561</v>
      </c>
      <c r="AP219" s="70" t="s">
        <v>2520</v>
      </c>
      <c r="AQ219" s="70" t="s">
        <v>1562</v>
      </c>
      <c r="AR219" s="70" t="s">
        <v>2521</v>
      </c>
      <c r="AS219" s="68"/>
      <c r="AT219" s="68"/>
      <c r="AU219" s="68"/>
      <c r="AV219" s="68"/>
      <c r="AW219" s="68"/>
      <c r="AX219" s="68"/>
      <c r="AY219" s="72">
        <v>29578.600000000002</v>
      </c>
      <c r="AZ219" s="72">
        <v>25.85</v>
      </c>
      <c r="BA219" s="70" t="s">
        <v>67</v>
      </c>
      <c r="BB219" s="70" t="s">
        <v>1044</v>
      </c>
      <c r="BC219" s="70" t="s">
        <v>2872</v>
      </c>
      <c r="BD219" s="70" t="s">
        <v>1564</v>
      </c>
      <c r="BE219" s="70" t="s">
        <v>74</v>
      </c>
      <c r="BF219" s="70" t="s">
        <v>392</v>
      </c>
      <c r="BG219" s="70" t="s">
        <v>1565</v>
      </c>
      <c r="BH219" s="70"/>
      <c r="BI219" s="68"/>
      <c r="BJ219" s="68"/>
      <c r="BK219" s="70">
        <v>2</v>
      </c>
      <c r="BL219" s="70">
        <v>2</v>
      </c>
      <c r="BM219" s="70" t="s">
        <v>2847</v>
      </c>
    </row>
    <row r="220" spans="1:65" x14ac:dyDescent="0.3">
      <c r="A220" s="70" t="str">
        <f t="shared" si="4"/>
        <v>001336</v>
      </c>
      <c r="B220" s="70" t="s">
        <v>61</v>
      </c>
      <c r="C220" s="70" t="s">
        <v>392</v>
      </c>
      <c r="D220" s="70" t="s">
        <v>633</v>
      </c>
      <c r="E220" s="70" t="s">
        <v>634</v>
      </c>
      <c r="F220" s="70" t="s">
        <v>2802</v>
      </c>
      <c r="G220" s="70" t="s">
        <v>2803</v>
      </c>
      <c r="H220" s="70" t="s">
        <v>635</v>
      </c>
      <c r="I220" s="70" t="s">
        <v>67</v>
      </c>
      <c r="J220" s="70" t="s">
        <v>636</v>
      </c>
      <c r="K220" s="71">
        <v>45800</v>
      </c>
      <c r="L220" s="71">
        <v>46165</v>
      </c>
      <c r="M220" s="72">
        <v>20000</v>
      </c>
      <c r="N220" s="72">
        <v>21068.16</v>
      </c>
      <c r="O220" s="73">
        <v>50</v>
      </c>
      <c r="P220" s="73">
        <v>12</v>
      </c>
      <c r="Q220" s="70" t="s">
        <v>68</v>
      </c>
      <c r="R220" s="72">
        <v>3347.38</v>
      </c>
      <c r="S220" s="72">
        <v>696</v>
      </c>
      <c r="T220" s="72">
        <v>1160</v>
      </c>
      <c r="U220" s="72">
        <v>0</v>
      </c>
      <c r="V220" s="72">
        <v>2</v>
      </c>
      <c r="W220" s="72">
        <v>17556.8</v>
      </c>
      <c r="X220" s="72">
        <v>7709.5341013333336</v>
      </c>
      <c r="Y220" s="72">
        <v>3511.36</v>
      </c>
      <c r="Z220" s="72">
        <v>2980.17</v>
      </c>
      <c r="AA220" s="72">
        <v>58</v>
      </c>
      <c r="AB220" s="72">
        <v>1160</v>
      </c>
      <c r="AC220" s="72">
        <v>6000</v>
      </c>
      <c r="AD220" s="71">
        <v>45883</v>
      </c>
      <c r="AE220" s="70" t="s">
        <v>69</v>
      </c>
      <c r="AF220" s="70" t="s">
        <v>637</v>
      </c>
      <c r="AG220" s="70" t="s">
        <v>671</v>
      </c>
      <c r="AH220" s="68"/>
      <c r="AI220" s="70" t="s">
        <v>638</v>
      </c>
      <c r="AJ220" s="70" t="s">
        <v>639</v>
      </c>
      <c r="AK220" s="68"/>
      <c r="AL220" s="68"/>
      <c r="AM220" s="70" t="s">
        <v>1004</v>
      </c>
      <c r="AN220" s="70" t="s">
        <v>1086</v>
      </c>
      <c r="AO220" s="70" t="s">
        <v>1001</v>
      </c>
      <c r="AP220" s="70" t="s">
        <v>1002</v>
      </c>
      <c r="AQ220" s="70" t="s">
        <v>1003</v>
      </c>
      <c r="AR220" s="70" t="s">
        <v>1087</v>
      </c>
      <c r="AS220" s="68"/>
      <c r="AT220" s="68"/>
      <c r="AU220" s="68"/>
      <c r="AV220" s="68"/>
      <c r="AW220" s="68"/>
      <c r="AX220" s="68"/>
      <c r="AY220" s="72">
        <v>34024.6</v>
      </c>
      <c r="AZ220" s="72">
        <v>0</v>
      </c>
      <c r="BA220" s="70" t="s">
        <v>67</v>
      </c>
      <c r="BB220" s="70" t="s">
        <v>1044</v>
      </c>
      <c r="BC220" s="70" t="s">
        <v>640</v>
      </c>
      <c r="BD220" s="70" t="s">
        <v>641</v>
      </c>
      <c r="BE220" s="70" t="s">
        <v>74</v>
      </c>
      <c r="BF220" s="70" t="s">
        <v>392</v>
      </c>
      <c r="BG220" s="68"/>
      <c r="BI220" s="68"/>
      <c r="BJ220" s="68"/>
      <c r="BK220" s="70">
        <v>4</v>
      </c>
      <c r="BL220" s="70">
        <v>4</v>
      </c>
      <c r="BM220" s="70" t="s">
        <v>2847</v>
      </c>
    </row>
  </sheetData>
  <autoFilter ref="B4:K220" xr:uid="{D685DB6B-B128-42C2-89AB-FBE3C804B816}"/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29257-4E1E-4161-9FCB-A4010DBD6FF1}">
  <sheetPr codeName="Hoja1"/>
  <dimension ref="A4:BN240"/>
  <sheetViews>
    <sheetView zoomScaleNormal="100" workbookViewId="0">
      <selection activeCell="A4" sqref="A4"/>
    </sheetView>
  </sheetViews>
  <sheetFormatPr baseColWidth="10" defaultRowHeight="14.4" x14ac:dyDescent="0.3"/>
  <cols>
    <col min="1" max="1" width="11.5546875" customWidth="1"/>
    <col min="2" max="2" width="19.109375" style="1" bestFit="1" customWidth="1"/>
    <col min="3" max="3" width="18.33203125" style="1" bestFit="1" customWidth="1"/>
    <col min="4" max="4" width="10" style="1" bestFit="1" customWidth="1"/>
    <col min="5" max="5" width="28.21875" style="1" bestFit="1" customWidth="1"/>
    <col min="6" max="6" width="12.88671875" style="1" bestFit="1" customWidth="1"/>
    <col min="7" max="7" width="28.21875" style="1" bestFit="1" customWidth="1"/>
    <col min="8" max="8" width="11.21875" style="1" bestFit="1" customWidth="1"/>
    <col min="9" max="9" width="5.88671875" style="1" bestFit="1" customWidth="1"/>
    <col min="10" max="10" width="38.33203125" style="1" bestFit="1" customWidth="1"/>
    <col min="11" max="11" width="10.5546875" style="2" bestFit="1" customWidth="1"/>
    <col min="12" max="14" width="10.5546875" style="2" customWidth="1"/>
    <col min="15" max="15" width="18.21875" style="2" bestFit="1" customWidth="1"/>
    <col min="16" max="16" width="10.5546875" style="2" customWidth="1"/>
    <col min="17" max="17" width="17.5546875" style="2" bestFit="1" customWidth="1"/>
    <col min="18" max="18" width="18.21875" style="2" bestFit="1" customWidth="1"/>
    <col min="19" max="19" width="10.77734375" style="3" bestFit="1" customWidth="1"/>
    <col min="20" max="20" width="17.5546875" style="3" bestFit="1" customWidth="1"/>
    <col min="21" max="21" width="13.77734375" style="4" bestFit="1" customWidth="1"/>
    <col min="22" max="22" width="13.44140625" style="4" bestFit="1" customWidth="1"/>
    <col min="23" max="23" width="13.109375" style="1" bestFit="1" customWidth="1"/>
    <col min="24" max="24" width="21.33203125" style="3" bestFit="1" customWidth="1"/>
    <col min="25" max="25" width="26.33203125" style="3" bestFit="1" customWidth="1"/>
    <col min="26" max="26" width="26.6640625" style="3" bestFit="1" customWidth="1"/>
    <col min="27" max="27" width="28.77734375" style="3" bestFit="1" customWidth="1"/>
    <col min="28" max="28" width="20" style="3" bestFit="1" customWidth="1"/>
    <col min="29" max="29" width="10" style="3" bestFit="1" customWidth="1"/>
    <col min="30" max="30" width="11.77734375" style="3" bestFit="1" customWidth="1"/>
    <col min="31" max="31" width="21.88671875" style="3" bestFit="1" customWidth="1"/>
    <col min="32" max="32" width="22.21875" style="3" bestFit="1" customWidth="1"/>
    <col min="33" max="33" width="24.33203125" style="3" bestFit="1" customWidth="1"/>
    <col min="34" max="34" width="15.5546875" style="3" bestFit="1" customWidth="1"/>
    <col min="35" max="35" width="9" style="3" bestFit="1" customWidth="1"/>
    <col min="36" max="36" width="10.5546875" style="2" bestFit="1" customWidth="1"/>
    <col min="37" max="37" width="10" style="1" bestFit="1" customWidth="1"/>
    <col min="38" max="38" width="11.5546875" style="1" bestFit="1" customWidth="1"/>
    <col min="39" max="39" width="37" style="1" bestFit="1" customWidth="1"/>
    <col min="40" max="40" width="31.5546875" style="1" bestFit="1" customWidth="1"/>
    <col min="41" max="41" width="111.77734375" style="1" bestFit="1" customWidth="1"/>
    <col min="42" max="42" width="21.88671875" style="1" bestFit="1" customWidth="1"/>
    <col min="43" max="43" width="33.6640625" style="1" bestFit="1" customWidth="1"/>
    <col min="44" max="44" width="11" style="1" bestFit="1" customWidth="1"/>
    <col min="45" max="45" width="25.109375" style="1" bestFit="1" customWidth="1"/>
    <col min="46" max="50" width="12.5546875" style="1" bestFit="1" customWidth="1"/>
    <col min="51" max="51" width="16.33203125" style="1" bestFit="1" customWidth="1"/>
    <col min="52" max="52" width="16.109375" bestFit="1" customWidth="1"/>
    <col min="53" max="53" width="47.109375" style="1" bestFit="1" customWidth="1"/>
    <col min="54" max="54" width="16.33203125" style="1" bestFit="1" customWidth="1"/>
    <col min="55" max="55" width="35.44140625" bestFit="1" customWidth="1"/>
    <col min="56" max="56" width="36" style="1" bestFit="1" customWidth="1"/>
    <col min="57" max="57" width="10" style="3" bestFit="1" customWidth="1"/>
    <col min="58" max="58" width="20" style="3" bestFit="1" customWidth="1"/>
    <col min="59" max="59" width="32.77734375" style="1" bestFit="1" customWidth="1"/>
    <col min="60" max="60" width="32.77734375" customWidth="1"/>
    <col min="61" max="61" width="38" style="1" bestFit="1" customWidth="1"/>
    <col min="62" max="62" width="31.109375" style="1" bestFit="1" customWidth="1"/>
    <col min="63" max="63" width="31.77734375" style="1" bestFit="1" customWidth="1"/>
    <col min="64" max="64" width="10.77734375" style="1" bestFit="1" customWidth="1"/>
    <col min="65" max="65" width="11.77734375" style="1" bestFit="1" customWidth="1"/>
    <col min="66" max="66" width="10.21875" style="1" bestFit="1" customWidth="1"/>
  </cols>
  <sheetData>
    <row r="4" spans="1:65" s="27" customFormat="1" ht="70.2" customHeight="1" x14ac:dyDescent="0.25">
      <c r="A4" s="56" t="s">
        <v>6</v>
      </c>
      <c r="B4" s="12" t="s">
        <v>0</v>
      </c>
      <c r="C4" s="12" t="s">
        <v>1</v>
      </c>
      <c r="D4" s="13" t="s">
        <v>2</v>
      </c>
      <c r="E4" s="13" t="s">
        <v>3</v>
      </c>
      <c r="F4" s="13" t="s">
        <v>4</v>
      </c>
      <c r="G4" s="13" t="s">
        <v>5</v>
      </c>
      <c r="H4" s="13" t="s">
        <v>6</v>
      </c>
      <c r="I4" s="12" t="s">
        <v>7</v>
      </c>
      <c r="J4" s="12" t="s">
        <v>8</v>
      </c>
      <c r="K4" s="14" t="s">
        <v>9</v>
      </c>
      <c r="L4" s="14" t="s">
        <v>10</v>
      </c>
      <c r="M4" s="15" t="s">
        <v>11</v>
      </c>
      <c r="N4" s="15" t="s">
        <v>12</v>
      </c>
      <c r="O4" s="44" t="s">
        <v>13</v>
      </c>
      <c r="P4" s="16" t="s">
        <v>14</v>
      </c>
      <c r="Q4" s="12" t="s">
        <v>15</v>
      </c>
      <c r="R4" s="15" t="s">
        <v>16</v>
      </c>
      <c r="S4" s="15" t="s">
        <v>17</v>
      </c>
      <c r="T4" s="15" t="s">
        <v>18</v>
      </c>
      <c r="U4" s="17" t="s">
        <v>19</v>
      </c>
      <c r="V4" s="15" t="s">
        <v>20</v>
      </c>
      <c r="W4" s="15" t="s">
        <v>21</v>
      </c>
      <c r="X4" s="15" t="s">
        <v>22</v>
      </c>
      <c r="Y4" s="17" t="s">
        <v>23</v>
      </c>
      <c r="Z4" s="67" t="s">
        <v>24</v>
      </c>
      <c r="AA4" s="67" t="s">
        <v>25</v>
      </c>
      <c r="AB4" s="67" t="s">
        <v>26</v>
      </c>
      <c r="AC4" s="15" t="s">
        <v>27</v>
      </c>
      <c r="AD4" s="14" t="s">
        <v>28</v>
      </c>
      <c r="AE4" s="13" t="s">
        <v>29</v>
      </c>
      <c r="AF4" s="13" t="s">
        <v>30</v>
      </c>
      <c r="AG4" s="13" t="s">
        <v>31</v>
      </c>
      <c r="AH4" s="13" t="s">
        <v>32</v>
      </c>
      <c r="AI4" s="13" t="s">
        <v>33</v>
      </c>
      <c r="AJ4" s="13" t="s">
        <v>34</v>
      </c>
      <c r="AK4" s="13" t="s">
        <v>35</v>
      </c>
      <c r="AL4" s="13" t="s">
        <v>36</v>
      </c>
      <c r="AM4" s="12" t="s">
        <v>1005</v>
      </c>
      <c r="AN4" s="12" t="s">
        <v>1006</v>
      </c>
      <c r="AO4" s="12" t="s">
        <v>1007</v>
      </c>
      <c r="AP4" s="12" t="s">
        <v>1008</v>
      </c>
      <c r="AQ4" s="12" t="s">
        <v>1009</v>
      </c>
      <c r="AR4" s="12" t="s">
        <v>1010</v>
      </c>
      <c r="AS4" s="12" t="s">
        <v>43</v>
      </c>
      <c r="AT4" s="26" t="s">
        <v>44</v>
      </c>
      <c r="AU4" s="12" t="s">
        <v>45</v>
      </c>
      <c r="AV4" s="12" t="s">
        <v>46</v>
      </c>
      <c r="AW4" s="26" t="s">
        <v>47</v>
      </c>
      <c r="AX4" s="12" t="s">
        <v>48</v>
      </c>
      <c r="AY4" s="15" t="s">
        <v>49</v>
      </c>
      <c r="AZ4" s="15" t="s">
        <v>50</v>
      </c>
      <c r="BA4" s="13" t="s">
        <v>51</v>
      </c>
      <c r="BB4" s="13" t="s">
        <v>52</v>
      </c>
      <c r="BC4" s="12" t="s">
        <v>53</v>
      </c>
      <c r="BD4" s="12" t="s">
        <v>54</v>
      </c>
      <c r="BE4" s="13" t="s">
        <v>55</v>
      </c>
      <c r="BF4" s="12" t="s">
        <v>56</v>
      </c>
      <c r="BG4" s="12" t="s">
        <v>1011</v>
      </c>
      <c r="BH4" s="45" t="s">
        <v>1085</v>
      </c>
      <c r="BI4" s="14" t="s">
        <v>57</v>
      </c>
      <c r="BJ4" s="13" t="s">
        <v>58</v>
      </c>
      <c r="BK4" s="12" t="s">
        <v>59</v>
      </c>
      <c r="BL4" s="12" t="s">
        <v>60</v>
      </c>
    </row>
    <row r="5" spans="1:65" s="68" customFormat="1" ht="14.4" customHeight="1" x14ac:dyDescent="0.3">
      <c r="A5" s="70" t="str">
        <f>H5</f>
        <v>001039</v>
      </c>
      <c r="B5" s="70" t="s">
        <v>61</v>
      </c>
      <c r="C5" s="70" t="s">
        <v>62</v>
      </c>
      <c r="D5" s="70" t="s">
        <v>63</v>
      </c>
      <c r="E5" s="70" t="s">
        <v>64</v>
      </c>
      <c r="F5" s="70" t="s">
        <v>2783</v>
      </c>
      <c r="G5" s="70" t="s">
        <v>2784</v>
      </c>
      <c r="H5" s="70" t="s">
        <v>109</v>
      </c>
      <c r="I5" s="70" t="s">
        <v>67</v>
      </c>
      <c r="J5" s="70" t="s">
        <v>110</v>
      </c>
      <c r="K5" s="71">
        <v>45322</v>
      </c>
      <c r="L5" s="71">
        <v>45566</v>
      </c>
      <c r="M5" s="72">
        <v>15000.01</v>
      </c>
      <c r="N5" s="72">
        <v>15801.12</v>
      </c>
      <c r="O5" s="73">
        <v>498</v>
      </c>
      <c r="P5" s="73">
        <v>8</v>
      </c>
      <c r="Q5" s="70" t="s">
        <v>68</v>
      </c>
      <c r="R5" s="72">
        <v>3393.84</v>
      </c>
      <c r="S5" s="72">
        <v>464</v>
      </c>
      <c r="T5" s="72">
        <v>3480</v>
      </c>
      <c r="U5" s="72">
        <v>0</v>
      </c>
      <c r="V5" s="72">
        <v>5</v>
      </c>
      <c r="W5" s="72">
        <v>11656.93</v>
      </c>
      <c r="X5" s="72">
        <v>21138.720000000001</v>
      </c>
      <c r="Y5" s="72">
        <v>11656.93</v>
      </c>
      <c r="Z5" s="72">
        <v>5022.2700000000004</v>
      </c>
      <c r="AA5" s="72">
        <v>979.52</v>
      </c>
      <c r="AB5" s="72">
        <v>3480</v>
      </c>
      <c r="AC5" s="72">
        <v>3400</v>
      </c>
      <c r="AD5" s="71">
        <v>45413</v>
      </c>
      <c r="AE5" s="70" t="s">
        <v>69</v>
      </c>
      <c r="AF5" s="70" t="s">
        <v>111</v>
      </c>
      <c r="AI5" s="70" t="s">
        <v>70</v>
      </c>
      <c r="AJ5" s="70" t="s">
        <v>71</v>
      </c>
      <c r="AY5" s="72">
        <v>21138.720000000001</v>
      </c>
      <c r="AZ5" s="72">
        <v>0</v>
      </c>
      <c r="BA5" s="70" t="s">
        <v>67</v>
      </c>
      <c r="BB5" s="70" t="s">
        <v>72</v>
      </c>
      <c r="BC5" s="70" t="s">
        <v>112</v>
      </c>
      <c r="BD5" s="70" t="s">
        <v>88</v>
      </c>
      <c r="BE5" s="70" t="s">
        <v>74</v>
      </c>
      <c r="BF5" s="70" t="s">
        <v>75</v>
      </c>
      <c r="BH5" s="60" t="str">
        <f>HYPERLINK("https://www.google.com/maps/search/?api=1&amp;query=" &amp; SUBSTITUTE(SUBSTITUTE(BG5, "°", "%20"), """", ""), "Ver en Mapa")</f>
        <v>Ver en Mapa</v>
      </c>
      <c r="BK5" s="70">
        <v>17</v>
      </c>
      <c r="BL5" s="70">
        <v>17</v>
      </c>
      <c r="BM5" s="70" t="s">
        <v>2846</v>
      </c>
    </row>
    <row r="6" spans="1:65" s="68" customFormat="1" ht="14.4" customHeight="1" x14ac:dyDescent="0.3">
      <c r="A6" s="70" t="str">
        <f>H6</f>
        <v>001004</v>
      </c>
      <c r="B6" s="70" t="s">
        <v>61</v>
      </c>
      <c r="C6" s="70" t="s">
        <v>62</v>
      </c>
      <c r="D6" s="70" t="s">
        <v>65</v>
      </c>
      <c r="E6" s="70" t="s">
        <v>66</v>
      </c>
      <c r="F6" s="70" t="s">
        <v>2783</v>
      </c>
      <c r="G6" s="70" t="s">
        <v>2784</v>
      </c>
      <c r="H6" s="70" t="s">
        <v>78</v>
      </c>
      <c r="I6" s="70" t="s">
        <v>67</v>
      </c>
      <c r="J6" s="70" t="s">
        <v>79</v>
      </c>
      <c r="K6" s="71">
        <v>45142</v>
      </c>
      <c r="L6" s="71">
        <v>45508</v>
      </c>
      <c r="M6" s="72">
        <v>50000</v>
      </c>
      <c r="N6" s="72">
        <v>52670.39</v>
      </c>
      <c r="O6" s="73">
        <v>497</v>
      </c>
      <c r="P6" s="73">
        <v>12</v>
      </c>
      <c r="Q6" s="70" t="s">
        <v>68</v>
      </c>
      <c r="R6" s="72">
        <v>8403.93</v>
      </c>
      <c r="S6" s="72">
        <v>696</v>
      </c>
      <c r="T6" s="72">
        <v>1715.44</v>
      </c>
      <c r="U6" s="72">
        <v>0</v>
      </c>
      <c r="V6" s="72">
        <v>2.6</v>
      </c>
      <c r="W6" s="72">
        <v>18787.5</v>
      </c>
      <c r="X6" s="72">
        <v>23943.170000000002</v>
      </c>
      <c r="Y6" s="72">
        <v>18787.48</v>
      </c>
      <c r="Z6" s="72">
        <v>2512.25</v>
      </c>
      <c r="AA6" s="72">
        <v>928</v>
      </c>
      <c r="AB6" s="72">
        <v>1715.44</v>
      </c>
      <c r="AC6" s="72">
        <v>4200</v>
      </c>
      <c r="AD6" s="71">
        <v>45709</v>
      </c>
      <c r="AE6" s="70" t="s">
        <v>69</v>
      </c>
      <c r="AF6" s="70" t="s">
        <v>80</v>
      </c>
      <c r="AG6" s="70" t="s">
        <v>81</v>
      </c>
      <c r="AI6" s="70" t="s">
        <v>82</v>
      </c>
      <c r="AJ6" s="70" t="s">
        <v>83</v>
      </c>
      <c r="AY6" s="72">
        <v>23943.19</v>
      </c>
      <c r="AZ6" s="72">
        <v>0</v>
      </c>
      <c r="BA6" s="70" t="s">
        <v>67</v>
      </c>
      <c r="BB6" s="70" t="s">
        <v>77</v>
      </c>
      <c r="BC6" s="70" t="s">
        <v>84</v>
      </c>
      <c r="BD6" s="70" t="s">
        <v>85</v>
      </c>
      <c r="BE6" s="70" t="s">
        <v>74</v>
      </c>
      <c r="BF6" s="70" t="s">
        <v>75</v>
      </c>
      <c r="BH6" s="60" t="str">
        <f t="shared" ref="BH6:BH69" si="0">HYPERLINK("https://www.google.com/maps/search/?api=1&amp;query=" &amp; SUBSTITUTE(SUBSTITUTE(BG6, "°", "%20"), """", ""), "Ver en Mapa")</f>
        <v>Ver en Mapa</v>
      </c>
      <c r="BK6" s="70">
        <v>20</v>
      </c>
      <c r="BL6" s="70">
        <v>19</v>
      </c>
      <c r="BM6" s="70" t="s">
        <v>2846</v>
      </c>
    </row>
    <row r="7" spans="1:65" s="68" customFormat="1" ht="14.4" customHeight="1" x14ac:dyDescent="0.3">
      <c r="A7" s="70" t="str">
        <f>H7</f>
        <v>001027</v>
      </c>
      <c r="B7" s="70" t="s">
        <v>61</v>
      </c>
      <c r="C7" s="70" t="s">
        <v>62</v>
      </c>
      <c r="D7" s="70" t="s">
        <v>65</v>
      </c>
      <c r="E7" s="70" t="s">
        <v>66</v>
      </c>
      <c r="F7" s="70" t="s">
        <v>2783</v>
      </c>
      <c r="G7" s="70" t="s">
        <v>2784</v>
      </c>
      <c r="H7" s="70" t="s">
        <v>91</v>
      </c>
      <c r="I7" s="70" t="s">
        <v>67</v>
      </c>
      <c r="J7" s="70" t="s">
        <v>92</v>
      </c>
      <c r="K7" s="71">
        <v>45268</v>
      </c>
      <c r="L7" s="71">
        <v>45634</v>
      </c>
      <c r="M7" s="72">
        <v>40000</v>
      </c>
      <c r="N7" s="72">
        <v>42136.31</v>
      </c>
      <c r="O7" s="73">
        <v>491</v>
      </c>
      <c r="P7" s="73">
        <v>12</v>
      </c>
      <c r="Q7" s="70" t="s">
        <v>68</v>
      </c>
      <c r="R7" s="72">
        <v>7264.24</v>
      </c>
      <c r="S7" s="72">
        <v>696</v>
      </c>
      <c r="T7" s="72">
        <v>3480</v>
      </c>
      <c r="U7" s="72">
        <v>0</v>
      </c>
      <c r="V7" s="72">
        <v>6.8</v>
      </c>
      <c r="W7" s="72">
        <v>31607.600000000002</v>
      </c>
      <c r="X7" s="72">
        <v>53407.880000000005</v>
      </c>
      <c r="Y7" s="72">
        <v>31607.600000000002</v>
      </c>
      <c r="Z7" s="72">
        <v>17392.28</v>
      </c>
      <c r="AA7" s="72">
        <v>928</v>
      </c>
      <c r="AB7" s="72">
        <v>3480</v>
      </c>
      <c r="AC7" s="72">
        <v>1500</v>
      </c>
      <c r="AD7" s="71">
        <v>45549</v>
      </c>
      <c r="AE7" s="70" t="s">
        <v>69</v>
      </c>
      <c r="AF7" s="70" t="s">
        <v>93</v>
      </c>
      <c r="AI7" s="70" t="s">
        <v>94</v>
      </c>
      <c r="AJ7" s="70" t="s">
        <v>95</v>
      </c>
      <c r="AY7" s="72">
        <v>53407.880000000005</v>
      </c>
      <c r="AZ7" s="72">
        <v>0</v>
      </c>
      <c r="BA7" s="70" t="s">
        <v>67</v>
      </c>
      <c r="BB7" s="70" t="s">
        <v>72</v>
      </c>
      <c r="BC7" s="70" t="s">
        <v>96</v>
      </c>
      <c r="BD7" s="70" t="s">
        <v>97</v>
      </c>
      <c r="BE7" s="70" t="s">
        <v>74</v>
      </c>
      <c r="BF7" s="70" t="s">
        <v>75</v>
      </c>
      <c r="BH7" s="60" t="str">
        <f t="shared" si="0"/>
        <v>Ver en Mapa</v>
      </c>
      <c r="BK7" s="70">
        <v>19</v>
      </c>
      <c r="BL7" s="70">
        <v>19</v>
      </c>
      <c r="BM7" s="70" t="s">
        <v>2847</v>
      </c>
    </row>
    <row r="8" spans="1:65" s="68" customFormat="1" ht="14.4" customHeight="1" x14ac:dyDescent="0.3">
      <c r="A8" s="70" t="str">
        <f>H8</f>
        <v>001016</v>
      </c>
      <c r="B8" s="70" t="s">
        <v>61</v>
      </c>
      <c r="C8" s="70" t="s">
        <v>273</v>
      </c>
      <c r="D8" s="70" t="s">
        <v>286</v>
      </c>
      <c r="E8" s="70" t="s">
        <v>287</v>
      </c>
      <c r="F8" s="70" t="s">
        <v>2783</v>
      </c>
      <c r="G8" s="70" t="s">
        <v>2784</v>
      </c>
      <c r="H8" s="70" t="s">
        <v>288</v>
      </c>
      <c r="I8" s="70" t="s">
        <v>67</v>
      </c>
      <c r="J8" s="70" t="s">
        <v>289</v>
      </c>
      <c r="K8" s="71">
        <v>45194</v>
      </c>
      <c r="L8" s="71">
        <v>45560</v>
      </c>
      <c r="M8" s="72">
        <v>130000</v>
      </c>
      <c r="N8" s="72">
        <v>136943.01</v>
      </c>
      <c r="O8" s="73">
        <v>446</v>
      </c>
      <c r="P8" s="73">
        <v>12</v>
      </c>
      <c r="Q8" s="70" t="s">
        <v>68</v>
      </c>
      <c r="R8" s="72">
        <v>20230.48</v>
      </c>
      <c r="S8" s="72">
        <v>696</v>
      </c>
      <c r="T8" s="72">
        <v>580</v>
      </c>
      <c r="U8" s="72">
        <v>0</v>
      </c>
      <c r="V8" s="72">
        <v>2.1</v>
      </c>
      <c r="W8" s="72">
        <v>39682.01</v>
      </c>
      <c r="X8" s="72">
        <v>44446.42</v>
      </c>
      <c r="Y8" s="72">
        <v>39682</v>
      </c>
      <c r="Z8" s="72">
        <v>3488.42</v>
      </c>
      <c r="AA8" s="72">
        <v>696</v>
      </c>
      <c r="AB8" s="72">
        <v>580</v>
      </c>
      <c r="AC8" s="72">
        <v>5050</v>
      </c>
      <c r="AD8" s="71">
        <v>45555</v>
      </c>
      <c r="AE8" s="70" t="s">
        <v>69</v>
      </c>
      <c r="AF8" s="70" t="s">
        <v>290</v>
      </c>
      <c r="AI8" s="70" t="s">
        <v>291</v>
      </c>
      <c r="AJ8" s="70" t="s">
        <v>292</v>
      </c>
      <c r="AY8" s="72">
        <v>42768.090000000004</v>
      </c>
      <c r="AZ8" s="72">
        <v>0</v>
      </c>
      <c r="BA8" s="70" t="s">
        <v>123</v>
      </c>
      <c r="BB8" s="70" t="s">
        <v>124</v>
      </c>
      <c r="BC8" s="70" t="s">
        <v>293</v>
      </c>
      <c r="BD8" s="70" t="s">
        <v>294</v>
      </c>
      <c r="BE8" s="70" t="s">
        <v>74</v>
      </c>
      <c r="BF8" s="70" t="s">
        <v>204</v>
      </c>
      <c r="BH8" s="60" t="str">
        <f t="shared" si="0"/>
        <v>Ver en Mapa</v>
      </c>
      <c r="BK8" s="70">
        <v>24</v>
      </c>
      <c r="BL8" s="70">
        <v>24</v>
      </c>
      <c r="BM8" s="70" t="s">
        <v>2847</v>
      </c>
    </row>
    <row r="9" spans="1:65" s="68" customFormat="1" ht="14.4" customHeight="1" x14ac:dyDescent="0.3">
      <c r="A9" s="70" t="str">
        <f>H9</f>
        <v>001037</v>
      </c>
      <c r="B9" s="70" t="s">
        <v>61</v>
      </c>
      <c r="C9" s="70" t="s">
        <v>62</v>
      </c>
      <c r="D9" s="70" t="s">
        <v>65</v>
      </c>
      <c r="E9" s="70" t="s">
        <v>66</v>
      </c>
      <c r="F9" s="70" t="s">
        <v>2783</v>
      </c>
      <c r="G9" s="70" t="s">
        <v>2784</v>
      </c>
      <c r="H9" s="70" t="s">
        <v>103</v>
      </c>
      <c r="I9" s="70" t="s">
        <v>67</v>
      </c>
      <c r="J9" s="70" t="s">
        <v>104</v>
      </c>
      <c r="K9" s="71">
        <v>45322</v>
      </c>
      <c r="L9" s="71">
        <v>45566</v>
      </c>
      <c r="M9" s="72">
        <v>20000</v>
      </c>
      <c r="N9" s="72">
        <v>21068.16</v>
      </c>
      <c r="O9" s="73">
        <v>439</v>
      </c>
      <c r="P9" s="73">
        <v>8</v>
      </c>
      <c r="Q9" s="70" t="s">
        <v>68</v>
      </c>
      <c r="R9" s="72">
        <v>4505.78</v>
      </c>
      <c r="S9" s="72">
        <v>464</v>
      </c>
      <c r="T9" s="72">
        <v>2320</v>
      </c>
      <c r="U9" s="72">
        <v>0</v>
      </c>
      <c r="V9" s="72">
        <v>3</v>
      </c>
      <c r="W9" s="72">
        <v>10454.49</v>
      </c>
      <c r="X9" s="72">
        <v>16530.25</v>
      </c>
      <c r="Y9" s="72">
        <v>10454.51</v>
      </c>
      <c r="Z9" s="72">
        <v>2888.83</v>
      </c>
      <c r="AA9" s="72">
        <v>866.91</v>
      </c>
      <c r="AB9" s="72">
        <v>2320</v>
      </c>
      <c r="AC9" s="72">
        <v>4520</v>
      </c>
      <c r="AD9" s="71">
        <v>45498</v>
      </c>
      <c r="AE9" s="70" t="s">
        <v>69</v>
      </c>
      <c r="AF9" s="70" t="s">
        <v>105</v>
      </c>
      <c r="AI9" s="70" t="s">
        <v>70</v>
      </c>
      <c r="AJ9" s="70" t="s">
        <v>71</v>
      </c>
      <c r="AK9" s="70" t="s">
        <v>106</v>
      </c>
      <c r="AL9" s="70" t="s">
        <v>107</v>
      </c>
      <c r="AY9" s="72">
        <v>16530.23</v>
      </c>
      <c r="AZ9" s="72">
        <v>0</v>
      </c>
      <c r="BA9" s="70" t="s">
        <v>67</v>
      </c>
      <c r="BB9" s="70" t="s">
        <v>72</v>
      </c>
      <c r="BC9" s="70" t="s">
        <v>108</v>
      </c>
      <c r="BD9" s="70" t="s">
        <v>73</v>
      </c>
      <c r="BE9" s="70" t="s">
        <v>74</v>
      </c>
      <c r="BF9" s="70" t="s">
        <v>75</v>
      </c>
      <c r="BH9" s="60" t="str">
        <f t="shared" si="0"/>
        <v>Ver en Mapa</v>
      </c>
      <c r="BK9" s="70">
        <v>18</v>
      </c>
      <c r="BL9" s="70">
        <v>18</v>
      </c>
      <c r="BM9" s="70" t="s">
        <v>2846</v>
      </c>
    </row>
    <row r="10" spans="1:65" s="68" customFormat="1" ht="14.4" customHeight="1" x14ac:dyDescent="0.3">
      <c r="A10" s="70" t="str">
        <f>H10</f>
        <v>001069</v>
      </c>
      <c r="B10" s="70" t="s">
        <v>61</v>
      </c>
      <c r="C10" s="70" t="s">
        <v>273</v>
      </c>
      <c r="D10" s="70" t="s">
        <v>274</v>
      </c>
      <c r="E10" s="70" t="s">
        <v>275</v>
      </c>
      <c r="F10" s="70" t="s">
        <v>2783</v>
      </c>
      <c r="G10" s="70" t="s">
        <v>2784</v>
      </c>
      <c r="H10" s="70" t="s">
        <v>276</v>
      </c>
      <c r="I10" s="70" t="s">
        <v>67</v>
      </c>
      <c r="J10" s="70" t="s">
        <v>277</v>
      </c>
      <c r="K10" s="71">
        <v>45492</v>
      </c>
      <c r="L10" s="71">
        <v>45676</v>
      </c>
      <c r="M10" s="72">
        <v>15000</v>
      </c>
      <c r="N10" s="72">
        <v>15000</v>
      </c>
      <c r="O10" s="73">
        <v>421</v>
      </c>
      <c r="P10" s="73">
        <v>6</v>
      </c>
      <c r="Q10" s="70" t="s">
        <v>68</v>
      </c>
      <c r="R10" s="72">
        <v>2876.9700000000003</v>
      </c>
      <c r="S10" s="72">
        <v>0</v>
      </c>
      <c r="T10" s="72">
        <v>0</v>
      </c>
      <c r="U10" s="72">
        <v>0</v>
      </c>
      <c r="V10" s="72">
        <v>6</v>
      </c>
      <c r="W10" s="72">
        <v>15000</v>
      </c>
      <c r="X10" s="72">
        <v>17261.82</v>
      </c>
      <c r="Y10" s="72">
        <v>14999.99</v>
      </c>
      <c r="Z10" s="72">
        <v>2261.83</v>
      </c>
      <c r="AA10" s="72">
        <v>0</v>
      </c>
      <c r="AB10" s="72">
        <v>0</v>
      </c>
      <c r="AE10" s="70" t="s">
        <v>69</v>
      </c>
      <c r="AF10" s="70" t="s">
        <v>278</v>
      </c>
      <c r="AG10" s="70" t="s">
        <v>279</v>
      </c>
      <c r="AI10" s="70" t="s">
        <v>192</v>
      </c>
      <c r="AJ10" s="70" t="s">
        <v>193</v>
      </c>
      <c r="AY10" s="72">
        <v>17261.830000000002</v>
      </c>
      <c r="AZ10" s="72">
        <v>0</v>
      </c>
      <c r="BA10" s="70" t="s">
        <v>280</v>
      </c>
      <c r="BB10" s="70" t="s">
        <v>281</v>
      </c>
      <c r="BC10" s="70" t="s">
        <v>2950</v>
      </c>
      <c r="BD10" s="70" t="s">
        <v>282</v>
      </c>
      <c r="BE10" s="70" t="s">
        <v>74</v>
      </c>
      <c r="BF10" s="70" t="s">
        <v>204</v>
      </c>
      <c r="BH10" s="60" t="str">
        <f t="shared" si="0"/>
        <v>Ver en Mapa</v>
      </c>
      <c r="BK10" s="70">
        <v>14</v>
      </c>
      <c r="BL10" s="70">
        <v>14</v>
      </c>
      <c r="BM10" s="70" t="s">
        <v>2846</v>
      </c>
    </row>
    <row r="11" spans="1:65" s="68" customFormat="1" ht="14.4" customHeight="1" x14ac:dyDescent="0.3">
      <c r="A11" s="70" t="str">
        <f>H11</f>
        <v>001059</v>
      </c>
      <c r="B11" s="70" t="s">
        <v>61</v>
      </c>
      <c r="C11" s="70" t="s">
        <v>194</v>
      </c>
      <c r="D11" s="70" t="s">
        <v>195</v>
      </c>
      <c r="E11" s="70" t="s">
        <v>196</v>
      </c>
      <c r="F11" s="70" t="s">
        <v>2783</v>
      </c>
      <c r="G11" s="70" t="s">
        <v>2784</v>
      </c>
      <c r="H11" s="70" t="s">
        <v>197</v>
      </c>
      <c r="I11" s="70" t="s">
        <v>67</v>
      </c>
      <c r="J11" s="70" t="s">
        <v>198</v>
      </c>
      <c r="K11" s="71">
        <v>45441</v>
      </c>
      <c r="L11" s="71">
        <v>45690</v>
      </c>
      <c r="M11" s="72">
        <v>80000</v>
      </c>
      <c r="N11" s="72">
        <v>84272.62</v>
      </c>
      <c r="O11" s="73">
        <v>377</v>
      </c>
      <c r="P11" s="73">
        <v>8</v>
      </c>
      <c r="Q11" s="70" t="s">
        <v>68</v>
      </c>
      <c r="R11" s="72">
        <v>17017.760000000002</v>
      </c>
      <c r="S11" s="72">
        <v>464</v>
      </c>
      <c r="T11" s="72">
        <v>2320</v>
      </c>
      <c r="U11" s="72">
        <v>0</v>
      </c>
      <c r="V11" s="72">
        <v>4.4000000000000004</v>
      </c>
      <c r="W11" s="72">
        <v>59540.72</v>
      </c>
      <c r="X11" s="72">
        <v>78446.080000000002</v>
      </c>
      <c r="Y11" s="72">
        <v>59540.72</v>
      </c>
      <c r="Z11" s="72">
        <v>15889.36</v>
      </c>
      <c r="AA11" s="72">
        <v>696</v>
      </c>
      <c r="AB11" s="72">
        <v>2320</v>
      </c>
      <c r="AC11" s="72">
        <v>5000</v>
      </c>
      <c r="AD11" s="71">
        <v>45592</v>
      </c>
      <c r="AE11" s="70" t="s">
        <v>69</v>
      </c>
      <c r="AF11" s="70" t="s">
        <v>199</v>
      </c>
      <c r="AG11" s="70" t="s">
        <v>200</v>
      </c>
      <c r="AI11" s="70" t="s">
        <v>82</v>
      </c>
      <c r="AJ11" s="70" t="s">
        <v>83</v>
      </c>
      <c r="AM11" s="70" t="s">
        <v>784</v>
      </c>
      <c r="AN11" s="70" t="s">
        <v>1257</v>
      </c>
      <c r="AO11" s="70" t="s">
        <v>1258</v>
      </c>
      <c r="AP11" s="70" t="s">
        <v>1259</v>
      </c>
      <c r="AQ11" s="70" t="s">
        <v>1260</v>
      </c>
      <c r="AR11" s="70" t="s">
        <v>1261</v>
      </c>
      <c r="AS11" s="70" t="s">
        <v>122</v>
      </c>
      <c r="AT11" s="68" t="s">
        <v>201</v>
      </c>
      <c r="AU11" s="70" t="s">
        <v>202</v>
      </c>
      <c r="AY11" s="72">
        <v>78446.080000000002</v>
      </c>
      <c r="AZ11" s="72">
        <v>0</v>
      </c>
      <c r="BA11" s="70" t="s">
        <v>67</v>
      </c>
      <c r="BB11" s="70" t="s">
        <v>77</v>
      </c>
      <c r="BC11" s="70" t="s">
        <v>2981</v>
      </c>
      <c r="BD11" s="70" t="s">
        <v>203</v>
      </c>
      <c r="BE11" s="70" t="s">
        <v>74</v>
      </c>
      <c r="BF11" s="70" t="s">
        <v>204</v>
      </c>
      <c r="BH11" s="60" t="str">
        <f t="shared" si="0"/>
        <v>Ver en Mapa</v>
      </c>
      <c r="BK11" s="70">
        <v>16</v>
      </c>
      <c r="BL11" s="70">
        <v>16</v>
      </c>
      <c r="BM11" s="70" t="s">
        <v>2847</v>
      </c>
    </row>
    <row r="12" spans="1:65" s="68" customFormat="1" ht="14.4" customHeight="1" x14ac:dyDescent="0.3">
      <c r="A12" s="70" t="str">
        <f>H12</f>
        <v>001056</v>
      </c>
      <c r="B12" s="70" t="s">
        <v>61</v>
      </c>
      <c r="C12" s="70" t="s">
        <v>205</v>
      </c>
      <c r="D12" s="70" t="s">
        <v>215</v>
      </c>
      <c r="E12" s="70" t="s">
        <v>216</v>
      </c>
      <c r="F12" s="70" t="s">
        <v>2783</v>
      </c>
      <c r="G12" s="70" t="s">
        <v>2784</v>
      </c>
      <c r="H12" s="70" t="s">
        <v>224</v>
      </c>
      <c r="I12" s="70" t="s">
        <v>67</v>
      </c>
      <c r="J12" s="70" t="s">
        <v>225</v>
      </c>
      <c r="K12" s="71">
        <v>45436</v>
      </c>
      <c r="L12" s="71">
        <v>45801</v>
      </c>
      <c r="M12" s="72">
        <v>25000</v>
      </c>
      <c r="N12" s="72">
        <v>26335.190000000002</v>
      </c>
      <c r="O12" s="73">
        <v>294</v>
      </c>
      <c r="P12" s="73">
        <v>12</v>
      </c>
      <c r="Q12" s="70" t="s">
        <v>68</v>
      </c>
      <c r="R12" s="72">
        <v>4230.97</v>
      </c>
      <c r="S12" s="72">
        <v>696</v>
      </c>
      <c r="T12" s="72">
        <v>3898.82</v>
      </c>
      <c r="U12" s="72">
        <v>0</v>
      </c>
      <c r="V12" s="72">
        <v>6</v>
      </c>
      <c r="W12" s="72">
        <v>17352.87</v>
      </c>
      <c r="X12" s="72">
        <v>29458.639999999999</v>
      </c>
      <c r="Y12" s="72">
        <v>17352.87</v>
      </c>
      <c r="Z12" s="72">
        <v>7684.95</v>
      </c>
      <c r="AA12" s="72">
        <v>522</v>
      </c>
      <c r="AB12" s="72">
        <v>3898.82</v>
      </c>
      <c r="AC12" s="72">
        <v>2250</v>
      </c>
      <c r="AD12" s="71">
        <v>45656</v>
      </c>
      <c r="AE12" s="70" t="s">
        <v>69</v>
      </c>
      <c r="AF12" s="70" t="s">
        <v>226</v>
      </c>
      <c r="AG12" s="70" t="s">
        <v>227</v>
      </c>
      <c r="AI12" s="70" t="s">
        <v>228</v>
      </c>
      <c r="AJ12" s="70" t="s">
        <v>229</v>
      </c>
      <c r="AM12" s="70" t="s">
        <v>883</v>
      </c>
      <c r="AN12" s="70" t="s">
        <v>882</v>
      </c>
      <c r="AO12" s="70" t="s">
        <v>1276</v>
      </c>
      <c r="AP12" s="70" t="s">
        <v>1277</v>
      </c>
      <c r="AQ12" s="70" t="s">
        <v>1278</v>
      </c>
      <c r="AR12" s="70" t="s">
        <v>1279</v>
      </c>
      <c r="AS12" s="70" t="s">
        <v>122</v>
      </c>
      <c r="AT12" s="68" t="s">
        <v>230</v>
      </c>
      <c r="AU12" s="70" t="s">
        <v>231</v>
      </c>
      <c r="AY12" s="72">
        <v>29458.639999999999</v>
      </c>
      <c r="AZ12" s="72">
        <v>0</v>
      </c>
      <c r="BA12" s="70" t="s">
        <v>67</v>
      </c>
      <c r="BB12" s="70" t="s">
        <v>77</v>
      </c>
      <c r="BC12" s="70" t="s">
        <v>3008</v>
      </c>
      <c r="BD12" s="70" t="s">
        <v>232</v>
      </c>
      <c r="BE12" s="70" t="s">
        <v>213</v>
      </c>
      <c r="BF12" s="70" t="s">
        <v>205</v>
      </c>
      <c r="BH12" s="60" t="str">
        <f t="shared" si="0"/>
        <v>Ver en Mapa</v>
      </c>
      <c r="BK12" s="70">
        <v>15</v>
      </c>
      <c r="BL12" s="70">
        <v>15</v>
      </c>
      <c r="BM12" s="70" t="s">
        <v>2847</v>
      </c>
    </row>
    <row r="13" spans="1:65" s="68" customFormat="1" ht="14.4" customHeight="1" x14ac:dyDescent="0.3">
      <c r="A13" s="70" t="str">
        <f>H13</f>
        <v>001035</v>
      </c>
      <c r="B13" s="70" t="s">
        <v>61</v>
      </c>
      <c r="C13" s="70" t="s">
        <v>62</v>
      </c>
      <c r="D13" s="70" t="s">
        <v>113</v>
      </c>
      <c r="E13" s="70" t="s">
        <v>114</v>
      </c>
      <c r="F13" s="70" t="s">
        <v>2848</v>
      </c>
      <c r="G13" s="70" t="s">
        <v>2849</v>
      </c>
      <c r="H13" s="70" t="s">
        <v>115</v>
      </c>
      <c r="I13" s="70" t="s">
        <v>76</v>
      </c>
      <c r="J13" s="70" t="s">
        <v>116</v>
      </c>
      <c r="K13" s="71">
        <v>45492</v>
      </c>
      <c r="L13" s="71">
        <v>45857</v>
      </c>
      <c r="M13" s="72">
        <v>40000</v>
      </c>
      <c r="N13" s="72">
        <v>42136.31</v>
      </c>
      <c r="O13" s="73">
        <v>209</v>
      </c>
      <c r="P13" s="73">
        <v>12</v>
      </c>
      <c r="Q13" s="70" t="s">
        <v>68</v>
      </c>
      <c r="R13" s="72">
        <v>6476.17</v>
      </c>
      <c r="S13" s="72">
        <v>696</v>
      </c>
      <c r="T13" s="72">
        <v>2900</v>
      </c>
      <c r="U13" s="72">
        <v>0</v>
      </c>
      <c r="V13" s="72">
        <v>4.9000000000000004</v>
      </c>
      <c r="W13" s="72">
        <v>23860.74</v>
      </c>
      <c r="X13" s="72">
        <v>34611.040000000001</v>
      </c>
      <c r="Y13" s="72">
        <v>23860.73</v>
      </c>
      <c r="Z13" s="72">
        <v>7502.31</v>
      </c>
      <c r="AA13" s="72">
        <v>348</v>
      </c>
      <c r="AB13" s="72">
        <v>2900</v>
      </c>
      <c r="AC13" s="72">
        <v>1000</v>
      </c>
      <c r="AD13" s="71">
        <v>45771</v>
      </c>
      <c r="AE13" s="70" t="s">
        <v>69</v>
      </c>
      <c r="AF13" s="70" t="s">
        <v>117</v>
      </c>
      <c r="AG13" s="70" t="s">
        <v>118</v>
      </c>
      <c r="AI13" s="70" t="s">
        <v>86</v>
      </c>
      <c r="AJ13" s="70" t="s">
        <v>87</v>
      </c>
      <c r="AK13" s="70" t="s">
        <v>119</v>
      </c>
      <c r="AL13" s="70" t="s">
        <v>120</v>
      </c>
      <c r="AM13" s="70" t="s">
        <v>695</v>
      </c>
      <c r="AN13" s="70" t="s">
        <v>1242</v>
      </c>
      <c r="AO13" s="70" t="s">
        <v>692</v>
      </c>
      <c r="AP13" s="70" t="s">
        <v>693</v>
      </c>
      <c r="AQ13" s="70" t="s">
        <v>694</v>
      </c>
      <c r="AR13" s="70" t="s">
        <v>1243</v>
      </c>
      <c r="AY13" s="72">
        <v>34611.050000000003</v>
      </c>
      <c r="AZ13" s="72">
        <v>0</v>
      </c>
      <c r="BA13" s="70" t="s">
        <v>67</v>
      </c>
      <c r="BB13" s="70" t="s">
        <v>72</v>
      </c>
      <c r="BC13" s="70" t="s">
        <v>2877</v>
      </c>
      <c r="BD13" s="70" t="s">
        <v>88</v>
      </c>
      <c r="BE13" s="70" t="s">
        <v>74</v>
      </c>
      <c r="BF13" s="70" t="s">
        <v>75</v>
      </c>
      <c r="BH13" s="60" t="str">
        <f t="shared" si="0"/>
        <v>Ver en Mapa</v>
      </c>
      <c r="BK13" s="70">
        <v>14</v>
      </c>
      <c r="BL13" s="70">
        <v>14</v>
      </c>
      <c r="BM13" s="70" t="s">
        <v>2847</v>
      </c>
    </row>
    <row r="14" spans="1:65" s="68" customFormat="1" ht="14.4" customHeight="1" x14ac:dyDescent="0.3">
      <c r="A14" s="70" t="str">
        <f>H14</f>
        <v>001062</v>
      </c>
      <c r="B14" s="70" t="s">
        <v>61</v>
      </c>
      <c r="C14" s="70" t="s">
        <v>205</v>
      </c>
      <c r="D14" s="70" t="s">
        <v>259</v>
      </c>
      <c r="E14" s="70" t="s">
        <v>260</v>
      </c>
      <c r="F14" s="70" t="s">
        <v>2802</v>
      </c>
      <c r="G14" s="70" t="s">
        <v>2803</v>
      </c>
      <c r="H14" s="70" t="s">
        <v>261</v>
      </c>
      <c r="I14" s="70" t="s">
        <v>67</v>
      </c>
      <c r="J14" s="70" t="s">
        <v>262</v>
      </c>
      <c r="K14" s="71">
        <v>45453</v>
      </c>
      <c r="L14" s="71">
        <v>45827</v>
      </c>
      <c r="M14" s="72">
        <v>60000</v>
      </c>
      <c r="N14" s="72">
        <v>63204.47</v>
      </c>
      <c r="O14" s="73">
        <v>209</v>
      </c>
      <c r="P14" s="73">
        <v>12</v>
      </c>
      <c r="Q14" s="70" t="s">
        <v>68</v>
      </c>
      <c r="R14" s="72">
        <v>10073.120000000001</v>
      </c>
      <c r="S14" s="72">
        <v>696</v>
      </c>
      <c r="T14" s="72">
        <v>1740</v>
      </c>
      <c r="U14" s="72">
        <v>0</v>
      </c>
      <c r="V14" s="72">
        <v>3.4</v>
      </c>
      <c r="W14" s="72">
        <v>27912.04</v>
      </c>
      <c r="X14" s="72">
        <v>35824.44</v>
      </c>
      <c r="Y14" s="72">
        <v>27912.04</v>
      </c>
      <c r="Z14" s="72">
        <v>5824.4000000000005</v>
      </c>
      <c r="AA14" s="72">
        <v>348</v>
      </c>
      <c r="AB14" s="72">
        <v>1740</v>
      </c>
      <c r="AC14" s="72">
        <v>500</v>
      </c>
      <c r="AD14" s="71">
        <v>45891</v>
      </c>
      <c r="AE14" s="70" t="s">
        <v>69</v>
      </c>
      <c r="AF14" s="70" t="s">
        <v>263</v>
      </c>
      <c r="AG14" s="70" t="s">
        <v>264</v>
      </c>
      <c r="AI14" s="70" t="s">
        <v>86</v>
      </c>
      <c r="AJ14" s="70" t="s">
        <v>87</v>
      </c>
      <c r="AM14" s="70" t="s">
        <v>890</v>
      </c>
      <c r="AN14" s="70" t="s">
        <v>889</v>
      </c>
      <c r="AO14" s="70" t="s">
        <v>1284</v>
      </c>
      <c r="AP14" s="70" t="s">
        <v>1285</v>
      </c>
      <c r="AQ14" s="70" t="s">
        <v>1286</v>
      </c>
      <c r="AR14" s="70" t="s">
        <v>1287</v>
      </c>
      <c r="AS14" s="70" t="s">
        <v>122</v>
      </c>
      <c r="AT14" s="68" t="s">
        <v>265</v>
      </c>
      <c r="AU14" s="70" t="s">
        <v>266</v>
      </c>
      <c r="AY14" s="72">
        <v>35824.44</v>
      </c>
      <c r="AZ14" s="72">
        <v>0</v>
      </c>
      <c r="BA14" s="70" t="s">
        <v>67</v>
      </c>
      <c r="BB14" s="70" t="s">
        <v>77</v>
      </c>
      <c r="BC14" s="70" t="s">
        <v>3032</v>
      </c>
      <c r="BD14" s="70" t="s">
        <v>267</v>
      </c>
      <c r="BE14" s="70" t="s">
        <v>213</v>
      </c>
      <c r="BF14" s="70" t="s">
        <v>205</v>
      </c>
      <c r="BH14" s="60" t="str">
        <f t="shared" si="0"/>
        <v>Ver en Mapa</v>
      </c>
      <c r="BK14" s="70">
        <v>15</v>
      </c>
      <c r="BL14" s="70">
        <v>15</v>
      </c>
      <c r="BM14" s="70" t="s">
        <v>2847</v>
      </c>
    </row>
    <row r="15" spans="1:65" s="68" customFormat="1" ht="14.4" customHeight="1" x14ac:dyDescent="0.3">
      <c r="A15" s="70" t="str">
        <f>H15</f>
        <v>001245</v>
      </c>
      <c r="B15" s="70" t="s">
        <v>61</v>
      </c>
      <c r="C15" s="70" t="s">
        <v>194</v>
      </c>
      <c r="D15" s="70" t="s">
        <v>408</v>
      </c>
      <c r="E15" s="70" t="s">
        <v>409</v>
      </c>
      <c r="F15" s="70" t="s">
        <v>2800</v>
      </c>
      <c r="G15" s="70" t="s">
        <v>2801</v>
      </c>
      <c r="H15" s="70" t="s">
        <v>375</v>
      </c>
      <c r="I15" s="70" t="s">
        <v>67</v>
      </c>
      <c r="J15" s="70" t="s">
        <v>376</v>
      </c>
      <c r="K15" s="71">
        <v>45761</v>
      </c>
      <c r="L15" s="71">
        <v>45944</v>
      </c>
      <c r="M15" s="72">
        <v>10000</v>
      </c>
      <c r="N15" s="72">
        <v>10534.08</v>
      </c>
      <c r="O15" s="73">
        <v>153</v>
      </c>
      <c r="P15" s="73">
        <v>6</v>
      </c>
      <c r="Q15" s="70" t="s">
        <v>68</v>
      </c>
      <c r="R15" s="72">
        <v>2351.3000000000002</v>
      </c>
      <c r="S15" s="72">
        <v>348</v>
      </c>
      <c r="T15" s="72">
        <v>2900</v>
      </c>
      <c r="U15" s="72">
        <v>0</v>
      </c>
      <c r="V15" s="72">
        <v>5.6000000000000014</v>
      </c>
      <c r="W15" s="72">
        <v>10129.700000000001</v>
      </c>
      <c r="X15" s="72">
        <v>16007.83</v>
      </c>
      <c r="Y15" s="72">
        <v>10129.700000000001</v>
      </c>
      <c r="Z15" s="72">
        <v>2688.12</v>
      </c>
      <c r="AA15" s="72">
        <v>290.01</v>
      </c>
      <c r="AB15" s="72">
        <v>2900</v>
      </c>
      <c r="AC15" s="72">
        <v>1000</v>
      </c>
      <c r="AD15" s="71">
        <v>45932</v>
      </c>
      <c r="AE15" s="70" t="s">
        <v>69</v>
      </c>
      <c r="AF15" s="70" t="s">
        <v>377</v>
      </c>
      <c r="AG15" s="70" t="s">
        <v>378</v>
      </c>
      <c r="AI15" s="70" t="s">
        <v>379</v>
      </c>
      <c r="AJ15" s="70" t="s">
        <v>380</v>
      </c>
      <c r="AK15" s="70" t="s">
        <v>416</v>
      </c>
      <c r="AM15" s="70" t="s">
        <v>824</v>
      </c>
      <c r="AN15" s="70" t="s">
        <v>1268</v>
      </c>
      <c r="AO15" s="70" t="s">
        <v>821</v>
      </c>
      <c r="AP15" s="70" t="s">
        <v>822</v>
      </c>
      <c r="AQ15" s="70" t="s">
        <v>823</v>
      </c>
      <c r="AR15" s="70" t="s">
        <v>1269</v>
      </c>
      <c r="AY15" s="72">
        <v>16007.83</v>
      </c>
      <c r="AZ15" s="72">
        <v>0</v>
      </c>
      <c r="BA15" s="70" t="s">
        <v>67</v>
      </c>
      <c r="BB15" s="70" t="s">
        <v>1044</v>
      </c>
      <c r="BC15" s="70" t="s">
        <v>2979</v>
      </c>
      <c r="BD15" s="70" t="s">
        <v>381</v>
      </c>
      <c r="BE15" s="70" t="s">
        <v>74</v>
      </c>
      <c r="BF15" s="70" t="s">
        <v>194</v>
      </c>
      <c r="BH15" s="60" t="str">
        <f t="shared" si="0"/>
        <v>Ver en Mapa</v>
      </c>
      <c r="BK15" s="70">
        <v>6</v>
      </c>
      <c r="BL15" s="70">
        <v>6</v>
      </c>
      <c r="BM15" s="70" t="s">
        <v>2847</v>
      </c>
    </row>
    <row r="16" spans="1:65" s="68" customFormat="1" ht="14.4" customHeight="1" x14ac:dyDescent="0.3">
      <c r="A16" s="70" t="str">
        <f>H16</f>
        <v>001257</v>
      </c>
      <c r="B16" s="70" t="s">
        <v>61</v>
      </c>
      <c r="C16" s="70" t="s">
        <v>205</v>
      </c>
      <c r="D16" s="70" t="s">
        <v>408</v>
      </c>
      <c r="E16" s="70" t="s">
        <v>409</v>
      </c>
      <c r="F16" s="70" t="s">
        <v>2802</v>
      </c>
      <c r="G16" s="70" t="s">
        <v>2803</v>
      </c>
      <c r="H16" s="70" t="s">
        <v>417</v>
      </c>
      <c r="I16" s="70" t="s">
        <v>67</v>
      </c>
      <c r="J16" s="70" t="s">
        <v>418</v>
      </c>
      <c r="K16" s="71">
        <v>45768</v>
      </c>
      <c r="L16" s="71">
        <v>45951</v>
      </c>
      <c r="M16" s="72">
        <v>5000</v>
      </c>
      <c r="N16" s="72">
        <v>5267.04</v>
      </c>
      <c r="O16" s="73">
        <v>146</v>
      </c>
      <c r="P16" s="73">
        <v>6</v>
      </c>
      <c r="Q16" s="70" t="s">
        <v>68</v>
      </c>
      <c r="R16" s="72">
        <v>1320.32</v>
      </c>
      <c r="S16" s="72">
        <v>348</v>
      </c>
      <c r="T16" s="72">
        <v>2900</v>
      </c>
      <c r="U16" s="72">
        <v>0</v>
      </c>
      <c r="V16" s="72">
        <v>4.2</v>
      </c>
      <c r="W16" s="72">
        <v>4659.5200000000004</v>
      </c>
      <c r="X16" s="72">
        <v>8451.5818159999999</v>
      </c>
      <c r="Y16" s="72">
        <v>3781.6800000000003</v>
      </c>
      <c r="Z16" s="72">
        <v>1537.9</v>
      </c>
      <c r="AA16" s="72">
        <v>232</v>
      </c>
      <c r="AB16" s="72">
        <v>2900</v>
      </c>
      <c r="AC16" s="72">
        <v>1050</v>
      </c>
      <c r="AD16" s="71">
        <v>45798</v>
      </c>
      <c r="AE16" s="70" t="s">
        <v>69</v>
      </c>
      <c r="AF16" s="70" t="s">
        <v>419</v>
      </c>
      <c r="AG16" s="70" t="s">
        <v>512</v>
      </c>
      <c r="AI16" s="70" t="s">
        <v>89</v>
      </c>
      <c r="AJ16" s="70" t="s">
        <v>90</v>
      </c>
      <c r="AM16" s="70" t="s">
        <v>922</v>
      </c>
      <c r="AN16" s="70" t="s">
        <v>1290</v>
      </c>
      <c r="AO16" s="70" t="s">
        <v>919</v>
      </c>
      <c r="AP16" s="70" t="s">
        <v>920</v>
      </c>
      <c r="AQ16" s="70" t="s">
        <v>921</v>
      </c>
      <c r="AR16" s="70" t="s">
        <v>1291</v>
      </c>
      <c r="AY16" s="72">
        <v>9713.9</v>
      </c>
      <c r="AZ16" s="72">
        <v>0</v>
      </c>
      <c r="BA16" s="70" t="s">
        <v>67</v>
      </c>
      <c r="BB16" s="70" t="s">
        <v>1044</v>
      </c>
      <c r="BC16" s="70" t="s">
        <v>3034</v>
      </c>
      <c r="BD16" s="70" t="s">
        <v>420</v>
      </c>
      <c r="BE16" s="70" t="s">
        <v>213</v>
      </c>
      <c r="BF16" s="70" t="s">
        <v>205</v>
      </c>
      <c r="BH16" s="60" t="str">
        <f t="shared" si="0"/>
        <v>Ver en Mapa</v>
      </c>
      <c r="BK16" s="70">
        <v>5</v>
      </c>
      <c r="BL16" s="70">
        <v>5</v>
      </c>
      <c r="BM16" s="70" t="s">
        <v>2847</v>
      </c>
    </row>
    <row r="17" spans="1:65" s="68" customFormat="1" ht="14.4" customHeight="1" x14ac:dyDescent="0.3">
      <c r="A17" s="70" t="str">
        <f>H17</f>
        <v>001270</v>
      </c>
      <c r="B17" s="70" t="s">
        <v>61</v>
      </c>
      <c r="C17" s="70" t="s">
        <v>205</v>
      </c>
      <c r="D17" s="70" t="s">
        <v>408</v>
      </c>
      <c r="E17" s="70" t="s">
        <v>409</v>
      </c>
      <c r="F17" s="70" t="s">
        <v>2802</v>
      </c>
      <c r="G17" s="70" t="s">
        <v>2803</v>
      </c>
      <c r="H17" s="70" t="s">
        <v>455</v>
      </c>
      <c r="I17" s="70" t="s">
        <v>67</v>
      </c>
      <c r="J17" s="70" t="s">
        <v>456</v>
      </c>
      <c r="K17" s="71">
        <v>45772</v>
      </c>
      <c r="L17" s="71">
        <v>45955</v>
      </c>
      <c r="M17" s="72">
        <v>7000</v>
      </c>
      <c r="N17" s="72">
        <v>7373.85</v>
      </c>
      <c r="O17" s="73">
        <v>141</v>
      </c>
      <c r="P17" s="73">
        <v>6</v>
      </c>
      <c r="Q17" s="70" t="s">
        <v>68</v>
      </c>
      <c r="R17" s="72">
        <v>1825.24</v>
      </c>
      <c r="S17" s="72">
        <v>348</v>
      </c>
      <c r="T17" s="72">
        <v>2900</v>
      </c>
      <c r="U17" s="72">
        <v>0</v>
      </c>
      <c r="V17" s="72">
        <v>5</v>
      </c>
      <c r="W17" s="72">
        <v>7373.85</v>
      </c>
      <c r="X17" s="72">
        <v>12026.2073525</v>
      </c>
      <c r="Y17" s="72">
        <v>6144.88</v>
      </c>
      <c r="Z17" s="72">
        <v>2691.33</v>
      </c>
      <c r="AA17" s="72">
        <v>290</v>
      </c>
      <c r="AB17" s="72">
        <v>2900</v>
      </c>
      <c r="AE17" s="70" t="s">
        <v>69</v>
      </c>
      <c r="AF17" s="70" t="s">
        <v>457</v>
      </c>
      <c r="AG17" s="70" t="s">
        <v>513</v>
      </c>
      <c r="AI17" s="70" t="s">
        <v>458</v>
      </c>
      <c r="AJ17" s="70" t="s">
        <v>459</v>
      </c>
      <c r="AK17" s="70" t="s">
        <v>460</v>
      </c>
      <c r="AL17" s="70" t="s">
        <v>457</v>
      </c>
      <c r="AM17" s="70" t="s">
        <v>926</v>
      </c>
      <c r="AN17" s="70" t="s">
        <v>1292</v>
      </c>
      <c r="AO17" s="70" t="s">
        <v>923</v>
      </c>
      <c r="AP17" s="70" t="s">
        <v>924</v>
      </c>
      <c r="AQ17" s="70" t="s">
        <v>925</v>
      </c>
      <c r="AR17" s="70" t="s">
        <v>1293</v>
      </c>
      <c r="AY17" s="72">
        <v>13793.45</v>
      </c>
      <c r="AZ17" s="72">
        <v>0</v>
      </c>
      <c r="BA17" s="70" t="s">
        <v>67</v>
      </c>
      <c r="BB17" s="70" t="s">
        <v>1044</v>
      </c>
      <c r="BC17" s="70" t="s">
        <v>3036</v>
      </c>
      <c r="BD17" s="70" t="s">
        <v>267</v>
      </c>
      <c r="BE17" s="70" t="s">
        <v>213</v>
      </c>
      <c r="BF17" s="70" t="s">
        <v>205</v>
      </c>
      <c r="BH17" s="60" t="str">
        <f t="shared" si="0"/>
        <v>Ver en Mapa</v>
      </c>
      <c r="BK17" s="70">
        <v>5</v>
      </c>
      <c r="BL17" s="70">
        <v>5</v>
      </c>
      <c r="BM17" s="70" t="s">
        <v>2847</v>
      </c>
    </row>
    <row r="18" spans="1:65" s="68" customFormat="1" ht="14.4" customHeight="1" x14ac:dyDescent="0.3">
      <c r="A18" s="70" t="str">
        <f>H18</f>
        <v>001285</v>
      </c>
      <c r="B18" s="70" t="s">
        <v>61</v>
      </c>
      <c r="C18" s="70" t="s">
        <v>194</v>
      </c>
      <c r="D18" s="70" t="s">
        <v>408</v>
      </c>
      <c r="E18" s="70" t="s">
        <v>409</v>
      </c>
      <c r="F18" s="70" t="s">
        <v>2800</v>
      </c>
      <c r="G18" s="70" t="s">
        <v>2801</v>
      </c>
      <c r="H18" s="70" t="s">
        <v>489</v>
      </c>
      <c r="I18" s="70" t="s">
        <v>67</v>
      </c>
      <c r="J18" s="70" t="s">
        <v>490</v>
      </c>
      <c r="K18" s="71">
        <v>45777</v>
      </c>
      <c r="L18" s="71">
        <v>46142</v>
      </c>
      <c r="M18" s="72">
        <v>12000</v>
      </c>
      <c r="N18" s="72">
        <v>12640.89</v>
      </c>
      <c r="O18" s="73">
        <v>137</v>
      </c>
      <c r="P18" s="73">
        <v>12</v>
      </c>
      <c r="Q18" s="70" t="s">
        <v>68</v>
      </c>
      <c r="R18" s="72">
        <v>2031.63</v>
      </c>
      <c r="S18" s="72">
        <v>696</v>
      </c>
      <c r="T18" s="72">
        <v>2900</v>
      </c>
      <c r="U18" s="72">
        <v>0</v>
      </c>
      <c r="V18" s="72">
        <v>5</v>
      </c>
      <c r="W18" s="72">
        <v>12640.89</v>
      </c>
      <c r="X18" s="72">
        <v>13058.147499999999</v>
      </c>
      <c r="Y18" s="72">
        <v>5267.04</v>
      </c>
      <c r="Z18" s="72">
        <v>4601.1099999999997</v>
      </c>
      <c r="AA18" s="72">
        <v>290</v>
      </c>
      <c r="AB18" s="72">
        <v>2900</v>
      </c>
      <c r="AE18" s="70" t="s">
        <v>69</v>
      </c>
      <c r="AF18" s="70" t="s">
        <v>491</v>
      </c>
      <c r="AG18" s="70" t="s">
        <v>492</v>
      </c>
      <c r="AI18" s="70" t="s">
        <v>86</v>
      </c>
      <c r="AJ18" s="70" t="s">
        <v>87</v>
      </c>
      <c r="AK18" s="70" t="s">
        <v>493</v>
      </c>
      <c r="AM18" s="70" t="s">
        <v>807</v>
      </c>
      <c r="AN18" s="70" t="s">
        <v>1264</v>
      </c>
      <c r="AO18" s="70" t="s">
        <v>804</v>
      </c>
      <c r="AP18" s="70" t="s">
        <v>805</v>
      </c>
      <c r="AQ18" s="70" t="s">
        <v>806</v>
      </c>
      <c r="AR18" s="70" t="s">
        <v>1265</v>
      </c>
      <c r="AY18" s="72">
        <v>26873.55</v>
      </c>
      <c r="AZ18" s="72">
        <v>0</v>
      </c>
      <c r="BA18" s="70" t="s">
        <v>67</v>
      </c>
      <c r="BB18" s="70" t="s">
        <v>1044</v>
      </c>
      <c r="BC18" s="70" t="s">
        <v>2890</v>
      </c>
      <c r="BD18" s="70" t="s">
        <v>494</v>
      </c>
      <c r="BE18" s="70" t="s">
        <v>74</v>
      </c>
      <c r="BF18" s="70" t="s">
        <v>194</v>
      </c>
      <c r="BH18" s="60" t="str">
        <f t="shared" si="0"/>
        <v>Ver en Mapa</v>
      </c>
      <c r="BK18" s="70">
        <v>5</v>
      </c>
      <c r="BL18" s="70">
        <v>5</v>
      </c>
      <c r="BM18" s="70" t="s">
        <v>2847</v>
      </c>
    </row>
    <row r="19" spans="1:65" s="68" customFormat="1" ht="14.4" customHeight="1" x14ac:dyDescent="0.3">
      <c r="A19" s="70" t="str">
        <f>H19</f>
        <v>001274</v>
      </c>
      <c r="B19" s="70" t="s">
        <v>61</v>
      </c>
      <c r="C19" s="70" t="s">
        <v>194</v>
      </c>
      <c r="D19" s="70" t="s">
        <v>408</v>
      </c>
      <c r="E19" s="70" t="s">
        <v>409</v>
      </c>
      <c r="F19" s="70" t="s">
        <v>2800</v>
      </c>
      <c r="G19" s="70" t="s">
        <v>2801</v>
      </c>
      <c r="H19" s="70" t="s">
        <v>498</v>
      </c>
      <c r="I19" s="70" t="s">
        <v>67</v>
      </c>
      <c r="J19" s="70" t="s">
        <v>499</v>
      </c>
      <c r="K19" s="71">
        <v>45777</v>
      </c>
      <c r="L19" s="71">
        <v>45960</v>
      </c>
      <c r="M19" s="72">
        <v>15000</v>
      </c>
      <c r="N19" s="72">
        <v>15801.12</v>
      </c>
      <c r="O19" s="73">
        <v>137</v>
      </c>
      <c r="P19" s="73">
        <v>6</v>
      </c>
      <c r="Q19" s="70" t="s">
        <v>68</v>
      </c>
      <c r="R19" s="72">
        <v>3844.9500000000003</v>
      </c>
      <c r="S19" s="72">
        <v>348</v>
      </c>
      <c r="T19" s="72">
        <v>2900</v>
      </c>
      <c r="U19" s="72">
        <v>0</v>
      </c>
      <c r="V19" s="72">
        <v>5</v>
      </c>
      <c r="W19" s="72">
        <v>15801.12</v>
      </c>
      <c r="X19" s="72">
        <v>22124.75</v>
      </c>
      <c r="Y19" s="72">
        <v>13167.6</v>
      </c>
      <c r="Z19" s="72">
        <v>5767.1500000000005</v>
      </c>
      <c r="AA19" s="72">
        <v>290</v>
      </c>
      <c r="AB19" s="72">
        <v>2900</v>
      </c>
      <c r="AE19" s="70" t="s">
        <v>69</v>
      </c>
      <c r="AF19" s="70" t="s">
        <v>500</v>
      </c>
      <c r="AG19" s="70" t="s">
        <v>501</v>
      </c>
      <c r="AI19" s="70" t="s">
        <v>393</v>
      </c>
      <c r="AJ19" s="70" t="s">
        <v>394</v>
      </c>
      <c r="AK19" s="70" t="s">
        <v>502</v>
      </c>
      <c r="AM19" s="70" t="s">
        <v>814</v>
      </c>
      <c r="AN19" s="70" t="s">
        <v>1266</v>
      </c>
      <c r="AO19" s="70" t="s">
        <v>811</v>
      </c>
      <c r="AP19" s="70" t="s">
        <v>812</v>
      </c>
      <c r="AQ19" s="70" t="s">
        <v>813</v>
      </c>
      <c r="AR19" s="70" t="s">
        <v>1267</v>
      </c>
      <c r="AY19" s="72">
        <v>25911.690000000002</v>
      </c>
      <c r="AZ19" s="72">
        <v>0</v>
      </c>
      <c r="BA19" s="70" t="s">
        <v>67</v>
      </c>
      <c r="BB19" s="70" t="s">
        <v>1044</v>
      </c>
      <c r="BC19" s="70" t="s">
        <v>2868</v>
      </c>
      <c r="BD19" s="70" t="s">
        <v>503</v>
      </c>
      <c r="BE19" s="70" t="s">
        <v>74</v>
      </c>
      <c r="BF19" s="70" t="s">
        <v>503</v>
      </c>
      <c r="BH19" s="60" t="str">
        <f t="shared" si="0"/>
        <v>Ver en Mapa</v>
      </c>
      <c r="BK19" s="70">
        <v>5</v>
      </c>
      <c r="BL19" s="70">
        <v>5</v>
      </c>
      <c r="BM19" s="70" t="s">
        <v>2847</v>
      </c>
    </row>
    <row r="20" spans="1:65" s="68" customFormat="1" ht="14.4" customHeight="1" x14ac:dyDescent="0.3">
      <c r="A20" s="70" t="str">
        <f>H20</f>
        <v>001295</v>
      </c>
      <c r="B20" s="70" t="s">
        <v>61</v>
      </c>
      <c r="C20" s="70" t="s">
        <v>62</v>
      </c>
      <c r="D20" s="70" t="s">
        <v>408</v>
      </c>
      <c r="E20" s="70" t="s">
        <v>409</v>
      </c>
      <c r="F20" s="70" t="s">
        <v>2848</v>
      </c>
      <c r="G20" s="70" t="s">
        <v>2849</v>
      </c>
      <c r="H20" s="70" t="s">
        <v>516</v>
      </c>
      <c r="I20" s="70" t="s">
        <v>67</v>
      </c>
      <c r="J20" s="70" t="s">
        <v>517</v>
      </c>
      <c r="K20" s="71">
        <v>45784</v>
      </c>
      <c r="L20" s="71">
        <v>45968</v>
      </c>
      <c r="M20" s="72">
        <v>5000</v>
      </c>
      <c r="N20" s="72">
        <v>5267.04</v>
      </c>
      <c r="O20" s="73">
        <v>127</v>
      </c>
      <c r="P20" s="73">
        <v>6</v>
      </c>
      <c r="Q20" s="70" t="s">
        <v>68</v>
      </c>
      <c r="R20" s="72">
        <v>1322.42</v>
      </c>
      <c r="S20" s="72">
        <v>348</v>
      </c>
      <c r="T20" s="72">
        <v>2320</v>
      </c>
      <c r="U20" s="72">
        <v>0</v>
      </c>
      <c r="V20" s="72">
        <v>4.6000000000000014</v>
      </c>
      <c r="W20" s="72">
        <v>5091.62</v>
      </c>
      <c r="X20" s="72">
        <v>8312.09</v>
      </c>
      <c r="Y20" s="72">
        <v>4213.78</v>
      </c>
      <c r="Z20" s="72">
        <v>1546.31</v>
      </c>
      <c r="AA20" s="72">
        <v>232</v>
      </c>
      <c r="AB20" s="72">
        <v>2320</v>
      </c>
      <c r="AC20" s="72">
        <v>1200</v>
      </c>
      <c r="AD20" s="71">
        <v>45826</v>
      </c>
      <c r="AE20" s="70" t="s">
        <v>69</v>
      </c>
      <c r="AF20" s="70" t="s">
        <v>518</v>
      </c>
      <c r="AG20" s="70" t="s">
        <v>519</v>
      </c>
      <c r="AI20" s="70" t="s">
        <v>379</v>
      </c>
      <c r="AJ20" s="70" t="s">
        <v>380</v>
      </c>
      <c r="AM20" s="70" t="s">
        <v>733</v>
      </c>
      <c r="AN20" s="70" t="s">
        <v>1251</v>
      </c>
      <c r="AO20" s="70" t="s">
        <v>730</v>
      </c>
      <c r="AP20" s="70" t="s">
        <v>731</v>
      </c>
      <c r="AQ20" s="70" t="s">
        <v>732</v>
      </c>
      <c r="AR20" s="70" t="s">
        <v>1252</v>
      </c>
      <c r="AY20" s="72">
        <v>9576.5</v>
      </c>
      <c r="AZ20" s="72">
        <v>0</v>
      </c>
      <c r="BA20" s="70" t="s">
        <v>67</v>
      </c>
      <c r="BB20" s="70" t="s">
        <v>1044</v>
      </c>
      <c r="BC20" s="70" t="s">
        <v>520</v>
      </c>
      <c r="BD20" s="70" t="s">
        <v>424</v>
      </c>
      <c r="BE20" s="70" t="s">
        <v>74</v>
      </c>
      <c r="BF20" s="70" t="s">
        <v>338</v>
      </c>
      <c r="BH20" s="60" t="str">
        <f t="shared" si="0"/>
        <v>Ver en Mapa</v>
      </c>
      <c r="BK20" s="70">
        <v>5</v>
      </c>
      <c r="BL20" s="70">
        <v>5</v>
      </c>
      <c r="BM20" s="70" t="s">
        <v>2847</v>
      </c>
    </row>
    <row r="21" spans="1:65" s="68" customFormat="1" ht="14.4" customHeight="1" x14ac:dyDescent="0.3">
      <c r="A21" s="70" t="str">
        <f>H21</f>
        <v>001324</v>
      </c>
      <c r="B21" s="70" t="s">
        <v>61</v>
      </c>
      <c r="C21" s="70" t="s">
        <v>194</v>
      </c>
      <c r="D21" s="70" t="s">
        <v>588</v>
      </c>
      <c r="E21" s="70" t="s">
        <v>589</v>
      </c>
      <c r="F21" s="70" t="s">
        <v>2800</v>
      </c>
      <c r="G21" s="70" t="s">
        <v>2801</v>
      </c>
      <c r="H21" s="70" t="s">
        <v>610</v>
      </c>
      <c r="I21" s="70" t="s">
        <v>67</v>
      </c>
      <c r="J21" s="70" t="s">
        <v>611</v>
      </c>
      <c r="K21" s="71">
        <v>45797</v>
      </c>
      <c r="L21" s="71">
        <v>45965</v>
      </c>
      <c r="M21" s="72">
        <v>5000</v>
      </c>
      <c r="N21" s="72">
        <v>5267.04</v>
      </c>
      <c r="O21" s="73">
        <v>126</v>
      </c>
      <c r="P21" s="73">
        <v>24</v>
      </c>
      <c r="Q21" s="70" t="s">
        <v>469</v>
      </c>
      <c r="R21" s="72">
        <v>365.7</v>
      </c>
      <c r="S21" s="72">
        <v>1392</v>
      </c>
      <c r="T21" s="72">
        <v>10440</v>
      </c>
      <c r="U21" s="72">
        <v>21</v>
      </c>
      <c r="V21" s="72">
        <v>18.8</v>
      </c>
      <c r="W21" s="72">
        <v>4828.12</v>
      </c>
      <c r="X21" s="72">
        <v>17253.710012799998</v>
      </c>
      <c r="Y21" s="72">
        <v>4169.74</v>
      </c>
      <c r="Z21" s="72">
        <v>1599.97</v>
      </c>
      <c r="AA21" s="72">
        <v>1044</v>
      </c>
      <c r="AB21" s="72">
        <v>10440</v>
      </c>
      <c r="AC21" s="72">
        <v>500</v>
      </c>
      <c r="AD21" s="71">
        <v>45812</v>
      </c>
      <c r="AE21" s="70" t="s">
        <v>69</v>
      </c>
      <c r="AF21" s="70" t="s">
        <v>612</v>
      </c>
      <c r="AG21" s="70" t="s">
        <v>613</v>
      </c>
      <c r="AI21" s="70" t="s">
        <v>324</v>
      </c>
      <c r="AJ21" s="70" t="s">
        <v>325</v>
      </c>
      <c r="AM21" s="70" t="s">
        <v>830</v>
      </c>
      <c r="AN21" s="70" t="s">
        <v>1270</v>
      </c>
      <c r="AO21" s="70" t="s">
        <v>828</v>
      </c>
      <c r="AP21" s="70" t="s">
        <v>1271</v>
      </c>
      <c r="AQ21" s="70" t="s">
        <v>829</v>
      </c>
      <c r="AR21" s="70" t="s">
        <v>1271</v>
      </c>
      <c r="AY21" s="72">
        <v>18176.810000000001</v>
      </c>
      <c r="AZ21" s="72">
        <v>0</v>
      </c>
      <c r="BA21" s="70" t="s">
        <v>67</v>
      </c>
      <c r="BB21" s="70" t="s">
        <v>1044</v>
      </c>
      <c r="BC21" s="70" t="s">
        <v>2960</v>
      </c>
      <c r="BD21" s="70" t="s">
        <v>251</v>
      </c>
      <c r="BE21" s="70" t="s">
        <v>74</v>
      </c>
      <c r="BF21" s="70" t="s">
        <v>415</v>
      </c>
      <c r="BH21" s="60" t="str">
        <f t="shared" si="0"/>
        <v>Ver en Mapa</v>
      </c>
      <c r="BK21" s="70">
        <v>21</v>
      </c>
      <c r="BL21" s="70">
        <v>21</v>
      </c>
      <c r="BM21" s="70" t="s">
        <v>2847</v>
      </c>
    </row>
    <row r="22" spans="1:65" s="68" customFormat="1" ht="14.4" customHeight="1" x14ac:dyDescent="0.3">
      <c r="A22" s="70" t="str">
        <f>H22</f>
        <v>001076</v>
      </c>
      <c r="B22" s="70" t="s">
        <v>61</v>
      </c>
      <c r="C22" s="70" t="s">
        <v>205</v>
      </c>
      <c r="D22" s="70" t="s">
        <v>215</v>
      </c>
      <c r="E22" s="70" t="s">
        <v>216</v>
      </c>
      <c r="F22" s="70" t="s">
        <v>2802</v>
      </c>
      <c r="G22" s="70" t="s">
        <v>2803</v>
      </c>
      <c r="H22" s="70" t="s">
        <v>233</v>
      </c>
      <c r="I22" s="70" t="s">
        <v>67</v>
      </c>
      <c r="J22" s="70" t="s">
        <v>234</v>
      </c>
      <c r="K22" s="71">
        <v>45527</v>
      </c>
      <c r="L22" s="71">
        <v>45915</v>
      </c>
      <c r="M22" s="72">
        <v>30000</v>
      </c>
      <c r="N22" s="72">
        <v>31602.23</v>
      </c>
      <c r="O22" s="73">
        <v>120</v>
      </c>
      <c r="P22" s="73">
        <v>12</v>
      </c>
      <c r="Q22" s="70" t="s">
        <v>68</v>
      </c>
      <c r="R22" s="72">
        <v>5448.58</v>
      </c>
      <c r="S22" s="72">
        <v>696</v>
      </c>
      <c r="T22" s="72">
        <v>2320</v>
      </c>
      <c r="U22" s="72">
        <v>0</v>
      </c>
      <c r="V22" s="72">
        <v>3.4</v>
      </c>
      <c r="W22" s="72">
        <v>15454.08</v>
      </c>
      <c r="X22" s="72">
        <v>21082.959999999999</v>
      </c>
      <c r="Y22" s="72">
        <v>15454.09</v>
      </c>
      <c r="Z22" s="72">
        <v>3134.87</v>
      </c>
      <c r="AA22" s="72">
        <v>174</v>
      </c>
      <c r="AB22" s="72">
        <v>2320</v>
      </c>
      <c r="AC22" s="72">
        <v>3000</v>
      </c>
      <c r="AD22" s="71">
        <v>45912</v>
      </c>
      <c r="AE22" s="70" t="s">
        <v>69</v>
      </c>
      <c r="AF22" s="70" t="s">
        <v>235</v>
      </c>
      <c r="AG22" s="70" t="s">
        <v>236</v>
      </c>
      <c r="AI22" s="70" t="s">
        <v>100</v>
      </c>
      <c r="AJ22" s="70" t="s">
        <v>101</v>
      </c>
      <c r="AK22" s="70" t="s">
        <v>237</v>
      </c>
      <c r="AM22" s="70" t="s">
        <v>887</v>
      </c>
      <c r="AN22" s="70" t="s">
        <v>1280</v>
      </c>
      <c r="AO22" s="70" t="s">
        <v>884</v>
      </c>
      <c r="AP22" s="70" t="s">
        <v>885</v>
      </c>
      <c r="AQ22" s="70" t="s">
        <v>886</v>
      </c>
      <c r="AR22" s="70" t="s">
        <v>1281</v>
      </c>
      <c r="AS22" s="70" t="s">
        <v>122</v>
      </c>
      <c r="AT22" s="68" t="s">
        <v>238</v>
      </c>
      <c r="AU22" s="70" t="s">
        <v>239</v>
      </c>
      <c r="AY22" s="72">
        <v>21082.95</v>
      </c>
      <c r="AZ22" s="72">
        <v>0</v>
      </c>
      <c r="BA22" s="70" t="s">
        <v>67</v>
      </c>
      <c r="BB22" s="70" t="s">
        <v>77</v>
      </c>
      <c r="BC22" s="70" t="s">
        <v>3029</v>
      </c>
      <c r="BD22" s="70" t="s">
        <v>240</v>
      </c>
      <c r="BE22" s="70" t="s">
        <v>213</v>
      </c>
      <c r="BF22" s="70" t="s">
        <v>205</v>
      </c>
      <c r="BH22" s="60" t="str">
        <f t="shared" si="0"/>
        <v>Ver en Mapa</v>
      </c>
      <c r="BK22" s="70">
        <v>7</v>
      </c>
      <c r="BL22" s="70">
        <v>6</v>
      </c>
      <c r="BM22" s="70" t="s">
        <v>2847</v>
      </c>
    </row>
    <row r="23" spans="1:65" s="68" customFormat="1" ht="14.4" customHeight="1" x14ac:dyDescent="0.3">
      <c r="A23" s="70" t="str">
        <f>H23</f>
        <v>001341</v>
      </c>
      <c r="B23" s="70" t="s">
        <v>61</v>
      </c>
      <c r="C23" s="70" t="s">
        <v>194</v>
      </c>
      <c r="D23" s="70" t="s">
        <v>588</v>
      </c>
      <c r="E23" s="70" t="s">
        <v>589</v>
      </c>
      <c r="F23" s="70" t="s">
        <v>2800</v>
      </c>
      <c r="G23" s="70" t="s">
        <v>2801</v>
      </c>
      <c r="H23" s="70" t="s">
        <v>652</v>
      </c>
      <c r="I23" s="70" t="s">
        <v>67</v>
      </c>
      <c r="J23" s="70" t="s">
        <v>653</v>
      </c>
      <c r="K23" s="71">
        <v>45803</v>
      </c>
      <c r="L23" s="71">
        <v>45971</v>
      </c>
      <c r="M23" s="72">
        <v>5000</v>
      </c>
      <c r="N23" s="72">
        <v>5267.04</v>
      </c>
      <c r="O23" s="73">
        <v>113</v>
      </c>
      <c r="P23" s="73">
        <v>12</v>
      </c>
      <c r="Q23" s="70" t="s">
        <v>496</v>
      </c>
      <c r="R23" s="72">
        <v>673.4</v>
      </c>
      <c r="S23" s="72">
        <v>696</v>
      </c>
      <c r="T23" s="72">
        <v>5220</v>
      </c>
      <c r="U23" s="72">
        <v>10</v>
      </c>
      <c r="V23" s="72">
        <v>9</v>
      </c>
      <c r="W23" s="72">
        <v>4828.12</v>
      </c>
      <c r="X23" s="72">
        <v>11280.01</v>
      </c>
      <c r="Y23" s="72">
        <v>3950.28</v>
      </c>
      <c r="Z23" s="72">
        <v>1588.33</v>
      </c>
      <c r="AA23" s="72">
        <v>521.4</v>
      </c>
      <c r="AB23" s="72">
        <v>5220</v>
      </c>
      <c r="AC23" s="72">
        <v>674</v>
      </c>
      <c r="AD23" s="71">
        <v>45817</v>
      </c>
      <c r="AE23" s="70" t="s">
        <v>69</v>
      </c>
      <c r="AF23" s="70" t="s">
        <v>654</v>
      </c>
      <c r="AG23" s="70" t="s">
        <v>655</v>
      </c>
      <c r="AI23" s="70" t="s">
        <v>481</v>
      </c>
      <c r="AJ23" s="70" t="s">
        <v>482</v>
      </c>
      <c r="AM23" s="70" t="s">
        <v>848</v>
      </c>
      <c r="AN23" s="70" t="s">
        <v>1014</v>
      </c>
      <c r="AO23" s="70" t="s">
        <v>845</v>
      </c>
      <c r="AP23" s="70" t="s">
        <v>846</v>
      </c>
      <c r="AQ23" s="70" t="s">
        <v>847</v>
      </c>
      <c r="AR23" s="70" t="s">
        <v>1015</v>
      </c>
      <c r="AY23" s="72">
        <v>12510.81</v>
      </c>
      <c r="AZ23" s="72">
        <v>0</v>
      </c>
      <c r="BA23" s="70" t="s">
        <v>67</v>
      </c>
      <c r="BB23" s="70" t="s">
        <v>1044</v>
      </c>
      <c r="BC23" s="70" t="s">
        <v>2892</v>
      </c>
      <c r="BD23" s="70" t="s">
        <v>656</v>
      </c>
      <c r="BE23" s="70" t="s">
        <v>74</v>
      </c>
      <c r="BF23" s="70" t="s">
        <v>646</v>
      </c>
      <c r="BH23" s="60" t="str">
        <f t="shared" si="0"/>
        <v>Ver en Mapa</v>
      </c>
      <c r="BK23" s="70">
        <v>9</v>
      </c>
      <c r="BL23" s="70">
        <v>9</v>
      </c>
      <c r="BM23" s="70" t="s">
        <v>2847</v>
      </c>
    </row>
    <row r="24" spans="1:65" s="68" customFormat="1" ht="14.4" customHeight="1" x14ac:dyDescent="0.3">
      <c r="A24" s="70" t="str">
        <f>H24</f>
        <v>001342</v>
      </c>
      <c r="B24" s="70" t="s">
        <v>61</v>
      </c>
      <c r="C24" s="70" t="s">
        <v>194</v>
      </c>
      <c r="D24" s="70" t="s">
        <v>588</v>
      </c>
      <c r="E24" s="70" t="s">
        <v>589</v>
      </c>
      <c r="F24" s="70" t="s">
        <v>2800</v>
      </c>
      <c r="G24" s="70" t="s">
        <v>2801</v>
      </c>
      <c r="H24" s="70" t="s">
        <v>647</v>
      </c>
      <c r="I24" s="70" t="s">
        <v>67</v>
      </c>
      <c r="J24" s="70" t="s">
        <v>648</v>
      </c>
      <c r="K24" s="71">
        <v>45803</v>
      </c>
      <c r="L24" s="71">
        <v>45987</v>
      </c>
      <c r="M24" s="72">
        <v>5000</v>
      </c>
      <c r="N24" s="72">
        <v>5267.04</v>
      </c>
      <c r="O24" s="73">
        <v>110</v>
      </c>
      <c r="P24" s="73">
        <v>6</v>
      </c>
      <c r="Q24" s="70" t="s">
        <v>68</v>
      </c>
      <c r="R24" s="72">
        <v>1322.42</v>
      </c>
      <c r="S24" s="72">
        <v>348</v>
      </c>
      <c r="T24" s="72">
        <v>2320</v>
      </c>
      <c r="U24" s="72">
        <v>0</v>
      </c>
      <c r="V24" s="72">
        <v>4</v>
      </c>
      <c r="W24" s="72">
        <v>5267.04</v>
      </c>
      <c r="X24" s="72">
        <v>7609.67</v>
      </c>
      <c r="Y24" s="72">
        <v>3511.36</v>
      </c>
      <c r="Z24" s="72">
        <v>1546.31</v>
      </c>
      <c r="AA24" s="72">
        <v>232</v>
      </c>
      <c r="AB24" s="72">
        <v>2320</v>
      </c>
      <c r="AE24" s="70" t="s">
        <v>69</v>
      </c>
      <c r="AF24" s="70" t="s">
        <v>649</v>
      </c>
      <c r="AG24" s="70" t="s">
        <v>650</v>
      </c>
      <c r="AI24" s="70" t="s">
        <v>328</v>
      </c>
      <c r="AJ24" s="70" t="s">
        <v>329</v>
      </c>
      <c r="AM24" s="70" t="s">
        <v>844</v>
      </c>
      <c r="AN24" s="70" t="s">
        <v>1012</v>
      </c>
      <c r="AO24" s="70" t="s">
        <v>841</v>
      </c>
      <c r="AP24" s="70" t="s">
        <v>842</v>
      </c>
      <c r="AQ24" s="70" t="s">
        <v>843</v>
      </c>
      <c r="AR24" s="70" t="s">
        <v>1013</v>
      </c>
      <c r="AY24" s="72">
        <v>10138.5</v>
      </c>
      <c r="AZ24" s="72">
        <v>0</v>
      </c>
      <c r="BA24" s="70" t="s">
        <v>67</v>
      </c>
      <c r="BB24" s="70" t="s">
        <v>1044</v>
      </c>
      <c r="BC24" s="70" t="s">
        <v>2957</v>
      </c>
      <c r="BD24" s="70" t="s">
        <v>651</v>
      </c>
      <c r="BE24" s="70" t="s">
        <v>74</v>
      </c>
      <c r="BF24" s="70" t="s">
        <v>646</v>
      </c>
      <c r="BH24" s="60" t="str">
        <f t="shared" si="0"/>
        <v>Ver en Mapa</v>
      </c>
      <c r="BK24" s="70">
        <v>4</v>
      </c>
      <c r="BL24" s="70">
        <v>4</v>
      </c>
      <c r="BM24" s="70" t="s">
        <v>2847</v>
      </c>
    </row>
    <row r="25" spans="1:65" s="68" customFormat="1" ht="14.4" customHeight="1" x14ac:dyDescent="0.3">
      <c r="A25" s="70" t="str">
        <f>H25</f>
        <v>001060</v>
      </c>
      <c r="B25" s="70" t="s">
        <v>61</v>
      </c>
      <c r="C25" s="70" t="s">
        <v>273</v>
      </c>
      <c r="D25" s="70" t="s">
        <v>286</v>
      </c>
      <c r="E25" s="70" t="s">
        <v>287</v>
      </c>
      <c r="F25" s="70" t="s">
        <v>2785</v>
      </c>
      <c r="G25" s="70" t="s">
        <v>2786</v>
      </c>
      <c r="H25" s="70" t="s">
        <v>313</v>
      </c>
      <c r="I25" s="70" t="s">
        <v>67</v>
      </c>
      <c r="J25" s="70" t="s">
        <v>314</v>
      </c>
      <c r="K25" s="71">
        <v>45443</v>
      </c>
      <c r="L25" s="71">
        <v>45992</v>
      </c>
      <c r="M25" s="72">
        <v>130000</v>
      </c>
      <c r="N25" s="72">
        <v>136943.01</v>
      </c>
      <c r="O25" s="73">
        <v>105</v>
      </c>
      <c r="P25" s="73">
        <v>18</v>
      </c>
      <c r="Q25" s="70" t="s">
        <v>68</v>
      </c>
      <c r="R25" s="72">
        <v>18565.189999999999</v>
      </c>
      <c r="S25" s="72">
        <v>1044</v>
      </c>
      <c r="T25" s="72">
        <v>2320</v>
      </c>
      <c r="U25" s="72">
        <v>0</v>
      </c>
      <c r="V25" s="72">
        <v>3.1</v>
      </c>
      <c r="W25" s="72">
        <v>68661.03</v>
      </c>
      <c r="X25" s="72">
        <v>59296.05</v>
      </c>
      <c r="Y25" s="72">
        <v>37217.96</v>
      </c>
      <c r="Z25" s="72">
        <v>19584.09</v>
      </c>
      <c r="AA25" s="72">
        <v>174</v>
      </c>
      <c r="AB25" s="72">
        <v>2320</v>
      </c>
      <c r="AC25" s="72">
        <v>6000</v>
      </c>
      <c r="AD25" s="71">
        <v>45941</v>
      </c>
      <c r="AE25" s="70" t="s">
        <v>69</v>
      </c>
      <c r="AF25" s="70" t="s">
        <v>315</v>
      </c>
      <c r="AG25" s="70" t="s">
        <v>316</v>
      </c>
      <c r="AI25" s="70" t="s">
        <v>98</v>
      </c>
      <c r="AJ25" s="70" t="s">
        <v>99</v>
      </c>
      <c r="AM25" s="70" t="s">
        <v>942</v>
      </c>
      <c r="AN25" s="70" t="s">
        <v>941</v>
      </c>
      <c r="AO25" s="70" t="s">
        <v>1253</v>
      </c>
      <c r="AP25" s="70" t="s">
        <v>1254</v>
      </c>
      <c r="AQ25" s="70" t="s">
        <v>1255</v>
      </c>
      <c r="AR25" s="70" t="s">
        <v>1256</v>
      </c>
      <c r="AS25" s="70" t="s">
        <v>122</v>
      </c>
      <c r="AT25" s="68" t="s">
        <v>317</v>
      </c>
      <c r="AU25" s="70" t="s">
        <v>318</v>
      </c>
      <c r="AV25" s="70" t="s">
        <v>122</v>
      </c>
      <c r="AW25" s="68" t="s">
        <v>319</v>
      </c>
      <c r="AX25" s="70" t="s">
        <v>320</v>
      </c>
      <c r="AY25" s="72">
        <v>90739.12</v>
      </c>
      <c r="AZ25" s="72">
        <v>0</v>
      </c>
      <c r="BA25" s="70" t="s">
        <v>67</v>
      </c>
      <c r="BB25" s="70" t="s">
        <v>77</v>
      </c>
      <c r="BC25" s="70" t="s">
        <v>2874</v>
      </c>
      <c r="BD25" s="70" t="s">
        <v>322</v>
      </c>
      <c r="BE25" s="70" t="s">
        <v>74</v>
      </c>
      <c r="BF25" s="70" t="s">
        <v>323</v>
      </c>
      <c r="BH25" s="60" t="str">
        <f t="shared" si="0"/>
        <v>Ver en Mapa</v>
      </c>
      <c r="BK25" s="70">
        <v>11</v>
      </c>
      <c r="BL25" s="70">
        <v>7</v>
      </c>
      <c r="BM25" s="70" t="s">
        <v>2846</v>
      </c>
    </row>
    <row r="26" spans="1:65" s="68" customFormat="1" ht="14.4" customHeight="1" x14ac:dyDescent="0.3">
      <c r="A26" s="70" t="str">
        <f>H26</f>
        <v>001061</v>
      </c>
      <c r="B26" s="70" t="s">
        <v>61</v>
      </c>
      <c r="C26" s="70" t="s">
        <v>205</v>
      </c>
      <c r="D26" s="70" t="s">
        <v>215</v>
      </c>
      <c r="E26" s="70" t="s">
        <v>216</v>
      </c>
      <c r="F26" s="70" t="s">
        <v>2802</v>
      </c>
      <c r="G26" s="70" t="s">
        <v>2803</v>
      </c>
      <c r="H26" s="70" t="s">
        <v>1484</v>
      </c>
      <c r="I26" s="70" t="s">
        <v>67</v>
      </c>
      <c r="J26" s="70" t="s">
        <v>241</v>
      </c>
      <c r="K26" s="71">
        <v>45447</v>
      </c>
      <c r="L26" s="71">
        <v>45904</v>
      </c>
      <c r="M26" s="72">
        <v>80000</v>
      </c>
      <c r="N26" s="72">
        <v>84272.62</v>
      </c>
      <c r="O26" s="73">
        <v>102</v>
      </c>
      <c r="P26" s="73">
        <v>15</v>
      </c>
      <c r="Q26" s="70" t="s">
        <v>68</v>
      </c>
      <c r="R26" s="72">
        <v>12168.07</v>
      </c>
      <c r="S26" s="72">
        <v>870</v>
      </c>
      <c r="T26" s="72">
        <v>1740</v>
      </c>
      <c r="U26" s="72">
        <v>0</v>
      </c>
      <c r="V26" s="72">
        <v>3</v>
      </c>
      <c r="W26" s="72">
        <v>29287.440000000002</v>
      </c>
      <c r="X26" s="72">
        <v>38161.06</v>
      </c>
      <c r="Y26" s="72">
        <v>29287.43</v>
      </c>
      <c r="Z26" s="72">
        <v>6959.63</v>
      </c>
      <c r="AA26" s="72">
        <v>174</v>
      </c>
      <c r="AB26" s="72">
        <v>1740</v>
      </c>
      <c r="AC26" s="72">
        <v>12170</v>
      </c>
      <c r="AD26" s="71">
        <v>45811</v>
      </c>
      <c r="AE26" s="70" t="s">
        <v>69</v>
      </c>
      <c r="AF26" s="70" t="s">
        <v>1485</v>
      </c>
      <c r="AG26" s="70" t="s">
        <v>242</v>
      </c>
      <c r="AI26" s="70" t="s">
        <v>243</v>
      </c>
      <c r="AJ26" s="70" t="s">
        <v>1486</v>
      </c>
      <c r="AM26" s="70" t="s">
        <v>888</v>
      </c>
      <c r="AN26" s="70" t="s">
        <v>1487</v>
      </c>
      <c r="AO26" s="70" t="s">
        <v>1282</v>
      </c>
      <c r="AP26" s="70" t="s">
        <v>1488</v>
      </c>
      <c r="AQ26" s="70" t="s">
        <v>1283</v>
      </c>
      <c r="AR26" s="70" t="s">
        <v>1489</v>
      </c>
      <c r="AS26" s="70" t="s">
        <v>122</v>
      </c>
      <c r="AT26" s="68" t="s">
        <v>244</v>
      </c>
      <c r="AU26" s="70" t="s">
        <v>245</v>
      </c>
      <c r="AY26" s="72">
        <v>38161.07</v>
      </c>
      <c r="AZ26" s="72">
        <v>0</v>
      </c>
      <c r="BA26" s="70" t="s">
        <v>67</v>
      </c>
      <c r="BB26" s="70" t="s">
        <v>77</v>
      </c>
      <c r="BC26" s="70" t="s">
        <v>3030</v>
      </c>
      <c r="BD26" s="70" t="s">
        <v>246</v>
      </c>
      <c r="BE26" s="70" t="s">
        <v>213</v>
      </c>
      <c r="BF26" s="70" t="s">
        <v>205</v>
      </c>
      <c r="BH26" s="60" t="str">
        <f t="shared" si="0"/>
        <v>Ver en Mapa</v>
      </c>
      <c r="BK26" s="70">
        <v>14</v>
      </c>
      <c r="BL26" s="70">
        <v>9</v>
      </c>
      <c r="BM26" s="70" t="s">
        <v>2847</v>
      </c>
    </row>
    <row r="27" spans="1:65" s="68" customFormat="1" ht="14.4" customHeight="1" x14ac:dyDescent="0.3">
      <c r="A27" s="70" t="str">
        <f>H27</f>
        <v>001378</v>
      </c>
      <c r="B27" s="70" t="s">
        <v>61</v>
      </c>
      <c r="C27" s="70" t="s">
        <v>62</v>
      </c>
      <c r="D27" s="70" t="s">
        <v>183</v>
      </c>
      <c r="E27" s="70" t="s">
        <v>184</v>
      </c>
      <c r="F27" s="70" t="s">
        <v>590</v>
      </c>
      <c r="G27" s="70" t="s">
        <v>2763</v>
      </c>
      <c r="H27" s="70" t="s">
        <v>1435</v>
      </c>
      <c r="I27" s="70" t="s">
        <v>67</v>
      </c>
      <c r="J27" s="70" t="s">
        <v>1089</v>
      </c>
      <c r="K27" s="71">
        <v>45814</v>
      </c>
      <c r="L27" s="71">
        <v>46179</v>
      </c>
      <c r="M27" s="72">
        <v>30000</v>
      </c>
      <c r="N27" s="72">
        <v>31602.23</v>
      </c>
      <c r="O27" s="73">
        <v>99</v>
      </c>
      <c r="P27" s="73">
        <v>12</v>
      </c>
      <c r="Q27" s="70" t="s">
        <v>68</v>
      </c>
      <c r="R27" s="72">
        <v>4992.07</v>
      </c>
      <c r="S27" s="72">
        <v>696</v>
      </c>
      <c r="T27" s="72">
        <v>2320</v>
      </c>
      <c r="U27" s="72">
        <v>0</v>
      </c>
      <c r="V27" s="72">
        <v>4</v>
      </c>
      <c r="W27" s="72">
        <v>31602.23</v>
      </c>
      <c r="X27" s="72">
        <v>22288.296699999999</v>
      </c>
      <c r="Y27" s="72">
        <v>10534.08</v>
      </c>
      <c r="Z27" s="72">
        <v>9202.2199999999993</v>
      </c>
      <c r="AA27" s="72">
        <v>232</v>
      </c>
      <c r="AB27" s="72">
        <v>2320</v>
      </c>
      <c r="AE27" s="70" t="s">
        <v>69</v>
      </c>
      <c r="AF27" s="70" t="s">
        <v>1404</v>
      </c>
      <c r="AG27" s="70" t="s">
        <v>1404</v>
      </c>
      <c r="AI27" s="70" t="s">
        <v>1090</v>
      </c>
      <c r="AJ27" s="70" t="s">
        <v>1436</v>
      </c>
      <c r="AK27" s="70" t="s">
        <v>342</v>
      </c>
      <c r="AL27" s="70" t="s">
        <v>1403</v>
      </c>
      <c r="AM27" s="70" t="s">
        <v>1091</v>
      </c>
      <c r="AN27" s="70" t="s">
        <v>1437</v>
      </c>
      <c r="AO27" s="70" t="s">
        <v>1092</v>
      </c>
      <c r="AP27" s="70" t="s">
        <v>1438</v>
      </c>
      <c r="AQ27" s="70" t="s">
        <v>1093</v>
      </c>
      <c r="AR27" s="70" t="s">
        <v>1439</v>
      </c>
      <c r="AY27" s="72">
        <v>61760.880000000005</v>
      </c>
      <c r="AZ27" s="72">
        <v>0</v>
      </c>
      <c r="BA27" s="70" t="s">
        <v>67</v>
      </c>
      <c r="BB27" s="70" t="s">
        <v>1044</v>
      </c>
      <c r="BC27" s="70" t="s">
        <v>2963</v>
      </c>
      <c r="BD27" s="70" t="s">
        <v>452</v>
      </c>
      <c r="BE27" s="70" t="s">
        <v>74</v>
      </c>
      <c r="BF27" s="70" t="s">
        <v>75</v>
      </c>
      <c r="BG27" s="70" t="s">
        <v>1094</v>
      </c>
      <c r="BH27" s="60" t="str">
        <f t="shared" si="0"/>
        <v>Ver en Mapa</v>
      </c>
      <c r="BK27" s="70">
        <v>4</v>
      </c>
      <c r="BL27" s="70">
        <v>4</v>
      </c>
      <c r="BM27" s="70" t="s">
        <v>2847</v>
      </c>
    </row>
    <row r="28" spans="1:65" s="68" customFormat="1" ht="14.4" customHeight="1" x14ac:dyDescent="0.3">
      <c r="A28" s="70" t="str">
        <f>H28</f>
        <v>001297</v>
      </c>
      <c r="B28" s="70" t="s">
        <v>61</v>
      </c>
      <c r="C28" s="70" t="s">
        <v>194</v>
      </c>
      <c r="D28" s="70" t="s">
        <v>408</v>
      </c>
      <c r="E28" s="70" t="s">
        <v>409</v>
      </c>
      <c r="F28" s="70" t="s">
        <v>2800</v>
      </c>
      <c r="G28" s="70" t="s">
        <v>2801</v>
      </c>
      <c r="H28" s="70" t="s">
        <v>1458</v>
      </c>
      <c r="I28" s="70" t="s">
        <v>67</v>
      </c>
      <c r="J28" s="70" t="s">
        <v>509</v>
      </c>
      <c r="K28" s="71">
        <v>45782</v>
      </c>
      <c r="L28" s="71">
        <v>45966</v>
      </c>
      <c r="M28" s="72">
        <v>20000</v>
      </c>
      <c r="N28" s="72">
        <v>21068.16</v>
      </c>
      <c r="O28" s="73">
        <v>99</v>
      </c>
      <c r="P28" s="73">
        <v>6</v>
      </c>
      <c r="Q28" s="70" t="s">
        <v>68</v>
      </c>
      <c r="R28" s="72">
        <v>5115.67</v>
      </c>
      <c r="S28" s="72">
        <v>348</v>
      </c>
      <c r="T28" s="72">
        <v>2320</v>
      </c>
      <c r="U28" s="72">
        <v>0</v>
      </c>
      <c r="V28" s="72">
        <v>4</v>
      </c>
      <c r="W28" s="72">
        <v>17556.8</v>
      </c>
      <c r="X28" s="72">
        <v>22782.350000000002</v>
      </c>
      <c r="Y28" s="72">
        <v>14045.44</v>
      </c>
      <c r="Z28" s="72">
        <v>6185.24</v>
      </c>
      <c r="AA28" s="72">
        <v>231.67000000000002</v>
      </c>
      <c r="AB28" s="72">
        <v>2320</v>
      </c>
      <c r="AC28" s="72">
        <v>5116</v>
      </c>
      <c r="AD28" s="71">
        <v>45813</v>
      </c>
      <c r="AE28" s="70" t="s">
        <v>69</v>
      </c>
      <c r="AF28" s="70" t="s">
        <v>1459</v>
      </c>
      <c r="AG28" s="70" t="s">
        <v>510</v>
      </c>
      <c r="AI28" s="70" t="s">
        <v>563</v>
      </c>
      <c r="AJ28" s="70" t="s">
        <v>1460</v>
      </c>
      <c r="AM28" s="70" t="s">
        <v>800</v>
      </c>
      <c r="AN28" s="70" t="s">
        <v>1461</v>
      </c>
      <c r="AO28" s="70" t="s">
        <v>798</v>
      </c>
      <c r="AP28" s="70" t="s">
        <v>1462</v>
      </c>
      <c r="AQ28" s="70" t="s">
        <v>799</v>
      </c>
      <c r="AR28" s="70" t="s">
        <v>1463</v>
      </c>
      <c r="AY28" s="72">
        <v>27840.02</v>
      </c>
      <c r="AZ28" s="72">
        <v>0</v>
      </c>
      <c r="BA28" s="70" t="s">
        <v>67</v>
      </c>
      <c r="BB28" s="70" t="s">
        <v>1044</v>
      </c>
      <c r="BC28" s="70" t="s">
        <v>2989</v>
      </c>
      <c r="BD28" s="70" t="s">
        <v>414</v>
      </c>
      <c r="BE28" s="70" t="s">
        <v>74</v>
      </c>
      <c r="BF28" s="70" t="s">
        <v>415</v>
      </c>
      <c r="BH28" s="60" t="str">
        <f t="shared" si="0"/>
        <v>Ver en Mapa</v>
      </c>
      <c r="BK28" s="70">
        <v>4</v>
      </c>
      <c r="BL28" s="70">
        <v>4</v>
      </c>
      <c r="BM28" s="70" t="s">
        <v>2847</v>
      </c>
    </row>
    <row r="29" spans="1:65" s="68" customFormat="1" ht="14.4" customHeight="1" x14ac:dyDescent="0.3">
      <c r="A29" s="70" t="str">
        <f>H29</f>
        <v>001304</v>
      </c>
      <c r="B29" s="70" t="s">
        <v>61</v>
      </c>
      <c r="C29" s="70" t="s">
        <v>62</v>
      </c>
      <c r="D29" s="70" t="s">
        <v>408</v>
      </c>
      <c r="E29" s="70" t="s">
        <v>409</v>
      </c>
      <c r="F29" s="70" t="s">
        <v>2848</v>
      </c>
      <c r="G29" s="70" t="s">
        <v>2849</v>
      </c>
      <c r="H29" s="70" t="s">
        <v>1418</v>
      </c>
      <c r="I29" s="70" t="s">
        <v>67</v>
      </c>
      <c r="J29" s="70" t="s">
        <v>551</v>
      </c>
      <c r="K29" s="71">
        <v>45786</v>
      </c>
      <c r="L29" s="71">
        <v>46151</v>
      </c>
      <c r="M29" s="72">
        <v>10000</v>
      </c>
      <c r="N29" s="72">
        <v>10534.08</v>
      </c>
      <c r="O29" s="73">
        <v>97</v>
      </c>
      <c r="P29" s="73">
        <v>12</v>
      </c>
      <c r="Q29" s="70" t="s">
        <v>68</v>
      </c>
      <c r="R29" s="72">
        <v>1702.69</v>
      </c>
      <c r="S29" s="72">
        <v>696</v>
      </c>
      <c r="T29" s="72">
        <v>2320</v>
      </c>
      <c r="U29" s="72">
        <v>0</v>
      </c>
      <c r="V29" s="72">
        <v>4</v>
      </c>
      <c r="W29" s="72">
        <v>9656.24</v>
      </c>
      <c r="X29" s="72">
        <v>9130.4600000000009</v>
      </c>
      <c r="Y29" s="72">
        <v>3511.36</v>
      </c>
      <c r="Z29" s="72">
        <v>3067.41</v>
      </c>
      <c r="AA29" s="72">
        <v>231.69</v>
      </c>
      <c r="AB29" s="72">
        <v>2320</v>
      </c>
      <c r="AC29" s="72">
        <v>1703</v>
      </c>
      <c r="AD29" s="71">
        <v>45817</v>
      </c>
      <c r="AE29" s="70" t="s">
        <v>69</v>
      </c>
      <c r="AF29" s="70" t="s">
        <v>1419</v>
      </c>
      <c r="AG29" s="70" t="s">
        <v>552</v>
      </c>
      <c r="AI29" s="70" t="s">
        <v>283</v>
      </c>
      <c r="AJ29" s="70" t="s">
        <v>284</v>
      </c>
      <c r="AM29" s="70" t="s">
        <v>751</v>
      </c>
      <c r="AN29" s="70" t="s">
        <v>1420</v>
      </c>
      <c r="AO29" s="70" t="s">
        <v>749</v>
      </c>
      <c r="AP29" s="70" t="s">
        <v>1421</v>
      </c>
      <c r="AQ29" s="70" t="s">
        <v>750</v>
      </c>
      <c r="AR29" s="70" t="s">
        <v>1422</v>
      </c>
      <c r="AY29" s="72">
        <v>20643.3</v>
      </c>
      <c r="AZ29" s="72">
        <v>0</v>
      </c>
      <c r="BA29" s="70" t="s">
        <v>67</v>
      </c>
      <c r="BB29" s="70" t="s">
        <v>1044</v>
      </c>
      <c r="BC29" s="70" t="s">
        <v>2907</v>
      </c>
      <c r="BD29" s="70" t="s">
        <v>125</v>
      </c>
      <c r="BE29" s="70" t="s">
        <v>74</v>
      </c>
      <c r="BF29" s="70" t="s">
        <v>75</v>
      </c>
      <c r="BH29" s="60" t="str">
        <f t="shared" si="0"/>
        <v>Ver en Mapa</v>
      </c>
      <c r="BK29" s="70">
        <v>4</v>
      </c>
      <c r="BL29" s="70">
        <v>4</v>
      </c>
      <c r="BM29" s="70" t="s">
        <v>2847</v>
      </c>
    </row>
    <row r="30" spans="1:65" s="68" customFormat="1" ht="14.4" customHeight="1" x14ac:dyDescent="0.3">
      <c r="A30" s="70" t="str">
        <f>H30</f>
        <v>001352</v>
      </c>
      <c r="B30" s="70" t="s">
        <v>61</v>
      </c>
      <c r="C30" s="70" t="s">
        <v>194</v>
      </c>
      <c r="D30" s="70" t="s">
        <v>594</v>
      </c>
      <c r="E30" s="70" t="s">
        <v>595</v>
      </c>
      <c r="F30" s="70" t="s">
        <v>2800</v>
      </c>
      <c r="G30" s="70" t="s">
        <v>2801</v>
      </c>
      <c r="H30" s="70" t="s">
        <v>1469</v>
      </c>
      <c r="I30" s="70" t="s">
        <v>67</v>
      </c>
      <c r="J30" s="70" t="s">
        <v>682</v>
      </c>
      <c r="K30" s="71">
        <v>45805</v>
      </c>
      <c r="L30" s="71">
        <v>46141</v>
      </c>
      <c r="M30" s="72">
        <v>10000</v>
      </c>
      <c r="N30" s="72">
        <v>10534.08</v>
      </c>
      <c r="O30" s="73">
        <v>97</v>
      </c>
      <c r="P30" s="73">
        <v>24</v>
      </c>
      <c r="Q30" s="70" t="s">
        <v>496</v>
      </c>
      <c r="R30" s="72">
        <v>849.88</v>
      </c>
      <c r="S30" s="72">
        <v>1392</v>
      </c>
      <c r="T30" s="72">
        <v>4060</v>
      </c>
      <c r="U30" s="72">
        <v>9</v>
      </c>
      <c r="V30" s="72">
        <v>7</v>
      </c>
      <c r="W30" s="72">
        <v>9656.24</v>
      </c>
      <c r="X30" s="72">
        <v>10008.94</v>
      </c>
      <c r="Y30" s="72">
        <v>3072.44</v>
      </c>
      <c r="Z30" s="72">
        <v>2470.7400000000002</v>
      </c>
      <c r="AA30" s="72">
        <v>405.76</v>
      </c>
      <c r="AB30" s="72">
        <v>4060</v>
      </c>
      <c r="AC30" s="72">
        <v>850</v>
      </c>
      <c r="AD30" s="71">
        <v>45833</v>
      </c>
      <c r="AE30" s="70" t="s">
        <v>69</v>
      </c>
      <c r="AF30" s="70" t="s">
        <v>1470</v>
      </c>
      <c r="AG30" s="70" t="s">
        <v>683</v>
      </c>
      <c r="AI30" s="70" t="s">
        <v>684</v>
      </c>
      <c r="AJ30" s="70" t="s">
        <v>1471</v>
      </c>
      <c r="AM30" s="70" t="s">
        <v>854</v>
      </c>
      <c r="AN30" s="70" t="s">
        <v>1472</v>
      </c>
      <c r="AO30" s="70" t="s">
        <v>852</v>
      </c>
      <c r="AP30" s="70" t="s">
        <v>1473</v>
      </c>
      <c r="AQ30" s="70" t="s">
        <v>853</v>
      </c>
      <c r="AR30" s="70" t="s">
        <v>1474</v>
      </c>
      <c r="AY30" s="72">
        <v>21887.170000000002</v>
      </c>
      <c r="AZ30" s="72">
        <v>0</v>
      </c>
      <c r="BA30" s="70" t="s">
        <v>67</v>
      </c>
      <c r="BB30" s="70" t="s">
        <v>1044</v>
      </c>
      <c r="BC30" s="70" t="s">
        <v>2893</v>
      </c>
      <c r="BD30" s="70" t="s">
        <v>681</v>
      </c>
      <c r="BE30" s="70" t="s">
        <v>74</v>
      </c>
      <c r="BF30" s="70" t="s">
        <v>194</v>
      </c>
      <c r="BH30" s="60" t="str">
        <f t="shared" si="0"/>
        <v>Ver en Mapa</v>
      </c>
      <c r="BK30" s="70">
        <v>7</v>
      </c>
      <c r="BL30" s="70">
        <v>7</v>
      </c>
      <c r="BM30" s="70" t="s">
        <v>2847</v>
      </c>
    </row>
    <row r="31" spans="1:65" s="68" customFormat="1" ht="14.4" customHeight="1" x14ac:dyDescent="0.3">
      <c r="A31" s="70" t="str">
        <f>H31</f>
        <v>001272</v>
      </c>
      <c r="B31" s="70" t="s">
        <v>61</v>
      </c>
      <c r="C31" s="70" t="s">
        <v>205</v>
      </c>
      <c r="D31" s="70" t="s">
        <v>408</v>
      </c>
      <c r="E31" s="70" t="s">
        <v>409</v>
      </c>
      <c r="F31" s="70" t="s">
        <v>2802</v>
      </c>
      <c r="G31" s="70" t="s">
        <v>2803</v>
      </c>
      <c r="H31" s="70" t="s">
        <v>461</v>
      </c>
      <c r="I31" s="70" t="s">
        <v>67</v>
      </c>
      <c r="J31" s="70" t="s">
        <v>462</v>
      </c>
      <c r="K31" s="71">
        <v>45772</v>
      </c>
      <c r="L31" s="71">
        <v>46137</v>
      </c>
      <c r="M31" s="72">
        <v>10000</v>
      </c>
      <c r="N31" s="72">
        <v>10534.08</v>
      </c>
      <c r="O31" s="73">
        <v>81</v>
      </c>
      <c r="P31" s="73">
        <v>12</v>
      </c>
      <c r="Q31" s="70" t="s">
        <v>68</v>
      </c>
      <c r="R31" s="72">
        <v>1702.69</v>
      </c>
      <c r="S31" s="72">
        <v>696</v>
      </c>
      <c r="T31" s="72">
        <v>1740</v>
      </c>
      <c r="U31" s="72">
        <v>0</v>
      </c>
      <c r="V31" s="72">
        <v>2.9</v>
      </c>
      <c r="W31" s="72">
        <v>8778.4</v>
      </c>
      <c r="X31" s="72">
        <v>6630.77</v>
      </c>
      <c r="Y31" s="72">
        <v>2633.52</v>
      </c>
      <c r="Z31" s="72">
        <v>2141.25</v>
      </c>
      <c r="AA31" s="72">
        <v>116</v>
      </c>
      <c r="AB31" s="72">
        <v>1740</v>
      </c>
      <c r="AC31" s="72">
        <v>2000</v>
      </c>
      <c r="AD31" s="71">
        <v>45909</v>
      </c>
      <c r="AE31" s="70" t="s">
        <v>69</v>
      </c>
      <c r="AF31" s="70" t="s">
        <v>463</v>
      </c>
      <c r="AG31" s="70" t="s">
        <v>514</v>
      </c>
      <c r="AI31" s="70" t="s">
        <v>464</v>
      </c>
      <c r="AJ31" s="70" t="s">
        <v>465</v>
      </c>
      <c r="AK31" s="70" t="s">
        <v>466</v>
      </c>
      <c r="AM31" s="70" t="s">
        <v>929</v>
      </c>
      <c r="AN31" s="70" t="s">
        <v>1294</v>
      </c>
      <c r="AO31" s="70" t="s">
        <v>927</v>
      </c>
      <c r="AP31" s="70" t="s">
        <v>472</v>
      </c>
      <c r="AQ31" s="70" t="s">
        <v>928</v>
      </c>
      <c r="AR31" s="70" t="s">
        <v>928</v>
      </c>
      <c r="AY31" s="72">
        <v>18143.61</v>
      </c>
      <c r="AZ31" s="72">
        <v>0</v>
      </c>
      <c r="BA31" s="70" t="s">
        <v>67</v>
      </c>
      <c r="BB31" s="70" t="s">
        <v>1044</v>
      </c>
      <c r="BC31" s="70" t="s">
        <v>2947</v>
      </c>
      <c r="BD31" s="70" t="s">
        <v>467</v>
      </c>
      <c r="BE31" s="70" t="s">
        <v>213</v>
      </c>
      <c r="BF31" s="70" t="s">
        <v>205</v>
      </c>
      <c r="BH31" s="60" t="str">
        <f t="shared" si="0"/>
        <v>Ver en Mapa</v>
      </c>
      <c r="BK31" s="70">
        <v>4</v>
      </c>
      <c r="BL31" s="70">
        <v>4</v>
      </c>
      <c r="BM31" s="70" t="s">
        <v>2847</v>
      </c>
    </row>
    <row r="32" spans="1:65" s="68" customFormat="1" ht="14.4" customHeight="1" x14ac:dyDescent="0.3">
      <c r="A32" s="70" t="str">
        <f>H32</f>
        <v>001337</v>
      </c>
      <c r="B32" s="70" t="s">
        <v>61</v>
      </c>
      <c r="C32" s="70" t="s">
        <v>392</v>
      </c>
      <c r="D32" s="70" t="s">
        <v>1545</v>
      </c>
      <c r="E32" s="70" t="s">
        <v>665</v>
      </c>
      <c r="F32" s="70" t="s">
        <v>2802</v>
      </c>
      <c r="G32" s="70" t="s">
        <v>2803</v>
      </c>
      <c r="H32" s="70" t="s">
        <v>1546</v>
      </c>
      <c r="I32" s="70" t="s">
        <v>67</v>
      </c>
      <c r="J32" s="70" t="s">
        <v>666</v>
      </c>
      <c r="K32" s="71">
        <v>45804</v>
      </c>
      <c r="L32" s="71">
        <v>45988</v>
      </c>
      <c r="M32" s="72">
        <v>7000</v>
      </c>
      <c r="N32" s="72">
        <v>7373.85</v>
      </c>
      <c r="O32" s="73">
        <v>78</v>
      </c>
      <c r="P32" s="73">
        <v>6</v>
      </c>
      <c r="Q32" s="70" t="s">
        <v>68</v>
      </c>
      <c r="R32" s="72">
        <v>1828.18</v>
      </c>
      <c r="S32" s="72">
        <v>348</v>
      </c>
      <c r="T32" s="72">
        <v>1740</v>
      </c>
      <c r="U32" s="72">
        <v>0</v>
      </c>
      <c r="V32" s="72">
        <v>2</v>
      </c>
      <c r="W32" s="72">
        <v>4944.09</v>
      </c>
      <c r="X32" s="72">
        <v>5424.551269333333</v>
      </c>
      <c r="Y32" s="72">
        <v>2486.14</v>
      </c>
      <c r="Z32" s="72">
        <v>1082.4100000000001</v>
      </c>
      <c r="AA32" s="72">
        <v>116</v>
      </c>
      <c r="AB32" s="72">
        <v>1740</v>
      </c>
      <c r="AC32" s="72">
        <v>1000</v>
      </c>
      <c r="AD32" s="71">
        <v>45943</v>
      </c>
      <c r="AE32" s="70" t="s">
        <v>69</v>
      </c>
      <c r="AF32" s="70" t="s">
        <v>1547</v>
      </c>
      <c r="AG32" s="70" t="s">
        <v>667</v>
      </c>
      <c r="AI32" s="70" t="s">
        <v>481</v>
      </c>
      <c r="AJ32" s="70" t="s">
        <v>482</v>
      </c>
      <c r="AM32" s="70" t="s">
        <v>1000</v>
      </c>
      <c r="AN32" s="70" t="s">
        <v>1548</v>
      </c>
      <c r="AO32" s="70" t="s">
        <v>998</v>
      </c>
      <c r="AP32" s="70" t="s">
        <v>1549</v>
      </c>
      <c r="AQ32" s="70" t="s">
        <v>999</v>
      </c>
      <c r="AR32" s="70" t="s">
        <v>1550</v>
      </c>
      <c r="AY32" s="72">
        <v>8964.92</v>
      </c>
      <c r="AZ32" s="72">
        <v>0</v>
      </c>
      <c r="BA32" s="70" t="s">
        <v>67</v>
      </c>
      <c r="BB32" s="70" t="s">
        <v>1044</v>
      </c>
      <c r="BC32" s="70" t="s">
        <v>2897</v>
      </c>
      <c r="BD32" s="70" t="s">
        <v>669</v>
      </c>
      <c r="BE32" s="70" t="s">
        <v>74</v>
      </c>
      <c r="BF32" s="70" t="s">
        <v>670</v>
      </c>
      <c r="BH32" s="60" t="str">
        <f t="shared" si="0"/>
        <v>Ver en Mapa</v>
      </c>
      <c r="BK32" s="70">
        <v>3</v>
      </c>
      <c r="BL32" s="70">
        <v>3</v>
      </c>
      <c r="BM32" s="70" t="s">
        <v>2847</v>
      </c>
    </row>
    <row r="33" spans="1:65" s="68" customFormat="1" ht="14.4" customHeight="1" x14ac:dyDescent="0.3">
      <c r="A33" s="70" t="str">
        <f>H33</f>
        <v>001451</v>
      </c>
      <c r="B33" s="70" t="s">
        <v>61</v>
      </c>
      <c r="C33" s="70" t="s">
        <v>62</v>
      </c>
      <c r="D33" s="70" t="s">
        <v>1429</v>
      </c>
      <c r="E33" s="70" t="s">
        <v>617</v>
      </c>
      <c r="F33" s="70" t="s">
        <v>2848</v>
      </c>
      <c r="G33" s="70" t="s">
        <v>2849</v>
      </c>
      <c r="H33" s="70" t="s">
        <v>1955</v>
      </c>
      <c r="I33" s="70" t="s">
        <v>67</v>
      </c>
      <c r="J33" s="70" t="s">
        <v>1358</v>
      </c>
      <c r="K33" s="71">
        <v>45834</v>
      </c>
      <c r="L33" s="71">
        <v>46204</v>
      </c>
      <c r="M33" s="72">
        <v>10000</v>
      </c>
      <c r="N33" s="72">
        <v>10534.08</v>
      </c>
      <c r="O33" s="73">
        <v>74</v>
      </c>
      <c r="P33" s="73">
        <v>12</v>
      </c>
      <c r="Q33" s="70" t="s">
        <v>68</v>
      </c>
      <c r="R33" s="72">
        <v>1713.2</v>
      </c>
      <c r="S33" s="72">
        <v>696</v>
      </c>
      <c r="T33" s="72">
        <v>1160</v>
      </c>
      <c r="U33" s="72">
        <v>0</v>
      </c>
      <c r="V33" s="72">
        <v>2.2999999999999998</v>
      </c>
      <c r="W33" s="72">
        <v>10199.44</v>
      </c>
      <c r="X33" s="72">
        <v>5129.5902880000003</v>
      </c>
      <c r="Y33" s="72">
        <v>2298.88</v>
      </c>
      <c r="Z33" s="72">
        <v>1554.71</v>
      </c>
      <c r="AA33" s="72">
        <v>116</v>
      </c>
      <c r="AB33" s="72">
        <v>1160</v>
      </c>
      <c r="AC33" s="72">
        <v>1750</v>
      </c>
      <c r="AD33" s="71">
        <v>45873</v>
      </c>
      <c r="AE33" s="70" t="s">
        <v>69</v>
      </c>
      <c r="AF33" s="70" t="s">
        <v>1956</v>
      </c>
      <c r="AG33" s="70" t="s">
        <v>1359</v>
      </c>
      <c r="AI33" s="70" t="s">
        <v>1360</v>
      </c>
      <c r="AJ33" s="70" t="s">
        <v>1957</v>
      </c>
      <c r="AM33" s="70" t="s">
        <v>1361</v>
      </c>
      <c r="AN33" s="70" t="s">
        <v>1958</v>
      </c>
      <c r="AO33" s="70" t="s">
        <v>1362</v>
      </c>
      <c r="AP33" s="70" t="s">
        <v>1959</v>
      </c>
      <c r="AQ33" s="70" t="s">
        <v>1363</v>
      </c>
      <c r="AR33" s="70" t="s">
        <v>1960</v>
      </c>
      <c r="AY33" s="72">
        <v>20026.36</v>
      </c>
      <c r="AZ33" s="72">
        <v>0</v>
      </c>
      <c r="BA33" s="70" t="s">
        <v>67</v>
      </c>
      <c r="BB33" s="70" t="s">
        <v>1044</v>
      </c>
      <c r="BC33" s="70" t="s">
        <v>3016</v>
      </c>
      <c r="BD33" s="70" t="s">
        <v>125</v>
      </c>
      <c r="BE33" s="70" t="s">
        <v>74</v>
      </c>
      <c r="BF33" s="70" t="s">
        <v>75</v>
      </c>
      <c r="BG33" s="70" t="s">
        <v>1364</v>
      </c>
      <c r="BH33" s="60" t="str">
        <f t="shared" si="0"/>
        <v>Ver en Mapa</v>
      </c>
      <c r="BK33" s="70">
        <v>3</v>
      </c>
      <c r="BL33" s="70">
        <v>3</v>
      </c>
      <c r="BM33" s="70" t="s">
        <v>2847</v>
      </c>
    </row>
    <row r="34" spans="1:65" s="68" customFormat="1" ht="14.4" customHeight="1" x14ac:dyDescent="0.3">
      <c r="A34" s="70" t="str">
        <f>H34</f>
        <v>001299</v>
      </c>
      <c r="B34" s="70" t="s">
        <v>61</v>
      </c>
      <c r="C34" s="70" t="s">
        <v>273</v>
      </c>
      <c r="D34" s="70" t="s">
        <v>408</v>
      </c>
      <c r="E34" s="70" t="s">
        <v>409</v>
      </c>
      <c r="F34" s="70" t="s">
        <v>2785</v>
      </c>
      <c r="G34" s="70" t="s">
        <v>2786</v>
      </c>
      <c r="H34" s="70" t="s">
        <v>2371</v>
      </c>
      <c r="I34" s="70" t="s">
        <v>67</v>
      </c>
      <c r="J34" s="70" t="s">
        <v>538</v>
      </c>
      <c r="K34" s="71">
        <v>45783</v>
      </c>
      <c r="L34" s="71">
        <v>45967</v>
      </c>
      <c r="M34" s="72">
        <v>7000</v>
      </c>
      <c r="N34" s="72">
        <v>7373.85</v>
      </c>
      <c r="O34" s="73">
        <v>69</v>
      </c>
      <c r="P34" s="73">
        <v>6</v>
      </c>
      <c r="Q34" s="70" t="s">
        <v>68</v>
      </c>
      <c r="R34" s="72">
        <v>1828.18</v>
      </c>
      <c r="S34" s="72">
        <v>348</v>
      </c>
      <c r="T34" s="72">
        <v>1740</v>
      </c>
      <c r="U34" s="72">
        <v>0</v>
      </c>
      <c r="V34" s="72">
        <v>2.2000000000000002</v>
      </c>
      <c r="W34" s="72">
        <v>4014.29</v>
      </c>
      <c r="X34" s="72">
        <v>5723.7350000000006</v>
      </c>
      <c r="Y34" s="72">
        <v>2785.32</v>
      </c>
      <c r="Z34" s="72">
        <v>1082.42</v>
      </c>
      <c r="AA34" s="72">
        <v>116</v>
      </c>
      <c r="AB34" s="72">
        <v>1740</v>
      </c>
      <c r="AC34" s="72">
        <v>1500</v>
      </c>
      <c r="AD34" s="71">
        <v>45933</v>
      </c>
      <c r="AE34" s="70" t="s">
        <v>69</v>
      </c>
      <c r="AF34" s="70" t="s">
        <v>2372</v>
      </c>
      <c r="AG34" s="70" t="s">
        <v>539</v>
      </c>
      <c r="AI34" s="70" t="s">
        <v>187</v>
      </c>
      <c r="AJ34" s="70" t="s">
        <v>1417</v>
      </c>
      <c r="AM34" s="70" t="s">
        <v>951</v>
      </c>
      <c r="AN34" s="70" t="s">
        <v>2373</v>
      </c>
      <c r="AO34" s="70" t="s">
        <v>949</v>
      </c>
      <c r="AP34" s="70" t="s">
        <v>2374</v>
      </c>
      <c r="AQ34" s="70" t="s">
        <v>950</v>
      </c>
      <c r="AR34" s="70" t="s">
        <v>2375</v>
      </c>
      <c r="AY34" s="72">
        <v>7493.92</v>
      </c>
      <c r="AZ34" s="72">
        <v>0</v>
      </c>
      <c r="BA34" s="70" t="s">
        <v>67</v>
      </c>
      <c r="BB34" s="70" t="s">
        <v>1044</v>
      </c>
      <c r="BC34" s="70" t="s">
        <v>540</v>
      </c>
      <c r="BD34" s="70" t="s">
        <v>541</v>
      </c>
      <c r="BE34" s="70" t="s">
        <v>74</v>
      </c>
      <c r="BF34" s="70" t="s">
        <v>296</v>
      </c>
      <c r="BH34" s="60" t="str">
        <f t="shared" si="0"/>
        <v>Ver en Mapa</v>
      </c>
      <c r="BK34" s="70">
        <v>3</v>
      </c>
      <c r="BL34" s="70">
        <v>3</v>
      </c>
      <c r="BM34" s="70" t="s">
        <v>2847</v>
      </c>
    </row>
    <row r="35" spans="1:65" s="68" customFormat="1" ht="14.4" customHeight="1" x14ac:dyDescent="0.3">
      <c r="A35" s="70" t="str">
        <f>H35</f>
        <v>001354</v>
      </c>
      <c r="B35" s="70" t="s">
        <v>61</v>
      </c>
      <c r="C35" s="70" t="s">
        <v>194</v>
      </c>
      <c r="D35" s="70" t="s">
        <v>588</v>
      </c>
      <c r="E35" s="70" t="s">
        <v>589</v>
      </c>
      <c r="F35" s="70" t="s">
        <v>2800</v>
      </c>
      <c r="G35" s="70" t="s">
        <v>2801</v>
      </c>
      <c r="H35" s="70" t="s">
        <v>2203</v>
      </c>
      <c r="I35" s="70" t="s">
        <v>67</v>
      </c>
      <c r="J35" s="70" t="s">
        <v>855</v>
      </c>
      <c r="K35" s="71">
        <v>45806</v>
      </c>
      <c r="L35" s="71">
        <v>45974</v>
      </c>
      <c r="M35" s="72">
        <v>10000</v>
      </c>
      <c r="N35" s="72">
        <v>10534.08</v>
      </c>
      <c r="O35" s="73">
        <v>68</v>
      </c>
      <c r="P35" s="73">
        <v>12</v>
      </c>
      <c r="Q35" s="70" t="s">
        <v>496</v>
      </c>
      <c r="R35" s="72">
        <v>1288.8</v>
      </c>
      <c r="S35" s="72">
        <v>696</v>
      </c>
      <c r="T35" s="72">
        <v>2900</v>
      </c>
      <c r="U35" s="72">
        <v>9</v>
      </c>
      <c r="V35" s="72">
        <v>5</v>
      </c>
      <c r="W35" s="72">
        <v>7022.7300000000005</v>
      </c>
      <c r="X35" s="72">
        <v>9344.02</v>
      </c>
      <c r="Y35" s="72">
        <v>4389.21</v>
      </c>
      <c r="Z35" s="72">
        <v>1764.81</v>
      </c>
      <c r="AA35" s="72">
        <v>290</v>
      </c>
      <c r="AB35" s="72">
        <v>2900</v>
      </c>
      <c r="AC35" s="72">
        <v>1288.8</v>
      </c>
      <c r="AD35" s="71">
        <v>45862</v>
      </c>
      <c r="AE35" s="70" t="s">
        <v>69</v>
      </c>
      <c r="AF35" s="70" t="s">
        <v>2204</v>
      </c>
      <c r="AG35" s="70" t="s">
        <v>856</v>
      </c>
      <c r="AI35" s="70" t="s">
        <v>86</v>
      </c>
      <c r="AJ35" s="70" t="s">
        <v>87</v>
      </c>
      <c r="AM35" s="70" t="s">
        <v>859</v>
      </c>
      <c r="AN35" s="70" t="s">
        <v>2205</v>
      </c>
      <c r="AO35" s="70" t="s">
        <v>857</v>
      </c>
      <c r="AP35" s="70" t="s">
        <v>2206</v>
      </c>
      <c r="AQ35" s="70" t="s">
        <v>858</v>
      </c>
      <c r="AR35" s="70" t="s">
        <v>2207</v>
      </c>
      <c r="AY35" s="72">
        <v>13036.42</v>
      </c>
      <c r="AZ35" s="72">
        <v>0</v>
      </c>
      <c r="BA35" s="70" t="s">
        <v>67</v>
      </c>
      <c r="BB35" s="70" t="s">
        <v>1044</v>
      </c>
      <c r="BC35" s="70" t="s">
        <v>2887</v>
      </c>
      <c r="BD35" s="70" t="s">
        <v>651</v>
      </c>
      <c r="BE35" s="70" t="s">
        <v>74</v>
      </c>
      <c r="BF35" s="70" t="s">
        <v>646</v>
      </c>
      <c r="BH35" s="60" t="str">
        <f t="shared" si="0"/>
        <v>Ver en Mapa</v>
      </c>
      <c r="BK35" s="70">
        <v>5</v>
      </c>
      <c r="BL35" s="70">
        <v>5</v>
      </c>
      <c r="BM35" s="70" t="s">
        <v>2847</v>
      </c>
    </row>
    <row r="36" spans="1:65" s="68" customFormat="1" ht="14.4" customHeight="1" x14ac:dyDescent="0.3">
      <c r="A36" s="70" t="str">
        <f>H36</f>
        <v>001397</v>
      </c>
      <c r="B36" s="70" t="s">
        <v>61</v>
      </c>
      <c r="C36" s="70" t="s">
        <v>194</v>
      </c>
      <c r="D36" s="70" t="s">
        <v>588</v>
      </c>
      <c r="E36" s="70" t="s">
        <v>589</v>
      </c>
      <c r="F36" s="70" t="s">
        <v>2800</v>
      </c>
      <c r="G36" s="70" t="s">
        <v>2801</v>
      </c>
      <c r="H36" s="70" t="s">
        <v>1475</v>
      </c>
      <c r="I36" s="70" t="s">
        <v>67</v>
      </c>
      <c r="J36" s="70" t="s">
        <v>1143</v>
      </c>
      <c r="K36" s="71">
        <v>45820</v>
      </c>
      <c r="L36" s="71">
        <v>45988</v>
      </c>
      <c r="M36" s="72">
        <v>8000</v>
      </c>
      <c r="N36" s="72">
        <v>8427.26</v>
      </c>
      <c r="O36" s="73">
        <v>68</v>
      </c>
      <c r="P36" s="73">
        <v>12</v>
      </c>
      <c r="Q36" s="70" t="s">
        <v>496</v>
      </c>
      <c r="R36" s="72">
        <v>1042.6400000000001</v>
      </c>
      <c r="S36" s="72">
        <v>696</v>
      </c>
      <c r="T36" s="72">
        <v>2900</v>
      </c>
      <c r="U36" s="72">
        <v>8</v>
      </c>
      <c r="V36" s="72">
        <v>5</v>
      </c>
      <c r="W36" s="72">
        <v>6320.4400000000005</v>
      </c>
      <c r="X36" s="72">
        <v>8111.7033000000001</v>
      </c>
      <c r="Y36" s="72">
        <v>3511.35</v>
      </c>
      <c r="Z36" s="72">
        <v>1411.8500000000001</v>
      </c>
      <c r="AA36" s="72">
        <v>288.5</v>
      </c>
      <c r="AB36" s="72">
        <v>2900</v>
      </c>
      <c r="AC36" s="72">
        <v>43</v>
      </c>
      <c r="AD36" s="71">
        <v>45866</v>
      </c>
      <c r="AE36" s="70" t="s">
        <v>69</v>
      </c>
      <c r="AF36" s="70" t="s">
        <v>1476</v>
      </c>
      <c r="AG36" s="70" t="s">
        <v>1144</v>
      </c>
      <c r="AI36" s="70" t="s">
        <v>283</v>
      </c>
      <c r="AJ36" s="70" t="s">
        <v>284</v>
      </c>
      <c r="AK36" s="70" t="s">
        <v>1145</v>
      </c>
      <c r="AM36" s="70" t="s">
        <v>1146</v>
      </c>
      <c r="AN36" s="70" t="s">
        <v>1477</v>
      </c>
      <c r="AO36" s="70" t="s">
        <v>1147</v>
      </c>
      <c r="AP36" s="70" t="s">
        <v>1478</v>
      </c>
      <c r="AY36" s="72">
        <v>12050.26</v>
      </c>
      <c r="AZ36" s="72">
        <v>0</v>
      </c>
      <c r="BA36" s="70" t="s">
        <v>67</v>
      </c>
      <c r="BB36" s="70" t="s">
        <v>1044</v>
      </c>
      <c r="BC36" s="70" t="s">
        <v>2933</v>
      </c>
      <c r="BD36" s="70" t="s">
        <v>645</v>
      </c>
      <c r="BE36" s="70" t="s">
        <v>74</v>
      </c>
      <c r="BF36" s="70" t="s">
        <v>646</v>
      </c>
      <c r="BG36" s="70" t="s">
        <v>1148</v>
      </c>
      <c r="BH36" s="60" t="str">
        <f t="shared" si="0"/>
        <v>Ver en Mapa</v>
      </c>
      <c r="BK36" s="70">
        <v>7</v>
      </c>
      <c r="BL36" s="70">
        <v>7</v>
      </c>
      <c r="BM36" s="70" t="s">
        <v>2847</v>
      </c>
    </row>
    <row r="37" spans="1:65" s="68" customFormat="1" ht="14.4" customHeight="1" x14ac:dyDescent="0.3">
      <c r="A37" s="70" t="str">
        <f>H37</f>
        <v>001092</v>
      </c>
      <c r="B37" s="70" t="s">
        <v>61</v>
      </c>
      <c r="C37" s="70" t="s">
        <v>62</v>
      </c>
      <c r="D37" s="70" t="s">
        <v>113</v>
      </c>
      <c r="E37" s="70" t="s">
        <v>114</v>
      </c>
      <c r="F37" s="70" t="s">
        <v>2848</v>
      </c>
      <c r="G37" s="70" t="s">
        <v>2849</v>
      </c>
      <c r="H37" s="70" t="s">
        <v>126</v>
      </c>
      <c r="I37" s="70" t="s">
        <v>67</v>
      </c>
      <c r="J37" s="70" t="s">
        <v>127</v>
      </c>
      <c r="K37" s="71">
        <v>45544</v>
      </c>
      <c r="L37" s="71">
        <v>46090</v>
      </c>
      <c r="M37" s="72">
        <v>100000</v>
      </c>
      <c r="N37" s="72">
        <v>105340.78</v>
      </c>
      <c r="O37" s="73">
        <v>64</v>
      </c>
      <c r="P37" s="73">
        <v>18</v>
      </c>
      <c r="Q37" s="70" t="s">
        <v>68</v>
      </c>
      <c r="R37" s="72">
        <v>12169.550000000001</v>
      </c>
      <c r="S37" s="72">
        <v>1044</v>
      </c>
      <c r="T37" s="72">
        <v>1160</v>
      </c>
      <c r="U37" s="72">
        <v>0</v>
      </c>
      <c r="V37" s="72">
        <v>2.8</v>
      </c>
      <c r="W37" s="72">
        <v>66786.83</v>
      </c>
      <c r="X37" s="72">
        <v>34749.96</v>
      </c>
      <c r="Y37" s="72">
        <v>19799.080000000002</v>
      </c>
      <c r="Z37" s="72">
        <v>13674.880000000001</v>
      </c>
      <c r="AA37" s="72">
        <v>116</v>
      </c>
      <c r="AB37" s="72">
        <v>1160</v>
      </c>
      <c r="AC37" s="72">
        <v>3500</v>
      </c>
      <c r="AD37" s="71">
        <v>45904</v>
      </c>
      <c r="AE37" s="70" t="s">
        <v>69</v>
      </c>
      <c r="AF37" s="70" t="s">
        <v>128</v>
      </c>
      <c r="AG37" s="70" t="s">
        <v>129</v>
      </c>
      <c r="AI37" s="70" t="s">
        <v>130</v>
      </c>
      <c r="AJ37" s="70" t="s">
        <v>131</v>
      </c>
      <c r="AK37" s="70" t="s">
        <v>132</v>
      </c>
      <c r="AM37" s="70" t="s">
        <v>699</v>
      </c>
      <c r="AN37" s="70" t="s">
        <v>1244</v>
      </c>
      <c r="AO37" s="70" t="s">
        <v>696</v>
      </c>
      <c r="AP37" s="70" t="s">
        <v>697</v>
      </c>
      <c r="AQ37" s="70" t="s">
        <v>698</v>
      </c>
      <c r="AR37" s="70" t="s">
        <v>1245</v>
      </c>
      <c r="AS37" s="70" t="s">
        <v>122</v>
      </c>
      <c r="AT37" s="68" t="s">
        <v>133</v>
      </c>
      <c r="AU37" s="70" t="s">
        <v>134</v>
      </c>
      <c r="AY37" s="72">
        <v>81737.710000000006</v>
      </c>
      <c r="AZ37" s="72">
        <v>0</v>
      </c>
      <c r="BA37" s="70" t="s">
        <v>135</v>
      </c>
      <c r="BB37" s="70" t="s">
        <v>136</v>
      </c>
      <c r="BC37" s="70" t="s">
        <v>2905</v>
      </c>
      <c r="BD37" s="70" t="s">
        <v>97</v>
      </c>
      <c r="BE37" s="70" t="s">
        <v>74</v>
      </c>
      <c r="BF37" s="70" t="s">
        <v>75</v>
      </c>
      <c r="BH37" s="60" t="str">
        <f t="shared" si="0"/>
        <v>Ver en Mapa</v>
      </c>
      <c r="BK37" s="70">
        <v>7</v>
      </c>
      <c r="BL37" s="70">
        <v>7</v>
      </c>
      <c r="BM37" s="70" t="s">
        <v>2847</v>
      </c>
    </row>
    <row r="38" spans="1:65" s="68" customFormat="1" ht="14.4" customHeight="1" x14ac:dyDescent="0.3">
      <c r="A38" s="70" t="str">
        <f>H38</f>
        <v>001490</v>
      </c>
      <c r="B38" s="70" t="s">
        <v>61</v>
      </c>
      <c r="C38" s="70" t="s">
        <v>194</v>
      </c>
      <c r="D38" s="70" t="s">
        <v>588</v>
      </c>
      <c r="E38" s="70" t="s">
        <v>589</v>
      </c>
      <c r="F38" s="70" t="s">
        <v>2800</v>
      </c>
      <c r="G38" s="70" t="s">
        <v>2801</v>
      </c>
      <c r="H38" s="70" t="s">
        <v>2158</v>
      </c>
      <c r="I38" s="70" t="s">
        <v>67</v>
      </c>
      <c r="J38" s="70" t="s">
        <v>1591</v>
      </c>
      <c r="K38" s="71">
        <v>45848</v>
      </c>
      <c r="L38" s="71">
        <v>46032</v>
      </c>
      <c r="M38" s="72">
        <v>5000</v>
      </c>
      <c r="N38" s="72">
        <v>5267.04</v>
      </c>
      <c r="O38" s="73">
        <v>64</v>
      </c>
      <c r="P38" s="73">
        <v>6</v>
      </c>
      <c r="Q38" s="70" t="s">
        <v>68</v>
      </c>
      <c r="R38" s="72">
        <v>1322.42</v>
      </c>
      <c r="S38" s="72">
        <v>348</v>
      </c>
      <c r="T38" s="72">
        <v>1740</v>
      </c>
      <c r="U38" s="72">
        <v>0</v>
      </c>
      <c r="V38" s="72">
        <v>3</v>
      </c>
      <c r="W38" s="72">
        <v>5267.04</v>
      </c>
      <c r="X38" s="72">
        <v>5707.2519807999988</v>
      </c>
      <c r="Y38" s="72">
        <v>2633.52</v>
      </c>
      <c r="Z38" s="72">
        <v>1159.73</v>
      </c>
      <c r="AA38" s="72">
        <v>174</v>
      </c>
      <c r="AB38" s="72">
        <v>1740</v>
      </c>
      <c r="AE38" s="70" t="s">
        <v>69</v>
      </c>
      <c r="AF38" s="70" t="s">
        <v>2159</v>
      </c>
      <c r="AG38" s="70" t="s">
        <v>1592</v>
      </c>
      <c r="AI38" s="70" t="s">
        <v>526</v>
      </c>
      <c r="AJ38" s="70" t="s">
        <v>527</v>
      </c>
      <c r="AM38" s="70" t="s">
        <v>1593</v>
      </c>
      <c r="AN38" s="70" t="s">
        <v>2160</v>
      </c>
      <c r="AO38" s="70" t="s">
        <v>1594</v>
      </c>
      <c r="AP38" s="70" t="s">
        <v>2161</v>
      </c>
      <c r="AQ38" s="70" t="s">
        <v>1595</v>
      </c>
      <c r="AR38" s="70" t="s">
        <v>2162</v>
      </c>
      <c r="AY38" s="72">
        <v>9500.5</v>
      </c>
      <c r="AZ38" s="72">
        <v>0</v>
      </c>
      <c r="BA38" s="70" t="s">
        <v>67</v>
      </c>
      <c r="BB38" s="70" t="s">
        <v>1044</v>
      </c>
      <c r="BC38" s="70" t="s">
        <v>2988</v>
      </c>
      <c r="BD38" s="70" t="s">
        <v>687</v>
      </c>
      <c r="BE38" s="70" t="s">
        <v>74</v>
      </c>
      <c r="BF38" s="70" t="s">
        <v>503</v>
      </c>
      <c r="BG38" s="70" t="s">
        <v>1596</v>
      </c>
      <c r="BH38" s="60" t="str">
        <f t="shared" si="0"/>
        <v>Ver en Mapa</v>
      </c>
      <c r="BK38" s="70">
        <v>3</v>
      </c>
      <c r="BL38" s="70">
        <v>3</v>
      </c>
      <c r="BM38" s="70" t="s">
        <v>2847</v>
      </c>
    </row>
    <row r="39" spans="1:65" s="68" customFormat="1" ht="14.4" customHeight="1" x14ac:dyDescent="0.3">
      <c r="A39" s="70" t="str">
        <f>H39</f>
        <v>001312</v>
      </c>
      <c r="B39" s="70" t="s">
        <v>61</v>
      </c>
      <c r="C39" s="70" t="s">
        <v>62</v>
      </c>
      <c r="D39" s="70" t="s">
        <v>408</v>
      </c>
      <c r="E39" s="70" t="s">
        <v>409</v>
      </c>
      <c r="F39" s="70" t="s">
        <v>2848</v>
      </c>
      <c r="G39" s="70" t="s">
        <v>2849</v>
      </c>
      <c r="H39" s="70" t="s">
        <v>1888</v>
      </c>
      <c r="I39" s="70" t="s">
        <v>67</v>
      </c>
      <c r="J39" s="70" t="s">
        <v>560</v>
      </c>
      <c r="K39" s="71">
        <v>45790</v>
      </c>
      <c r="L39" s="71">
        <v>46155</v>
      </c>
      <c r="M39" s="72">
        <v>10000</v>
      </c>
      <c r="N39" s="72">
        <v>10534.08</v>
      </c>
      <c r="O39" s="73">
        <v>62</v>
      </c>
      <c r="P39" s="73">
        <v>12</v>
      </c>
      <c r="Q39" s="70" t="s">
        <v>68</v>
      </c>
      <c r="R39" s="72">
        <v>1702.69</v>
      </c>
      <c r="S39" s="72">
        <v>696</v>
      </c>
      <c r="T39" s="72">
        <v>1740</v>
      </c>
      <c r="U39" s="72">
        <v>0</v>
      </c>
      <c r="V39" s="72">
        <v>3</v>
      </c>
      <c r="W39" s="72">
        <v>8778.4</v>
      </c>
      <c r="X39" s="72">
        <v>6840.77</v>
      </c>
      <c r="Y39" s="72">
        <v>2633.52</v>
      </c>
      <c r="Z39" s="72">
        <v>2300.56</v>
      </c>
      <c r="AA39" s="72">
        <v>166.69</v>
      </c>
      <c r="AB39" s="72">
        <v>1740</v>
      </c>
      <c r="AC39" s="72">
        <v>1702.69</v>
      </c>
      <c r="AD39" s="71">
        <v>45853</v>
      </c>
      <c r="AE39" s="70" t="s">
        <v>69</v>
      </c>
      <c r="AF39" s="70" t="s">
        <v>1889</v>
      </c>
      <c r="AG39" s="70" t="s">
        <v>561</v>
      </c>
      <c r="AI39" s="70" t="s">
        <v>89</v>
      </c>
      <c r="AJ39" s="70" t="s">
        <v>90</v>
      </c>
      <c r="AM39" s="70" t="s">
        <v>742</v>
      </c>
      <c r="AN39" s="70" t="s">
        <v>1890</v>
      </c>
      <c r="AO39" s="70" t="s">
        <v>740</v>
      </c>
      <c r="AP39" s="70" t="s">
        <v>1891</v>
      </c>
      <c r="AQ39" s="70" t="s">
        <v>741</v>
      </c>
      <c r="AR39" s="70" t="s">
        <v>1892</v>
      </c>
      <c r="AY39" s="72">
        <v>18353.61</v>
      </c>
      <c r="AZ39" s="72">
        <v>0</v>
      </c>
      <c r="BA39" s="70" t="s">
        <v>67</v>
      </c>
      <c r="BB39" s="70" t="s">
        <v>1044</v>
      </c>
      <c r="BC39" s="70" t="s">
        <v>2993</v>
      </c>
      <c r="BD39" s="70" t="s">
        <v>452</v>
      </c>
      <c r="BE39" s="70" t="s">
        <v>74</v>
      </c>
      <c r="BF39" s="70" t="s">
        <v>75</v>
      </c>
      <c r="BH39" s="60" t="str">
        <f t="shared" si="0"/>
        <v>Ver en Mapa</v>
      </c>
      <c r="BK39" s="70">
        <v>4</v>
      </c>
      <c r="BL39" s="70">
        <v>4</v>
      </c>
      <c r="BM39" s="70" t="s">
        <v>2847</v>
      </c>
    </row>
    <row r="40" spans="1:65" s="68" customFormat="1" ht="14.4" customHeight="1" x14ac:dyDescent="0.3">
      <c r="A40" s="70" t="str">
        <f>H40</f>
        <v>001317</v>
      </c>
      <c r="B40" s="70" t="s">
        <v>61</v>
      </c>
      <c r="C40" s="70" t="s">
        <v>194</v>
      </c>
      <c r="D40" s="70" t="s">
        <v>594</v>
      </c>
      <c r="E40" s="70" t="s">
        <v>595</v>
      </c>
      <c r="F40" s="70" t="s">
        <v>2800</v>
      </c>
      <c r="G40" s="70" t="s">
        <v>2801</v>
      </c>
      <c r="H40" s="70" t="s">
        <v>2255</v>
      </c>
      <c r="I40" s="70" t="s">
        <v>67</v>
      </c>
      <c r="J40" s="70" t="s">
        <v>571</v>
      </c>
      <c r="K40" s="71">
        <v>45791</v>
      </c>
      <c r="L40" s="71">
        <v>46156</v>
      </c>
      <c r="M40" s="72">
        <v>20000</v>
      </c>
      <c r="N40" s="72">
        <v>21068.16</v>
      </c>
      <c r="O40" s="73">
        <v>61</v>
      </c>
      <c r="P40" s="73">
        <v>12</v>
      </c>
      <c r="Q40" s="70" t="s">
        <v>68</v>
      </c>
      <c r="R40" s="72">
        <v>3347.38</v>
      </c>
      <c r="S40" s="72">
        <v>696</v>
      </c>
      <c r="T40" s="72">
        <v>1160</v>
      </c>
      <c r="U40" s="72">
        <v>0</v>
      </c>
      <c r="V40" s="72">
        <v>2.9</v>
      </c>
      <c r="W40" s="72">
        <v>17556.8</v>
      </c>
      <c r="X40" s="72">
        <v>10702.16</v>
      </c>
      <c r="Y40" s="72">
        <v>5267.04</v>
      </c>
      <c r="Z40" s="72">
        <v>4159.12</v>
      </c>
      <c r="AA40" s="72">
        <v>116</v>
      </c>
      <c r="AB40" s="72">
        <v>1160</v>
      </c>
      <c r="AC40" s="72">
        <v>500</v>
      </c>
      <c r="AD40" s="71">
        <v>45922</v>
      </c>
      <c r="AE40" s="70" t="s">
        <v>69</v>
      </c>
      <c r="AF40" s="70" t="s">
        <v>2256</v>
      </c>
      <c r="AG40" s="70" t="s">
        <v>572</v>
      </c>
      <c r="AI40" s="70" t="s">
        <v>283</v>
      </c>
      <c r="AJ40" s="70" t="s">
        <v>284</v>
      </c>
      <c r="AM40" s="70" t="s">
        <v>866</v>
      </c>
      <c r="AN40" s="70" t="s">
        <v>2257</v>
      </c>
      <c r="AO40" s="70" t="s">
        <v>864</v>
      </c>
      <c r="AP40" s="70" t="s">
        <v>2258</v>
      </c>
      <c r="AQ40" s="70" t="s">
        <v>865</v>
      </c>
      <c r="AR40" s="70" t="s">
        <v>2259</v>
      </c>
      <c r="AY40" s="72">
        <v>33727.840000000004</v>
      </c>
      <c r="AZ40" s="72">
        <v>0</v>
      </c>
      <c r="BA40" s="70" t="s">
        <v>67</v>
      </c>
      <c r="BB40" s="70" t="s">
        <v>1044</v>
      </c>
      <c r="BC40" s="70" t="s">
        <v>2936</v>
      </c>
      <c r="BD40" s="70" t="s">
        <v>381</v>
      </c>
      <c r="BE40" s="70" t="s">
        <v>74</v>
      </c>
      <c r="BF40" s="70" t="s">
        <v>194</v>
      </c>
      <c r="BH40" s="60" t="str">
        <f t="shared" si="0"/>
        <v>Ver en Mapa</v>
      </c>
      <c r="BK40" s="70">
        <v>3</v>
      </c>
      <c r="BL40" s="70">
        <v>3</v>
      </c>
      <c r="BM40" s="70" t="s">
        <v>2847</v>
      </c>
    </row>
    <row r="41" spans="1:65" s="68" customFormat="1" ht="14.4" customHeight="1" x14ac:dyDescent="0.3">
      <c r="A41" s="70" t="str">
        <f>H41</f>
        <v>001256</v>
      </c>
      <c r="B41" s="70" t="s">
        <v>61</v>
      </c>
      <c r="C41" s="70" t="s">
        <v>205</v>
      </c>
      <c r="D41" s="70" t="s">
        <v>408</v>
      </c>
      <c r="E41" s="70" t="s">
        <v>409</v>
      </c>
      <c r="F41" s="70" t="s">
        <v>2802</v>
      </c>
      <c r="G41" s="70" t="s">
        <v>2803</v>
      </c>
      <c r="H41" s="70" t="s">
        <v>2316</v>
      </c>
      <c r="I41" s="70" t="s">
        <v>67</v>
      </c>
      <c r="J41" s="70" t="s">
        <v>410</v>
      </c>
      <c r="K41" s="71">
        <v>45763</v>
      </c>
      <c r="L41" s="71">
        <v>46128</v>
      </c>
      <c r="M41" s="72">
        <v>10000</v>
      </c>
      <c r="N41" s="72">
        <v>10534.08</v>
      </c>
      <c r="O41" s="73">
        <v>57</v>
      </c>
      <c r="P41" s="73">
        <v>12</v>
      </c>
      <c r="Q41" s="70" t="s">
        <v>68</v>
      </c>
      <c r="R41" s="72">
        <v>1702.69</v>
      </c>
      <c r="S41" s="72">
        <v>696</v>
      </c>
      <c r="T41" s="72">
        <v>580</v>
      </c>
      <c r="U41" s="72">
        <v>0</v>
      </c>
      <c r="V41" s="72">
        <v>1.4</v>
      </c>
      <c r="W41" s="72">
        <v>7604.49</v>
      </c>
      <c r="X41" s="72">
        <v>2864.46</v>
      </c>
      <c r="Y41" s="72">
        <v>1459.6100000000001</v>
      </c>
      <c r="Z41" s="72">
        <v>766.85</v>
      </c>
      <c r="AA41" s="72">
        <v>58</v>
      </c>
      <c r="AB41" s="72">
        <v>580</v>
      </c>
      <c r="AC41" s="72">
        <v>1700</v>
      </c>
      <c r="AD41" s="71">
        <v>45893</v>
      </c>
      <c r="AE41" s="70" t="s">
        <v>69</v>
      </c>
      <c r="AF41" s="70" t="s">
        <v>2317</v>
      </c>
      <c r="AG41" s="70" t="s">
        <v>431</v>
      </c>
      <c r="AI41" s="70" t="s">
        <v>283</v>
      </c>
      <c r="AJ41" s="70" t="s">
        <v>284</v>
      </c>
      <c r="AM41" s="70" t="s">
        <v>912</v>
      </c>
      <c r="AN41" s="70" t="s">
        <v>2318</v>
      </c>
      <c r="AO41" s="70" t="s">
        <v>910</v>
      </c>
      <c r="AP41" s="70" t="s">
        <v>1496</v>
      </c>
      <c r="AQ41" s="70" t="s">
        <v>911</v>
      </c>
      <c r="AR41" s="70" t="s">
        <v>2319</v>
      </c>
      <c r="AY41" s="72">
        <v>14377.300000000001</v>
      </c>
      <c r="AZ41" s="72">
        <v>0</v>
      </c>
      <c r="BA41" s="70" t="s">
        <v>67</v>
      </c>
      <c r="BB41" s="70" t="s">
        <v>1044</v>
      </c>
      <c r="BC41" s="70" t="s">
        <v>2940</v>
      </c>
      <c r="BD41" s="70" t="s">
        <v>411</v>
      </c>
      <c r="BE41" s="70" t="s">
        <v>213</v>
      </c>
      <c r="BF41" s="70" t="s">
        <v>205</v>
      </c>
      <c r="BH41" s="60" t="str">
        <f t="shared" si="0"/>
        <v>Ver en Mapa</v>
      </c>
      <c r="BK41" s="70">
        <v>3</v>
      </c>
      <c r="BL41" s="70">
        <v>3</v>
      </c>
      <c r="BM41" s="70" t="s">
        <v>2847</v>
      </c>
    </row>
    <row r="42" spans="1:65" s="68" customFormat="1" ht="14.4" customHeight="1" x14ac:dyDescent="0.3">
      <c r="A42" s="70" t="str">
        <f>H42</f>
        <v>001408</v>
      </c>
      <c r="B42" s="70" t="s">
        <v>61</v>
      </c>
      <c r="C42" s="70" t="s">
        <v>273</v>
      </c>
      <c r="D42" s="70" t="s">
        <v>1522</v>
      </c>
      <c r="E42" s="70" t="s">
        <v>614</v>
      </c>
      <c r="F42" s="70" t="s">
        <v>2785</v>
      </c>
      <c r="G42" s="70" t="s">
        <v>2786</v>
      </c>
      <c r="H42" s="70" t="s">
        <v>2471</v>
      </c>
      <c r="I42" s="70" t="s">
        <v>67</v>
      </c>
      <c r="J42" s="70" t="s">
        <v>1199</v>
      </c>
      <c r="K42" s="71">
        <v>45825</v>
      </c>
      <c r="L42" s="71">
        <v>46008</v>
      </c>
      <c r="M42" s="72">
        <v>10000</v>
      </c>
      <c r="N42" s="72">
        <v>10534.08</v>
      </c>
      <c r="O42" s="73">
        <v>57</v>
      </c>
      <c r="P42" s="73">
        <v>6</v>
      </c>
      <c r="Q42" s="70" t="s">
        <v>68</v>
      </c>
      <c r="R42" s="72">
        <v>2582.63</v>
      </c>
      <c r="S42" s="72">
        <v>348</v>
      </c>
      <c r="T42" s="72">
        <v>1160</v>
      </c>
      <c r="U42" s="72">
        <v>0</v>
      </c>
      <c r="V42" s="72">
        <v>2</v>
      </c>
      <c r="W42" s="72">
        <v>8778.4</v>
      </c>
      <c r="X42" s="72">
        <v>6324.27</v>
      </c>
      <c r="Y42" s="72">
        <v>3511.36</v>
      </c>
      <c r="Z42" s="72">
        <v>1537.91</v>
      </c>
      <c r="AA42" s="72">
        <v>115</v>
      </c>
      <c r="AB42" s="72">
        <v>1160</v>
      </c>
      <c r="AC42" s="72">
        <v>2583.63</v>
      </c>
      <c r="AD42" s="71">
        <v>45859</v>
      </c>
      <c r="AE42" s="70" t="s">
        <v>69</v>
      </c>
      <c r="AF42" s="70" t="s">
        <v>2472</v>
      </c>
      <c r="AG42" s="70" t="s">
        <v>1200</v>
      </c>
      <c r="AI42" s="70" t="s">
        <v>1201</v>
      </c>
      <c r="AJ42" s="70" t="s">
        <v>2049</v>
      </c>
      <c r="AM42" s="70" t="s">
        <v>1202</v>
      </c>
      <c r="AN42" s="70" t="s">
        <v>2473</v>
      </c>
      <c r="AO42" s="70" t="s">
        <v>1203</v>
      </c>
      <c r="AP42" s="70" t="s">
        <v>2474</v>
      </c>
      <c r="AQ42" s="70" t="s">
        <v>1204</v>
      </c>
      <c r="AR42" s="70" t="s">
        <v>2475</v>
      </c>
      <c r="AY42" s="72">
        <v>13898.17</v>
      </c>
      <c r="AZ42" s="72">
        <v>0</v>
      </c>
      <c r="BA42" s="70" t="s">
        <v>67</v>
      </c>
      <c r="BB42" s="70" t="s">
        <v>1044</v>
      </c>
      <c r="BC42" s="70" t="s">
        <v>2903</v>
      </c>
      <c r="BD42" s="70" t="s">
        <v>1206</v>
      </c>
      <c r="BE42" s="70" t="s">
        <v>74</v>
      </c>
      <c r="BF42" s="70" t="s">
        <v>285</v>
      </c>
      <c r="BG42" s="70" t="s">
        <v>1207</v>
      </c>
      <c r="BH42" s="60" t="str">
        <f t="shared" si="0"/>
        <v>Ver en Mapa</v>
      </c>
      <c r="BK42" s="70">
        <v>3</v>
      </c>
      <c r="BL42" s="70">
        <v>3</v>
      </c>
      <c r="BM42" s="70" t="s">
        <v>2847</v>
      </c>
    </row>
    <row r="43" spans="1:65" s="68" customFormat="1" ht="14.4" customHeight="1" x14ac:dyDescent="0.3">
      <c r="A43" s="70" t="str">
        <f>H43</f>
        <v>001332</v>
      </c>
      <c r="B43" s="70" t="s">
        <v>61</v>
      </c>
      <c r="C43" s="70" t="s">
        <v>194</v>
      </c>
      <c r="D43" s="70" t="s">
        <v>594</v>
      </c>
      <c r="E43" s="70" t="s">
        <v>595</v>
      </c>
      <c r="F43" s="70" t="s">
        <v>2800</v>
      </c>
      <c r="G43" s="70" t="s">
        <v>2801</v>
      </c>
      <c r="H43" s="70" t="s">
        <v>623</v>
      </c>
      <c r="I43" s="70" t="s">
        <v>67</v>
      </c>
      <c r="J43" s="70" t="s">
        <v>624</v>
      </c>
      <c r="K43" s="71">
        <v>45799</v>
      </c>
      <c r="L43" s="71">
        <v>45983</v>
      </c>
      <c r="M43" s="72">
        <v>30000</v>
      </c>
      <c r="N43" s="72">
        <v>31602.23</v>
      </c>
      <c r="O43" s="73">
        <v>53</v>
      </c>
      <c r="P43" s="73">
        <v>6</v>
      </c>
      <c r="Q43" s="70" t="s">
        <v>68</v>
      </c>
      <c r="R43" s="72">
        <v>7059.79</v>
      </c>
      <c r="S43" s="72">
        <v>348</v>
      </c>
      <c r="T43" s="72">
        <v>1160</v>
      </c>
      <c r="U43" s="72">
        <v>0</v>
      </c>
      <c r="V43" s="72">
        <v>2</v>
      </c>
      <c r="W43" s="72">
        <v>21068.15</v>
      </c>
      <c r="X43" s="72">
        <v>15269.1633</v>
      </c>
      <c r="Y43" s="72">
        <v>10534.07</v>
      </c>
      <c r="Z43" s="72">
        <v>3469.51</v>
      </c>
      <c r="AA43" s="72">
        <v>105.58</v>
      </c>
      <c r="AB43" s="72">
        <v>1160</v>
      </c>
      <c r="AC43" s="72">
        <v>7650</v>
      </c>
      <c r="AD43" s="71">
        <v>45868</v>
      </c>
      <c r="AE43" s="70" t="s">
        <v>69</v>
      </c>
      <c r="AF43" s="70" t="s">
        <v>625</v>
      </c>
      <c r="AG43" s="70" t="s">
        <v>626</v>
      </c>
      <c r="AI43" s="70" t="s">
        <v>89</v>
      </c>
      <c r="AJ43" s="70" t="s">
        <v>90</v>
      </c>
      <c r="AM43" s="70" t="s">
        <v>837</v>
      </c>
      <c r="AN43" s="70" t="s">
        <v>1272</v>
      </c>
      <c r="AO43" s="70" t="s">
        <v>834</v>
      </c>
      <c r="AP43" s="70" t="s">
        <v>835</v>
      </c>
      <c r="AQ43" s="70" t="s">
        <v>836</v>
      </c>
      <c r="AR43" s="70" t="s">
        <v>1273</v>
      </c>
      <c r="AY43" s="72">
        <v>29272.74</v>
      </c>
      <c r="AZ43" s="72">
        <v>0</v>
      </c>
      <c r="BA43" s="70" t="s">
        <v>67</v>
      </c>
      <c r="BB43" s="70" t="s">
        <v>1044</v>
      </c>
      <c r="BC43" s="70" t="s">
        <v>2995</v>
      </c>
      <c r="BD43" s="70" t="s">
        <v>251</v>
      </c>
      <c r="BE43" s="70" t="s">
        <v>74</v>
      </c>
      <c r="BF43" s="70" t="s">
        <v>194</v>
      </c>
      <c r="BH43" s="60" t="str">
        <f t="shared" si="0"/>
        <v>Ver en Mapa</v>
      </c>
      <c r="BK43" s="70">
        <v>4</v>
      </c>
      <c r="BL43" s="70">
        <v>4</v>
      </c>
      <c r="BM43" s="70" t="s">
        <v>2847</v>
      </c>
    </row>
    <row r="44" spans="1:65" s="68" customFormat="1" ht="14.4" customHeight="1" x14ac:dyDescent="0.3">
      <c r="A44" s="70" t="str">
        <f>H44</f>
        <v>001431</v>
      </c>
      <c r="B44" s="70" t="s">
        <v>61</v>
      </c>
      <c r="C44" s="70" t="s">
        <v>62</v>
      </c>
      <c r="D44" s="70" t="s">
        <v>1429</v>
      </c>
      <c r="E44" s="70" t="s">
        <v>617</v>
      </c>
      <c r="F44" s="70" t="s">
        <v>2848</v>
      </c>
      <c r="G44" s="70" t="s">
        <v>2849</v>
      </c>
      <c r="H44" s="70" t="s">
        <v>1430</v>
      </c>
      <c r="I44" s="70" t="s">
        <v>67</v>
      </c>
      <c r="J44" s="70" t="s">
        <v>1329</v>
      </c>
      <c r="K44" s="71">
        <v>45832</v>
      </c>
      <c r="L44" s="71">
        <v>46015</v>
      </c>
      <c r="M44" s="72">
        <v>5000</v>
      </c>
      <c r="N44" s="72">
        <v>5267.04</v>
      </c>
      <c r="O44" s="73">
        <v>50</v>
      </c>
      <c r="P44" s="73">
        <v>6</v>
      </c>
      <c r="Q44" s="70" t="s">
        <v>68</v>
      </c>
      <c r="R44" s="72">
        <v>1320.32</v>
      </c>
      <c r="S44" s="72">
        <v>348</v>
      </c>
      <c r="T44" s="72">
        <v>1160</v>
      </c>
      <c r="U44" s="72">
        <v>0</v>
      </c>
      <c r="V44" s="72">
        <v>1.5</v>
      </c>
      <c r="W44" s="72">
        <v>4111.67</v>
      </c>
      <c r="X44" s="72">
        <v>3080.63</v>
      </c>
      <c r="Y44" s="72">
        <v>1478.15</v>
      </c>
      <c r="Z44" s="72">
        <v>384.48</v>
      </c>
      <c r="AA44" s="72">
        <v>58</v>
      </c>
      <c r="AB44" s="72">
        <v>1160</v>
      </c>
      <c r="AC44" s="72">
        <v>1300</v>
      </c>
      <c r="AD44" s="71">
        <v>45929</v>
      </c>
      <c r="AE44" s="70" t="s">
        <v>69</v>
      </c>
      <c r="AF44" s="70" t="s">
        <v>1431</v>
      </c>
      <c r="AG44" s="70" t="s">
        <v>1330</v>
      </c>
      <c r="AI44" s="70" t="s">
        <v>526</v>
      </c>
      <c r="AJ44" s="70" t="s">
        <v>527</v>
      </c>
      <c r="AK44" s="70" t="s">
        <v>1331</v>
      </c>
      <c r="AL44" s="70" t="s">
        <v>1431</v>
      </c>
      <c r="AM44" s="70" t="s">
        <v>752</v>
      </c>
      <c r="AN44" s="70" t="s">
        <v>1432</v>
      </c>
      <c r="AO44" s="70" t="s">
        <v>1332</v>
      </c>
      <c r="AP44" s="70" t="s">
        <v>1433</v>
      </c>
      <c r="AQ44" s="70" t="s">
        <v>1333</v>
      </c>
      <c r="AR44" s="70" t="s">
        <v>1434</v>
      </c>
      <c r="AY44" s="72">
        <v>6867.58</v>
      </c>
      <c r="AZ44" s="72">
        <v>0</v>
      </c>
      <c r="BA44" s="70" t="s">
        <v>67</v>
      </c>
      <c r="BB44" s="70" t="s">
        <v>1044</v>
      </c>
      <c r="BC44" s="70" t="s">
        <v>2984</v>
      </c>
      <c r="BD44" s="70" t="s">
        <v>337</v>
      </c>
      <c r="BE44" s="70" t="s">
        <v>74</v>
      </c>
      <c r="BF44" s="70" t="s">
        <v>338</v>
      </c>
      <c r="BG44" s="70" t="s">
        <v>1334</v>
      </c>
      <c r="BH44" s="60" t="str">
        <f t="shared" si="0"/>
        <v>Ver en Mapa</v>
      </c>
      <c r="BK44" s="70">
        <v>3</v>
      </c>
      <c r="BL44" s="70">
        <v>3</v>
      </c>
      <c r="BM44" s="70" t="s">
        <v>2847</v>
      </c>
    </row>
    <row r="45" spans="1:65" s="68" customFormat="1" ht="14.4" customHeight="1" x14ac:dyDescent="0.3">
      <c r="A45" s="70" t="str">
        <f>H45</f>
        <v>001263</v>
      </c>
      <c r="B45" s="70" t="s">
        <v>61</v>
      </c>
      <c r="C45" s="70" t="s">
        <v>273</v>
      </c>
      <c r="D45" s="70" t="s">
        <v>408</v>
      </c>
      <c r="E45" s="70" t="s">
        <v>409</v>
      </c>
      <c r="F45" s="70" t="s">
        <v>2785</v>
      </c>
      <c r="G45" s="70" t="s">
        <v>2786</v>
      </c>
      <c r="H45" s="70" t="s">
        <v>439</v>
      </c>
      <c r="I45" s="70" t="s">
        <v>67</v>
      </c>
      <c r="J45" s="70" t="s">
        <v>440</v>
      </c>
      <c r="K45" s="71">
        <v>45770</v>
      </c>
      <c r="L45" s="71">
        <v>46135</v>
      </c>
      <c r="M45" s="72">
        <v>15000</v>
      </c>
      <c r="N45" s="72">
        <v>15801.12</v>
      </c>
      <c r="O45" s="73">
        <v>50</v>
      </c>
      <c r="P45" s="73">
        <v>12</v>
      </c>
      <c r="Q45" s="70" t="s">
        <v>68</v>
      </c>
      <c r="R45" s="72">
        <v>2525.04</v>
      </c>
      <c r="S45" s="72">
        <v>696</v>
      </c>
      <c r="T45" s="72">
        <v>1160</v>
      </c>
      <c r="U45" s="72">
        <v>0</v>
      </c>
      <c r="V45" s="72">
        <v>1.1000000000000001</v>
      </c>
      <c r="W45" s="72">
        <v>10759.23</v>
      </c>
      <c r="X45" s="72">
        <v>3910.19</v>
      </c>
      <c r="Y45" s="72">
        <v>1541.91</v>
      </c>
      <c r="Z45" s="72">
        <v>1150.28</v>
      </c>
      <c r="AA45" s="72">
        <v>58</v>
      </c>
      <c r="AB45" s="72">
        <v>1160</v>
      </c>
      <c r="AC45" s="72">
        <v>2000</v>
      </c>
      <c r="AD45" s="71">
        <v>45938</v>
      </c>
      <c r="AE45" s="70" t="s">
        <v>69</v>
      </c>
      <c r="AF45" s="70" t="s">
        <v>441</v>
      </c>
      <c r="AG45" s="70" t="s">
        <v>442</v>
      </c>
      <c r="AI45" s="70" t="s">
        <v>86</v>
      </c>
      <c r="AJ45" s="70" t="s">
        <v>87</v>
      </c>
      <c r="AM45" s="70" t="s">
        <v>973</v>
      </c>
      <c r="AN45" s="70" t="s">
        <v>1295</v>
      </c>
      <c r="AO45" s="70" t="s">
        <v>970</v>
      </c>
      <c r="AP45" s="70" t="s">
        <v>971</v>
      </c>
      <c r="AQ45" s="70" t="s">
        <v>972</v>
      </c>
      <c r="AR45" s="70" t="s">
        <v>1296</v>
      </c>
      <c r="AY45" s="72">
        <v>21179.45</v>
      </c>
      <c r="AZ45" s="72">
        <v>0</v>
      </c>
      <c r="BA45" s="70" t="s">
        <v>67</v>
      </c>
      <c r="BB45" s="70" t="s">
        <v>1044</v>
      </c>
      <c r="BC45" s="70" t="s">
        <v>2881</v>
      </c>
      <c r="BD45" s="70" t="s">
        <v>444</v>
      </c>
      <c r="BE45" s="70" t="s">
        <v>74</v>
      </c>
      <c r="BF45" s="70" t="s">
        <v>445</v>
      </c>
      <c r="BH45" s="60" t="str">
        <f t="shared" si="0"/>
        <v>Ver en Mapa</v>
      </c>
      <c r="BK45" s="70">
        <v>4</v>
      </c>
      <c r="BL45" s="70">
        <v>4</v>
      </c>
      <c r="BM45" s="70" t="s">
        <v>2847</v>
      </c>
    </row>
    <row r="46" spans="1:65" s="68" customFormat="1" ht="14.4" customHeight="1" x14ac:dyDescent="0.3">
      <c r="A46" s="70" t="str">
        <f>H46</f>
        <v>001336</v>
      </c>
      <c r="B46" s="70" t="s">
        <v>61</v>
      </c>
      <c r="C46" s="70" t="s">
        <v>392</v>
      </c>
      <c r="D46" s="70" t="s">
        <v>633</v>
      </c>
      <c r="E46" s="70" t="s">
        <v>634</v>
      </c>
      <c r="F46" s="70" t="s">
        <v>2802</v>
      </c>
      <c r="G46" s="70" t="s">
        <v>2803</v>
      </c>
      <c r="H46" s="70" t="s">
        <v>635</v>
      </c>
      <c r="I46" s="70" t="s">
        <v>67</v>
      </c>
      <c r="J46" s="70" t="s">
        <v>636</v>
      </c>
      <c r="K46" s="71">
        <v>45800</v>
      </c>
      <c r="L46" s="71">
        <v>46165</v>
      </c>
      <c r="M46" s="72">
        <v>20000</v>
      </c>
      <c r="N46" s="72">
        <v>21068.16</v>
      </c>
      <c r="O46" s="73">
        <v>50</v>
      </c>
      <c r="P46" s="73">
        <v>12</v>
      </c>
      <c r="Q46" s="70" t="s">
        <v>68</v>
      </c>
      <c r="R46" s="72">
        <v>3347.38</v>
      </c>
      <c r="S46" s="72">
        <v>696</v>
      </c>
      <c r="T46" s="72">
        <v>1160</v>
      </c>
      <c r="U46" s="72">
        <v>0</v>
      </c>
      <c r="V46" s="72">
        <v>2</v>
      </c>
      <c r="W46" s="72">
        <v>17556.8</v>
      </c>
      <c r="X46" s="72">
        <v>7709.5341013333336</v>
      </c>
      <c r="Y46" s="72">
        <v>3511.36</v>
      </c>
      <c r="Z46" s="72">
        <v>2980.17</v>
      </c>
      <c r="AA46" s="72">
        <v>58</v>
      </c>
      <c r="AB46" s="72">
        <v>1160</v>
      </c>
      <c r="AC46" s="72">
        <v>6000</v>
      </c>
      <c r="AD46" s="71">
        <v>45883</v>
      </c>
      <c r="AE46" s="70" t="s">
        <v>69</v>
      </c>
      <c r="AF46" s="70" t="s">
        <v>637</v>
      </c>
      <c r="AG46" s="70" t="s">
        <v>671</v>
      </c>
      <c r="AI46" s="70" t="s">
        <v>638</v>
      </c>
      <c r="AJ46" s="70" t="s">
        <v>639</v>
      </c>
      <c r="AM46" s="70" t="s">
        <v>1004</v>
      </c>
      <c r="AN46" s="70" t="s">
        <v>1086</v>
      </c>
      <c r="AO46" s="70" t="s">
        <v>1001</v>
      </c>
      <c r="AP46" s="70" t="s">
        <v>1002</v>
      </c>
      <c r="AQ46" s="70" t="s">
        <v>1003</v>
      </c>
      <c r="AR46" s="70" t="s">
        <v>1087</v>
      </c>
      <c r="AY46" s="72">
        <v>34024.6</v>
      </c>
      <c r="AZ46" s="72">
        <v>0</v>
      </c>
      <c r="BA46" s="70" t="s">
        <v>67</v>
      </c>
      <c r="BB46" s="70" t="s">
        <v>1044</v>
      </c>
      <c r="BC46" s="70" t="s">
        <v>640</v>
      </c>
      <c r="BD46" s="70" t="s">
        <v>641</v>
      </c>
      <c r="BE46" s="70" t="s">
        <v>74</v>
      </c>
      <c r="BF46" s="70" t="s">
        <v>392</v>
      </c>
      <c r="BH46" s="60" t="str">
        <f t="shared" si="0"/>
        <v>Ver en Mapa</v>
      </c>
      <c r="BK46" s="70">
        <v>4</v>
      </c>
      <c r="BL46" s="70">
        <v>4</v>
      </c>
      <c r="BM46" s="70" t="s">
        <v>2847</v>
      </c>
    </row>
    <row r="47" spans="1:65" s="68" customFormat="1" ht="14.4" customHeight="1" x14ac:dyDescent="0.3">
      <c r="A47" s="70" t="str">
        <f>H47</f>
        <v>001194</v>
      </c>
      <c r="B47" s="70" t="s">
        <v>61</v>
      </c>
      <c r="C47" s="70" t="s">
        <v>62</v>
      </c>
      <c r="D47" s="70" t="s">
        <v>183</v>
      </c>
      <c r="E47" s="70" t="s">
        <v>184</v>
      </c>
      <c r="F47" s="70" t="s">
        <v>2848</v>
      </c>
      <c r="G47" s="70" t="s">
        <v>2849</v>
      </c>
      <c r="H47" s="70" t="s">
        <v>138</v>
      </c>
      <c r="I47" s="70" t="s">
        <v>67</v>
      </c>
      <c r="J47" s="70" t="s">
        <v>139</v>
      </c>
      <c r="K47" s="71">
        <v>45714</v>
      </c>
      <c r="L47" s="71">
        <v>46079</v>
      </c>
      <c r="M47" s="72">
        <v>35000</v>
      </c>
      <c r="N47" s="72">
        <v>36869.270000000004</v>
      </c>
      <c r="O47" s="73">
        <v>49</v>
      </c>
      <c r="P47" s="73">
        <v>12</v>
      </c>
      <c r="Q47" s="70" t="s">
        <v>68</v>
      </c>
      <c r="R47" s="72">
        <v>6532.14</v>
      </c>
      <c r="S47" s="72">
        <v>696</v>
      </c>
      <c r="T47" s="72">
        <v>580</v>
      </c>
      <c r="U47" s="72">
        <v>0</v>
      </c>
      <c r="V47" s="72">
        <v>2</v>
      </c>
      <c r="W47" s="72">
        <v>21507.07</v>
      </c>
      <c r="X47" s="72">
        <v>13416.4342</v>
      </c>
      <c r="Y47" s="72">
        <v>6144.87</v>
      </c>
      <c r="Z47" s="72">
        <v>6633.56</v>
      </c>
      <c r="AA47" s="72">
        <v>58</v>
      </c>
      <c r="AB47" s="72">
        <v>580</v>
      </c>
      <c r="AC47" s="72">
        <v>3500</v>
      </c>
      <c r="AD47" s="71">
        <v>45926</v>
      </c>
      <c r="AE47" s="70" t="s">
        <v>69</v>
      </c>
      <c r="AF47" s="70" t="s">
        <v>140</v>
      </c>
      <c r="AG47" s="70" t="s">
        <v>141</v>
      </c>
      <c r="AI47" s="70" t="s">
        <v>142</v>
      </c>
      <c r="AJ47" s="70" t="s">
        <v>143</v>
      </c>
      <c r="AK47" s="70" t="s">
        <v>144</v>
      </c>
      <c r="AM47" s="70" t="s">
        <v>706</v>
      </c>
      <c r="AN47" s="70" t="s">
        <v>1246</v>
      </c>
      <c r="AO47" s="70" t="s">
        <v>703</v>
      </c>
      <c r="AP47" s="70" t="s">
        <v>704</v>
      </c>
      <c r="AQ47" s="70" t="s">
        <v>705</v>
      </c>
      <c r="AR47" s="70" t="s">
        <v>705</v>
      </c>
      <c r="AS47" s="70" t="s">
        <v>122</v>
      </c>
      <c r="AT47" s="68" t="s">
        <v>145</v>
      </c>
      <c r="AU47" s="70" t="s">
        <v>146</v>
      </c>
      <c r="AV47" s="70" t="s">
        <v>122</v>
      </c>
      <c r="AW47" s="68" t="s">
        <v>147</v>
      </c>
      <c r="AX47" s="70" t="s">
        <v>148</v>
      </c>
      <c r="AY47" s="72">
        <v>45787.14</v>
      </c>
      <c r="AZ47" s="72">
        <v>0</v>
      </c>
      <c r="BA47" s="70" t="s">
        <v>67</v>
      </c>
      <c r="BB47" s="70" t="s">
        <v>1044</v>
      </c>
      <c r="BC47" s="70" t="s">
        <v>3005</v>
      </c>
      <c r="BD47" s="70" t="s">
        <v>97</v>
      </c>
      <c r="BE47" s="70" t="s">
        <v>74</v>
      </c>
      <c r="BF47" s="70" t="s">
        <v>75</v>
      </c>
      <c r="BH47" s="60" t="str">
        <f t="shared" si="0"/>
        <v>Ver en Mapa</v>
      </c>
      <c r="BK47" s="70">
        <v>5</v>
      </c>
      <c r="BL47" s="70">
        <v>5</v>
      </c>
      <c r="BM47" s="70" t="s">
        <v>2847</v>
      </c>
    </row>
    <row r="48" spans="1:65" s="68" customFormat="1" ht="14.4" customHeight="1" x14ac:dyDescent="0.3">
      <c r="A48" s="70" t="str">
        <f>H48</f>
        <v>001362</v>
      </c>
      <c r="B48" s="70" t="s">
        <v>61</v>
      </c>
      <c r="C48" s="70" t="s">
        <v>62</v>
      </c>
      <c r="D48" s="70" t="s">
        <v>183</v>
      </c>
      <c r="E48" s="70" t="s">
        <v>184</v>
      </c>
      <c r="F48" s="70" t="s">
        <v>2848</v>
      </c>
      <c r="G48" s="70" t="s">
        <v>2849</v>
      </c>
      <c r="H48" s="70" t="s">
        <v>1440</v>
      </c>
      <c r="I48" s="70" t="s">
        <v>67</v>
      </c>
      <c r="J48" s="70" t="s">
        <v>1045</v>
      </c>
      <c r="K48" s="71">
        <v>45811</v>
      </c>
      <c r="L48" s="71">
        <v>46147</v>
      </c>
      <c r="M48" s="72">
        <v>25000</v>
      </c>
      <c r="N48" s="72">
        <v>26335.190000000002</v>
      </c>
      <c r="O48" s="73">
        <v>49</v>
      </c>
      <c r="P48" s="73">
        <v>24</v>
      </c>
      <c r="Q48" s="70" t="s">
        <v>496</v>
      </c>
      <c r="R48" s="72">
        <v>2037.7</v>
      </c>
      <c r="S48" s="72">
        <v>1392</v>
      </c>
      <c r="T48" s="72">
        <v>2320</v>
      </c>
      <c r="U48" s="72">
        <v>9</v>
      </c>
      <c r="V48" s="72">
        <v>3.3</v>
      </c>
      <c r="W48" s="72">
        <v>20326.82</v>
      </c>
      <c r="X48" s="72">
        <v>9008.5362000000005</v>
      </c>
      <c r="Y48" s="72">
        <v>3867.33</v>
      </c>
      <c r="Z48" s="72">
        <v>2647.21</v>
      </c>
      <c r="AA48" s="72">
        <v>174</v>
      </c>
      <c r="AB48" s="72">
        <v>2320</v>
      </c>
      <c r="AC48" s="72">
        <v>1000</v>
      </c>
      <c r="AD48" s="71">
        <v>45938</v>
      </c>
      <c r="AE48" s="70" t="s">
        <v>69</v>
      </c>
      <c r="AF48" s="70" t="s">
        <v>1441</v>
      </c>
      <c r="AG48" s="70" t="s">
        <v>1046</v>
      </c>
      <c r="AI48" s="70" t="s">
        <v>89</v>
      </c>
      <c r="AJ48" s="70" t="s">
        <v>90</v>
      </c>
      <c r="AK48" s="70" t="s">
        <v>1047</v>
      </c>
      <c r="AL48" s="70" t="s">
        <v>1441</v>
      </c>
      <c r="AM48" s="70" t="s">
        <v>1048</v>
      </c>
      <c r="AN48" s="70" t="s">
        <v>1442</v>
      </c>
      <c r="AO48" s="70" t="s">
        <v>1049</v>
      </c>
      <c r="AP48" s="70" t="s">
        <v>1443</v>
      </c>
      <c r="AQ48" s="70" t="s">
        <v>1050</v>
      </c>
      <c r="AR48" s="70" t="s">
        <v>1444</v>
      </c>
      <c r="AY48" s="72">
        <v>38704.1</v>
      </c>
      <c r="AZ48" s="72">
        <v>0</v>
      </c>
      <c r="BA48" s="70" t="s">
        <v>67</v>
      </c>
      <c r="BB48" s="70" t="s">
        <v>1044</v>
      </c>
      <c r="BC48" s="70" t="s">
        <v>2994</v>
      </c>
      <c r="BD48" s="70" t="s">
        <v>1051</v>
      </c>
      <c r="BE48" s="70" t="s">
        <v>74</v>
      </c>
      <c r="BF48" s="70" t="s">
        <v>75</v>
      </c>
      <c r="BG48" s="70" t="s">
        <v>1052</v>
      </c>
      <c r="BH48" s="60" t="str">
        <f t="shared" si="0"/>
        <v>Ver en Mapa</v>
      </c>
      <c r="BK48" s="70">
        <v>6</v>
      </c>
      <c r="BL48" s="70">
        <v>5</v>
      </c>
      <c r="BM48" s="70" t="s">
        <v>2847</v>
      </c>
    </row>
    <row r="49" spans="1:65" s="68" customFormat="1" ht="14.4" customHeight="1" x14ac:dyDescent="0.3">
      <c r="A49" s="70" t="str">
        <f>H49</f>
        <v>001280</v>
      </c>
      <c r="B49" s="70" t="s">
        <v>61</v>
      </c>
      <c r="C49" s="70" t="s">
        <v>205</v>
      </c>
      <c r="D49" s="70" t="s">
        <v>408</v>
      </c>
      <c r="E49" s="70" t="s">
        <v>409</v>
      </c>
      <c r="F49" s="70" t="s">
        <v>2802</v>
      </c>
      <c r="G49" s="70" t="s">
        <v>2803</v>
      </c>
      <c r="H49" s="70" t="s">
        <v>1490</v>
      </c>
      <c r="I49" s="70" t="s">
        <v>67</v>
      </c>
      <c r="J49" s="70" t="s">
        <v>475</v>
      </c>
      <c r="K49" s="71">
        <v>45775</v>
      </c>
      <c r="L49" s="71">
        <v>46140</v>
      </c>
      <c r="M49" s="72">
        <v>10000</v>
      </c>
      <c r="N49" s="72">
        <v>10534.08</v>
      </c>
      <c r="O49" s="73">
        <v>47</v>
      </c>
      <c r="P49" s="73">
        <v>12</v>
      </c>
      <c r="Q49" s="70" t="s">
        <v>68</v>
      </c>
      <c r="R49" s="72">
        <v>1702.69</v>
      </c>
      <c r="S49" s="72">
        <v>696</v>
      </c>
      <c r="T49" s="72">
        <v>1160</v>
      </c>
      <c r="U49" s="72">
        <v>0</v>
      </c>
      <c r="V49" s="72">
        <v>1.9</v>
      </c>
      <c r="W49" s="72">
        <v>7900.56</v>
      </c>
      <c r="X49" s="72">
        <v>4364.7700000000004</v>
      </c>
      <c r="Y49" s="72">
        <v>1755.68</v>
      </c>
      <c r="Z49" s="72">
        <v>1391.09</v>
      </c>
      <c r="AA49" s="72">
        <v>58</v>
      </c>
      <c r="AB49" s="72">
        <v>1160</v>
      </c>
      <c r="AC49" s="72">
        <v>2483</v>
      </c>
      <c r="AD49" s="71">
        <v>45889</v>
      </c>
      <c r="AE49" s="70" t="s">
        <v>69</v>
      </c>
      <c r="AF49" s="70" t="s">
        <v>1491</v>
      </c>
      <c r="AG49" s="70" t="s">
        <v>574</v>
      </c>
      <c r="AI49" s="70" t="s">
        <v>187</v>
      </c>
      <c r="AJ49" s="70" t="s">
        <v>1417</v>
      </c>
      <c r="AK49" s="70" t="s">
        <v>476</v>
      </c>
      <c r="AL49" s="70" t="s">
        <v>1492</v>
      </c>
      <c r="AM49" s="70" t="s">
        <v>906</v>
      </c>
      <c r="AN49" s="70" t="s">
        <v>1493</v>
      </c>
      <c r="AO49" s="70" t="s">
        <v>904</v>
      </c>
      <c r="AP49" s="70" t="s">
        <v>1494</v>
      </c>
      <c r="AQ49" s="70" t="s">
        <v>905</v>
      </c>
      <c r="AR49" s="70" t="s">
        <v>1495</v>
      </c>
      <c r="AY49" s="72">
        <v>15877.61</v>
      </c>
      <c r="AZ49" s="72">
        <v>0</v>
      </c>
      <c r="BA49" s="70" t="s">
        <v>67</v>
      </c>
      <c r="BB49" s="70" t="s">
        <v>1044</v>
      </c>
      <c r="BC49" s="70" t="s">
        <v>3031</v>
      </c>
      <c r="BD49" s="70" t="s">
        <v>232</v>
      </c>
      <c r="BE49" s="70" t="s">
        <v>213</v>
      </c>
      <c r="BF49" s="70" t="s">
        <v>205</v>
      </c>
      <c r="BH49" s="60" t="str">
        <f t="shared" si="0"/>
        <v>Ver en Mapa</v>
      </c>
      <c r="BK49" s="70">
        <v>3</v>
      </c>
      <c r="BL49" s="70">
        <v>3</v>
      </c>
      <c r="BM49" s="70" t="s">
        <v>2847</v>
      </c>
    </row>
    <row r="50" spans="1:65" s="68" customFormat="1" ht="14.4" customHeight="1" x14ac:dyDescent="0.3">
      <c r="A50" s="70" t="str">
        <f>H50</f>
        <v>001166</v>
      </c>
      <c r="B50" s="70" t="s">
        <v>61</v>
      </c>
      <c r="C50" s="70" t="s">
        <v>273</v>
      </c>
      <c r="D50" s="70" t="s">
        <v>408</v>
      </c>
      <c r="E50" s="70" t="s">
        <v>409</v>
      </c>
      <c r="F50" s="70" t="s">
        <v>2785</v>
      </c>
      <c r="G50" s="70" t="s">
        <v>2786</v>
      </c>
      <c r="H50" s="70" t="s">
        <v>1513</v>
      </c>
      <c r="I50" s="70" t="s">
        <v>67</v>
      </c>
      <c r="J50" s="70" t="s">
        <v>479</v>
      </c>
      <c r="K50" s="71">
        <v>45775</v>
      </c>
      <c r="L50" s="71">
        <v>46140</v>
      </c>
      <c r="M50" s="72">
        <v>15000</v>
      </c>
      <c r="N50" s="72">
        <v>15801.12</v>
      </c>
      <c r="O50" s="73">
        <v>47</v>
      </c>
      <c r="P50" s="73">
        <v>12</v>
      </c>
      <c r="Q50" s="70" t="s">
        <v>68</v>
      </c>
      <c r="R50" s="72">
        <v>2525.04</v>
      </c>
      <c r="S50" s="72">
        <v>696</v>
      </c>
      <c r="T50" s="72">
        <v>1160</v>
      </c>
      <c r="U50" s="72">
        <v>0</v>
      </c>
      <c r="V50" s="72">
        <v>1.5</v>
      </c>
      <c r="W50" s="72">
        <v>11738.23</v>
      </c>
      <c r="X50" s="72">
        <v>4889.1900000000005</v>
      </c>
      <c r="Y50" s="72">
        <v>2520.91</v>
      </c>
      <c r="Z50" s="72">
        <v>1150.28</v>
      </c>
      <c r="AA50" s="72">
        <v>58</v>
      </c>
      <c r="AB50" s="72">
        <v>1160</v>
      </c>
      <c r="AC50" s="72">
        <v>1000</v>
      </c>
      <c r="AD50" s="71">
        <v>45940</v>
      </c>
      <c r="AE50" s="70" t="s">
        <v>69</v>
      </c>
      <c r="AF50" s="70" t="s">
        <v>1514</v>
      </c>
      <c r="AG50" s="70" t="s">
        <v>480</v>
      </c>
      <c r="AI50" s="70" t="s">
        <v>481</v>
      </c>
      <c r="AJ50" s="70" t="s">
        <v>482</v>
      </c>
      <c r="AM50" s="70" t="s">
        <v>957</v>
      </c>
      <c r="AN50" s="70" t="s">
        <v>1515</v>
      </c>
      <c r="AO50" s="70" t="s">
        <v>955</v>
      </c>
      <c r="AP50" s="70" t="s">
        <v>1516</v>
      </c>
      <c r="AQ50" s="70" t="s">
        <v>956</v>
      </c>
      <c r="AR50" s="70" t="s">
        <v>1517</v>
      </c>
      <c r="AY50" s="72">
        <v>22158.45</v>
      </c>
      <c r="AZ50" s="72">
        <v>0</v>
      </c>
      <c r="BA50" s="70" t="s">
        <v>67</v>
      </c>
      <c r="BB50" s="70" t="s">
        <v>1044</v>
      </c>
      <c r="BC50" s="70" t="s">
        <v>2891</v>
      </c>
      <c r="BD50" s="70" t="s">
        <v>484</v>
      </c>
      <c r="BE50" s="70" t="s">
        <v>74</v>
      </c>
      <c r="BF50" s="70" t="s">
        <v>296</v>
      </c>
      <c r="BH50" s="60" t="str">
        <f t="shared" si="0"/>
        <v>Ver en Mapa</v>
      </c>
      <c r="BK50" s="70">
        <v>4</v>
      </c>
      <c r="BL50" s="70">
        <v>4</v>
      </c>
      <c r="BM50" s="70" t="s">
        <v>2847</v>
      </c>
    </row>
    <row r="51" spans="1:65" s="68" customFormat="1" ht="14.4" customHeight="1" x14ac:dyDescent="0.3">
      <c r="A51" s="70" t="str">
        <f>H51</f>
        <v>001276</v>
      </c>
      <c r="B51" s="70" t="s">
        <v>61</v>
      </c>
      <c r="C51" s="70" t="s">
        <v>273</v>
      </c>
      <c r="D51" s="70" t="s">
        <v>408</v>
      </c>
      <c r="E51" s="70" t="s">
        <v>409</v>
      </c>
      <c r="F51" s="70" t="s">
        <v>2785</v>
      </c>
      <c r="G51" s="70" t="s">
        <v>2786</v>
      </c>
      <c r="H51" s="70" t="s">
        <v>1518</v>
      </c>
      <c r="I51" s="70" t="s">
        <v>67</v>
      </c>
      <c r="J51" s="70" t="s">
        <v>485</v>
      </c>
      <c r="K51" s="71">
        <v>45775</v>
      </c>
      <c r="L51" s="71">
        <v>46140</v>
      </c>
      <c r="M51" s="72">
        <v>20000</v>
      </c>
      <c r="N51" s="72">
        <v>21068.16</v>
      </c>
      <c r="O51" s="73">
        <v>47</v>
      </c>
      <c r="P51" s="73">
        <v>12</v>
      </c>
      <c r="Q51" s="70" t="s">
        <v>68</v>
      </c>
      <c r="R51" s="72">
        <v>3347.38</v>
      </c>
      <c r="S51" s="72">
        <v>696</v>
      </c>
      <c r="T51" s="72">
        <v>1740</v>
      </c>
      <c r="U51" s="72">
        <v>0</v>
      </c>
      <c r="V51" s="72">
        <v>2</v>
      </c>
      <c r="W51" s="72">
        <v>15801.12</v>
      </c>
      <c r="X51" s="72">
        <v>8404.92</v>
      </c>
      <c r="Y51" s="72">
        <v>3511.36</v>
      </c>
      <c r="Z51" s="72">
        <v>3067.41</v>
      </c>
      <c r="AA51" s="72">
        <v>86.15</v>
      </c>
      <c r="AB51" s="72">
        <v>1740</v>
      </c>
      <c r="AC51" s="72">
        <v>2804</v>
      </c>
      <c r="AD51" s="71">
        <v>45937</v>
      </c>
      <c r="AE51" s="70" t="s">
        <v>69</v>
      </c>
      <c r="AF51" s="70" t="s">
        <v>1515</v>
      </c>
      <c r="AG51" s="70" t="s">
        <v>486</v>
      </c>
      <c r="AI51" s="70" t="s">
        <v>487</v>
      </c>
      <c r="AJ51" s="70" t="s">
        <v>1519</v>
      </c>
      <c r="AM51" s="70" t="s">
        <v>960</v>
      </c>
      <c r="AN51" s="70" t="s">
        <v>1520</v>
      </c>
      <c r="AO51" s="70" t="s">
        <v>958</v>
      </c>
      <c r="AP51" s="70" t="s">
        <v>1521</v>
      </c>
      <c r="AQ51" s="70" t="s">
        <v>959</v>
      </c>
      <c r="AR51" s="70" t="s">
        <v>1514</v>
      </c>
      <c r="AY51" s="72">
        <v>31430.600000000002</v>
      </c>
      <c r="AZ51" s="72">
        <v>0</v>
      </c>
      <c r="BA51" s="70" t="s">
        <v>67</v>
      </c>
      <c r="BB51" s="70" t="s">
        <v>1044</v>
      </c>
      <c r="BC51" s="70" t="s">
        <v>3009</v>
      </c>
      <c r="BD51" s="70" t="s">
        <v>484</v>
      </c>
      <c r="BE51" s="70" t="s">
        <v>74</v>
      </c>
      <c r="BF51" s="70" t="s">
        <v>296</v>
      </c>
      <c r="BH51" s="60" t="str">
        <f t="shared" si="0"/>
        <v>Ver en Mapa</v>
      </c>
      <c r="BK51" s="70">
        <v>4</v>
      </c>
      <c r="BL51" s="70">
        <v>4</v>
      </c>
      <c r="BM51" s="70" t="s">
        <v>2847</v>
      </c>
    </row>
    <row r="52" spans="1:65" s="68" customFormat="1" ht="14.4" customHeight="1" x14ac:dyDescent="0.3">
      <c r="A52" s="70" t="str">
        <f>H52</f>
        <v>001331</v>
      </c>
      <c r="B52" s="70" t="s">
        <v>61</v>
      </c>
      <c r="C52" s="70" t="s">
        <v>62</v>
      </c>
      <c r="D52" s="70" t="s">
        <v>1429</v>
      </c>
      <c r="E52" s="70" t="s">
        <v>617</v>
      </c>
      <c r="F52" s="70" t="s">
        <v>590</v>
      </c>
      <c r="G52" s="70" t="s">
        <v>2763</v>
      </c>
      <c r="H52" s="70" t="s">
        <v>2037</v>
      </c>
      <c r="I52" s="70" t="s">
        <v>67</v>
      </c>
      <c r="J52" s="70" t="s">
        <v>629</v>
      </c>
      <c r="K52" s="71">
        <v>45800</v>
      </c>
      <c r="L52" s="71">
        <v>45968</v>
      </c>
      <c r="M52" s="72">
        <v>5000</v>
      </c>
      <c r="N52" s="72">
        <v>5267.04</v>
      </c>
      <c r="O52" s="73">
        <v>46</v>
      </c>
      <c r="P52" s="73">
        <v>12</v>
      </c>
      <c r="Q52" s="70" t="s">
        <v>496</v>
      </c>
      <c r="R52" s="72">
        <v>673.4</v>
      </c>
      <c r="S52" s="72">
        <v>696</v>
      </c>
      <c r="T52" s="72">
        <v>2320</v>
      </c>
      <c r="U52" s="72">
        <v>10</v>
      </c>
      <c r="V52" s="72">
        <v>4</v>
      </c>
      <c r="W52" s="72">
        <v>2633.52</v>
      </c>
      <c r="X52" s="72">
        <v>4980.01</v>
      </c>
      <c r="Y52" s="72">
        <v>1755.68</v>
      </c>
      <c r="Z52" s="72">
        <v>705.92</v>
      </c>
      <c r="AA52" s="72">
        <v>198.41</v>
      </c>
      <c r="AB52" s="72">
        <v>2320</v>
      </c>
      <c r="AC52" s="72">
        <v>680</v>
      </c>
      <c r="AD52" s="71">
        <v>45884</v>
      </c>
      <c r="AE52" s="70" t="s">
        <v>69</v>
      </c>
      <c r="AF52" s="70" t="s">
        <v>2038</v>
      </c>
      <c r="AG52" s="70" t="s">
        <v>630</v>
      </c>
      <c r="AI52" s="70" t="s">
        <v>283</v>
      </c>
      <c r="AJ52" s="70" t="s">
        <v>284</v>
      </c>
      <c r="AM52" s="70" t="s">
        <v>783</v>
      </c>
      <c r="AN52" s="70" t="s">
        <v>2039</v>
      </c>
      <c r="AO52" s="70" t="s">
        <v>781</v>
      </c>
      <c r="AP52" s="70" t="s">
        <v>2040</v>
      </c>
      <c r="AQ52" s="70" t="s">
        <v>782</v>
      </c>
      <c r="AR52" s="70" t="s">
        <v>2041</v>
      </c>
      <c r="AY52" s="72">
        <v>6210.81</v>
      </c>
      <c r="AZ52" s="72">
        <v>0</v>
      </c>
      <c r="BA52" s="70" t="s">
        <v>67</v>
      </c>
      <c r="BB52" s="70" t="s">
        <v>1044</v>
      </c>
      <c r="BC52" s="70" t="s">
        <v>2908</v>
      </c>
      <c r="BD52" s="70" t="s">
        <v>88</v>
      </c>
      <c r="BE52" s="70" t="s">
        <v>74</v>
      </c>
      <c r="BF52" s="70" t="s">
        <v>75</v>
      </c>
      <c r="BH52" s="60" t="str">
        <f t="shared" si="0"/>
        <v>Ver en Mapa</v>
      </c>
      <c r="BK52" s="70">
        <v>5</v>
      </c>
      <c r="BL52" s="70">
        <v>4</v>
      </c>
      <c r="BM52" s="70" t="s">
        <v>2847</v>
      </c>
    </row>
    <row r="53" spans="1:65" s="68" customFormat="1" ht="14.4" customHeight="1" x14ac:dyDescent="0.3">
      <c r="A53" s="70" t="str">
        <f>H53</f>
        <v>001571</v>
      </c>
      <c r="B53" s="70" t="s">
        <v>61</v>
      </c>
      <c r="C53" s="70" t="s">
        <v>194</v>
      </c>
      <c r="D53" s="70" t="s">
        <v>594</v>
      </c>
      <c r="E53" s="70" t="s">
        <v>595</v>
      </c>
      <c r="F53" s="70" t="s">
        <v>590</v>
      </c>
      <c r="G53" s="70" t="s">
        <v>2763</v>
      </c>
      <c r="H53" s="70" t="s">
        <v>2123</v>
      </c>
      <c r="I53" s="70" t="s">
        <v>67</v>
      </c>
      <c r="J53" s="70" t="s">
        <v>1829</v>
      </c>
      <c r="K53" s="71">
        <v>45867</v>
      </c>
      <c r="L53" s="71">
        <v>46054</v>
      </c>
      <c r="M53" s="72">
        <v>5000</v>
      </c>
      <c r="N53" s="72">
        <v>5267.04</v>
      </c>
      <c r="O53" s="73">
        <v>43</v>
      </c>
      <c r="P53" s="73">
        <v>6</v>
      </c>
      <c r="Q53" s="70" t="s">
        <v>68</v>
      </c>
      <c r="R53" s="72">
        <v>1328.72</v>
      </c>
      <c r="S53" s="72">
        <v>348</v>
      </c>
      <c r="T53" s="72">
        <v>580</v>
      </c>
      <c r="U53" s="72">
        <v>0</v>
      </c>
      <c r="V53" s="72">
        <v>1.5</v>
      </c>
      <c r="W53" s="72">
        <v>4969.2</v>
      </c>
      <c r="X53" s="72">
        <v>2488.7213205333333</v>
      </c>
      <c r="Y53" s="72">
        <v>1457.84</v>
      </c>
      <c r="Z53" s="72">
        <v>392.88</v>
      </c>
      <c r="AA53" s="72">
        <v>58</v>
      </c>
      <c r="AB53" s="72">
        <v>580</v>
      </c>
      <c r="AC53" s="72">
        <v>1328.72</v>
      </c>
      <c r="AD53" s="71">
        <v>45911</v>
      </c>
      <c r="AE53" s="70" t="s">
        <v>69</v>
      </c>
      <c r="AF53" s="70" t="s">
        <v>2124</v>
      </c>
      <c r="AG53" s="70" t="s">
        <v>1830</v>
      </c>
      <c r="AI53" s="70" t="s">
        <v>1831</v>
      </c>
      <c r="AJ53" s="70" t="s">
        <v>2125</v>
      </c>
      <c r="AK53" s="70" t="s">
        <v>1832</v>
      </c>
      <c r="AM53" s="70" t="s">
        <v>1833</v>
      </c>
      <c r="AN53" s="70" t="s">
        <v>2126</v>
      </c>
      <c r="AO53" s="70" t="s">
        <v>1834</v>
      </c>
      <c r="AP53" s="70" t="s">
        <v>2127</v>
      </c>
      <c r="AQ53" s="70" t="s">
        <v>1835</v>
      </c>
      <c r="AR53" s="70" t="s">
        <v>2128</v>
      </c>
      <c r="AY53" s="72">
        <v>7571.6</v>
      </c>
      <c r="AZ53" s="72">
        <v>0</v>
      </c>
      <c r="BA53" s="70" t="s">
        <v>67</v>
      </c>
      <c r="BB53" s="70" t="s">
        <v>1044</v>
      </c>
      <c r="BC53" s="70" t="s">
        <v>3018</v>
      </c>
      <c r="BD53" s="70" t="s">
        <v>1718</v>
      </c>
      <c r="BE53" s="70" t="s">
        <v>74</v>
      </c>
      <c r="BF53" s="70" t="s">
        <v>194</v>
      </c>
      <c r="BG53" s="70" t="s">
        <v>1836</v>
      </c>
      <c r="BH53" s="60" t="str">
        <f t="shared" si="0"/>
        <v>Ver en Mapa</v>
      </c>
      <c r="BK53" s="70">
        <v>2</v>
      </c>
      <c r="BL53" s="70">
        <v>2</v>
      </c>
      <c r="BM53" s="70" t="s">
        <v>2847</v>
      </c>
    </row>
    <row r="54" spans="1:65" s="68" customFormat="1" ht="14.4" customHeight="1" x14ac:dyDescent="0.3">
      <c r="A54" s="70" t="str">
        <f>H54</f>
        <v>001447</v>
      </c>
      <c r="B54" s="70" t="s">
        <v>61</v>
      </c>
      <c r="C54" s="70" t="s">
        <v>392</v>
      </c>
      <c r="D54" s="70" t="s">
        <v>1544</v>
      </c>
      <c r="E54" s="70" t="s">
        <v>1068</v>
      </c>
      <c r="F54" s="70" t="s">
        <v>590</v>
      </c>
      <c r="G54" s="70" t="s">
        <v>2763</v>
      </c>
      <c r="H54" s="70" t="s">
        <v>2502</v>
      </c>
      <c r="I54" s="70" t="s">
        <v>67</v>
      </c>
      <c r="J54" s="70" t="s">
        <v>1370</v>
      </c>
      <c r="K54" s="71">
        <v>45835</v>
      </c>
      <c r="L54" s="71">
        <v>46023</v>
      </c>
      <c r="M54" s="72">
        <v>20000</v>
      </c>
      <c r="N54" s="72">
        <v>21068.16</v>
      </c>
      <c r="O54" s="73">
        <v>43</v>
      </c>
      <c r="P54" s="73">
        <v>6</v>
      </c>
      <c r="Q54" s="70" t="s">
        <v>68</v>
      </c>
      <c r="R54" s="72">
        <v>5149.28</v>
      </c>
      <c r="S54" s="72">
        <v>348</v>
      </c>
      <c r="T54" s="72">
        <v>580</v>
      </c>
      <c r="U54" s="72">
        <v>0</v>
      </c>
      <c r="V54" s="72">
        <v>1.2</v>
      </c>
      <c r="W54" s="72">
        <v>15044.01</v>
      </c>
      <c r="X54" s="72">
        <v>6727.8529232000001</v>
      </c>
      <c r="Y54" s="72">
        <v>4509.93</v>
      </c>
      <c r="Z54" s="72">
        <v>1579.92</v>
      </c>
      <c r="AA54" s="72">
        <v>58</v>
      </c>
      <c r="AB54" s="72">
        <v>580</v>
      </c>
      <c r="AC54" s="72">
        <v>1730</v>
      </c>
      <c r="AD54" s="71">
        <v>45909</v>
      </c>
      <c r="AE54" s="70" t="s">
        <v>69</v>
      </c>
      <c r="AF54" s="70" t="s">
        <v>2503</v>
      </c>
      <c r="AG54" s="70" t="s">
        <v>1371</v>
      </c>
      <c r="AI54" s="70" t="s">
        <v>1372</v>
      </c>
      <c r="AJ54" s="70" t="s">
        <v>2504</v>
      </c>
      <c r="AK54" s="70" t="s">
        <v>1373</v>
      </c>
      <c r="AL54" s="70" t="s">
        <v>2505</v>
      </c>
      <c r="AM54" s="70" t="s">
        <v>1374</v>
      </c>
      <c r="AN54" s="70" t="s">
        <v>2506</v>
      </c>
      <c r="AO54" s="70" t="s">
        <v>1375</v>
      </c>
      <c r="AP54" s="70" t="s">
        <v>2507</v>
      </c>
      <c r="AQ54" s="70" t="s">
        <v>1376</v>
      </c>
      <c r="AR54" s="70" t="s">
        <v>2508</v>
      </c>
      <c r="AY54" s="72">
        <v>22001.71</v>
      </c>
      <c r="AZ54" s="72">
        <v>0</v>
      </c>
      <c r="BA54" s="70" t="s">
        <v>67</v>
      </c>
      <c r="BB54" s="70" t="s">
        <v>1044</v>
      </c>
      <c r="BC54" s="70" t="s">
        <v>2899</v>
      </c>
      <c r="BD54" s="70" t="s">
        <v>641</v>
      </c>
      <c r="BE54" s="70" t="s">
        <v>74</v>
      </c>
      <c r="BF54" s="70" t="s">
        <v>392</v>
      </c>
      <c r="BG54" s="70" t="s">
        <v>1378</v>
      </c>
      <c r="BH54" s="60" t="str">
        <f t="shared" si="0"/>
        <v>Ver en Mapa</v>
      </c>
      <c r="BK54" s="70">
        <v>2</v>
      </c>
      <c r="BL54" s="70">
        <v>2</v>
      </c>
      <c r="BM54" s="70" t="s">
        <v>2847</v>
      </c>
    </row>
    <row r="55" spans="1:65" s="68" customFormat="1" ht="14.4" customHeight="1" x14ac:dyDescent="0.3">
      <c r="A55" s="70" t="str">
        <f>H55</f>
        <v>001609</v>
      </c>
      <c r="B55" s="70" t="s">
        <v>61</v>
      </c>
      <c r="C55" s="70" t="s">
        <v>392</v>
      </c>
      <c r="D55" s="70" t="s">
        <v>633</v>
      </c>
      <c r="E55" s="70" t="s">
        <v>634</v>
      </c>
      <c r="F55" s="70" t="s">
        <v>590</v>
      </c>
      <c r="G55" s="70" t="s">
        <v>2763</v>
      </c>
      <c r="H55" s="70" t="s">
        <v>2699</v>
      </c>
      <c r="I55" s="70" t="s">
        <v>67</v>
      </c>
      <c r="J55" s="70" t="s">
        <v>2700</v>
      </c>
      <c r="K55" s="71">
        <v>45873</v>
      </c>
      <c r="L55" s="71">
        <v>46238</v>
      </c>
      <c r="M55" s="72">
        <v>20000</v>
      </c>
      <c r="N55" s="72">
        <v>21068.16</v>
      </c>
      <c r="O55" s="73">
        <v>40</v>
      </c>
      <c r="P55" s="73">
        <v>12</v>
      </c>
      <c r="Q55" s="70" t="s">
        <v>68</v>
      </c>
      <c r="R55" s="72">
        <v>3347.38</v>
      </c>
      <c r="S55" s="72">
        <v>696</v>
      </c>
      <c r="T55" s="72">
        <v>1160</v>
      </c>
      <c r="U55" s="72">
        <v>0</v>
      </c>
      <c r="V55" s="72">
        <v>2</v>
      </c>
      <c r="W55" s="72">
        <v>21068.16</v>
      </c>
      <c r="X55" s="72">
        <v>7854.77</v>
      </c>
      <c r="Y55" s="72">
        <v>3511.36</v>
      </c>
      <c r="Z55" s="72">
        <v>3067.41</v>
      </c>
      <c r="AA55" s="72">
        <v>116</v>
      </c>
      <c r="AB55" s="72">
        <v>1160</v>
      </c>
      <c r="AE55" s="70" t="s">
        <v>69</v>
      </c>
      <c r="AF55" s="70" t="s">
        <v>2701</v>
      </c>
      <c r="AG55" s="70" t="s">
        <v>2702</v>
      </c>
      <c r="AI55" s="70" t="s">
        <v>2703</v>
      </c>
      <c r="AJ55" s="70" t="s">
        <v>2704</v>
      </c>
      <c r="AK55" s="70" t="s">
        <v>2705</v>
      </c>
      <c r="AM55" s="70" t="s">
        <v>2706</v>
      </c>
      <c r="AN55" s="70" t="s">
        <v>2707</v>
      </c>
      <c r="AO55" s="70" t="s">
        <v>2708</v>
      </c>
      <c r="AP55" s="70" t="s">
        <v>2709</v>
      </c>
      <c r="AQ55" s="70" t="s">
        <v>2710</v>
      </c>
      <c r="AR55" s="70" t="s">
        <v>2711</v>
      </c>
      <c r="AY55" s="72">
        <v>40748.6</v>
      </c>
      <c r="AZ55" s="72">
        <v>0</v>
      </c>
      <c r="BA55" s="70" t="s">
        <v>67</v>
      </c>
      <c r="BB55" s="70" t="s">
        <v>1044</v>
      </c>
      <c r="BC55" s="70" t="s">
        <v>2966</v>
      </c>
      <c r="BD55" s="70" t="s">
        <v>2713</v>
      </c>
      <c r="BE55" s="70" t="s">
        <v>74</v>
      </c>
      <c r="BF55" s="70" t="s">
        <v>392</v>
      </c>
      <c r="BG55" s="70" t="s">
        <v>2714</v>
      </c>
      <c r="BH55" s="60" t="str">
        <f t="shared" si="0"/>
        <v>Ver en Mapa</v>
      </c>
      <c r="BK55" s="70">
        <v>2</v>
      </c>
      <c r="BL55" s="70">
        <v>2</v>
      </c>
      <c r="BM55" s="70" t="s">
        <v>2847</v>
      </c>
    </row>
    <row r="56" spans="1:65" s="68" customFormat="1" ht="14.4" customHeight="1" x14ac:dyDescent="0.3">
      <c r="A56" s="70" t="str">
        <f>H56</f>
        <v>001357</v>
      </c>
      <c r="B56" s="70" t="s">
        <v>61</v>
      </c>
      <c r="C56" s="70" t="s">
        <v>194</v>
      </c>
      <c r="D56" s="70" t="s">
        <v>588</v>
      </c>
      <c r="E56" s="70" t="s">
        <v>589</v>
      </c>
      <c r="F56" s="70" t="s">
        <v>2800</v>
      </c>
      <c r="G56" s="70" t="s">
        <v>2801</v>
      </c>
      <c r="H56" s="70" t="s">
        <v>2220</v>
      </c>
      <c r="I56" s="70" t="s">
        <v>67</v>
      </c>
      <c r="J56" s="70" t="s">
        <v>1016</v>
      </c>
      <c r="K56" s="71">
        <v>45807</v>
      </c>
      <c r="L56" s="71">
        <v>46031</v>
      </c>
      <c r="M56" s="72">
        <v>10000</v>
      </c>
      <c r="N56" s="72">
        <v>10534.08</v>
      </c>
      <c r="O56" s="73">
        <v>39</v>
      </c>
      <c r="P56" s="73">
        <v>16</v>
      </c>
      <c r="Q56" s="70" t="s">
        <v>496</v>
      </c>
      <c r="R56" s="72">
        <v>1069.3399999999999</v>
      </c>
      <c r="S56" s="72">
        <v>928</v>
      </c>
      <c r="T56" s="72">
        <v>1740</v>
      </c>
      <c r="U56" s="72">
        <v>9</v>
      </c>
      <c r="V56" s="72">
        <v>3</v>
      </c>
      <c r="W56" s="72">
        <v>6583.8</v>
      </c>
      <c r="X56" s="72">
        <v>4944.08</v>
      </c>
      <c r="Y56" s="72">
        <v>1975.14</v>
      </c>
      <c r="Z56" s="72">
        <v>1058.8900000000001</v>
      </c>
      <c r="AA56" s="72">
        <v>170.05</v>
      </c>
      <c r="AB56" s="72">
        <v>1740</v>
      </c>
      <c r="AC56" s="72">
        <v>1070</v>
      </c>
      <c r="AD56" s="71">
        <v>45891</v>
      </c>
      <c r="AE56" s="70" t="s">
        <v>69</v>
      </c>
      <c r="AF56" s="70" t="s">
        <v>2221</v>
      </c>
      <c r="AG56" s="70" t="s">
        <v>1017</v>
      </c>
      <c r="AI56" s="70" t="s">
        <v>283</v>
      </c>
      <c r="AJ56" s="70" t="s">
        <v>284</v>
      </c>
      <c r="AM56" s="70" t="s">
        <v>1018</v>
      </c>
      <c r="AN56" s="70" t="s">
        <v>2222</v>
      </c>
      <c r="AO56" s="70" t="s">
        <v>1019</v>
      </c>
      <c r="AP56" s="70" t="s">
        <v>2223</v>
      </c>
      <c r="AQ56" s="70" t="s">
        <v>1020</v>
      </c>
      <c r="AR56" s="70" t="s">
        <v>2224</v>
      </c>
      <c r="AY56" s="72">
        <v>12023.47</v>
      </c>
      <c r="AZ56" s="72">
        <v>0</v>
      </c>
      <c r="BA56" s="70" t="s">
        <v>67</v>
      </c>
      <c r="BB56" s="70" t="s">
        <v>1044</v>
      </c>
      <c r="BC56" s="70" t="s">
        <v>2935</v>
      </c>
      <c r="BD56" s="70" t="s">
        <v>1021</v>
      </c>
      <c r="BE56" s="70" t="s">
        <v>74</v>
      </c>
      <c r="BF56" s="70" t="s">
        <v>204</v>
      </c>
      <c r="BH56" s="60" t="str">
        <f t="shared" si="0"/>
        <v>Ver en Mapa</v>
      </c>
      <c r="BK56" s="70">
        <v>3</v>
      </c>
      <c r="BL56" s="70">
        <v>3</v>
      </c>
      <c r="BM56" s="70" t="s">
        <v>2847</v>
      </c>
    </row>
    <row r="57" spans="1:65" s="68" customFormat="1" ht="14.4" customHeight="1" x14ac:dyDescent="0.3">
      <c r="A57" s="70" t="str">
        <f>H57</f>
        <v>001084</v>
      </c>
      <c r="B57" s="70" t="s">
        <v>61</v>
      </c>
      <c r="C57" s="70" t="s">
        <v>205</v>
      </c>
      <c r="D57" s="70" t="s">
        <v>215</v>
      </c>
      <c r="E57" s="70" t="s">
        <v>216</v>
      </c>
      <c r="F57" s="70" t="s">
        <v>590</v>
      </c>
      <c r="G57" s="70" t="s">
        <v>2763</v>
      </c>
      <c r="H57" s="70" t="s">
        <v>2297</v>
      </c>
      <c r="I57" s="70" t="s">
        <v>67</v>
      </c>
      <c r="J57" s="70" t="s">
        <v>217</v>
      </c>
      <c r="K57" s="71">
        <v>45537</v>
      </c>
      <c r="L57" s="71">
        <v>45905</v>
      </c>
      <c r="M57" s="72">
        <v>25000</v>
      </c>
      <c r="N57" s="72">
        <v>26335.190000000002</v>
      </c>
      <c r="O57" s="73">
        <v>39</v>
      </c>
      <c r="P57" s="73">
        <v>12</v>
      </c>
      <c r="Q57" s="70" t="s">
        <v>68</v>
      </c>
      <c r="R57" s="72">
        <v>4274.34</v>
      </c>
      <c r="S57" s="72">
        <v>696</v>
      </c>
      <c r="T57" s="72">
        <v>580</v>
      </c>
      <c r="U57" s="72">
        <v>0</v>
      </c>
      <c r="V57" s="72">
        <v>0.5</v>
      </c>
      <c r="W57" s="72">
        <v>2275.06</v>
      </c>
      <c r="X57" s="72">
        <v>2913.08</v>
      </c>
      <c r="Y57" s="72">
        <v>2275.08</v>
      </c>
      <c r="Z57" s="72">
        <v>0</v>
      </c>
      <c r="AA57" s="72">
        <v>58</v>
      </c>
      <c r="AB57" s="72">
        <v>580</v>
      </c>
      <c r="AC57" s="72">
        <v>2000</v>
      </c>
      <c r="AD57" s="71">
        <v>45924</v>
      </c>
      <c r="AE57" s="70" t="s">
        <v>69</v>
      </c>
      <c r="AF57" s="70" t="s">
        <v>2298</v>
      </c>
      <c r="AG57" s="70" t="s">
        <v>218</v>
      </c>
      <c r="AI57" s="70" t="s">
        <v>102</v>
      </c>
      <c r="AJ57" s="70" t="s">
        <v>1852</v>
      </c>
      <c r="AK57" s="70" t="s">
        <v>219</v>
      </c>
      <c r="AM57" s="70" t="s">
        <v>881</v>
      </c>
      <c r="AN57" s="70" t="s">
        <v>2299</v>
      </c>
      <c r="AO57" s="70" t="s">
        <v>879</v>
      </c>
      <c r="AP57" s="70" t="s">
        <v>2300</v>
      </c>
      <c r="AQ57" s="70" t="s">
        <v>880</v>
      </c>
      <c r="AR57" s="70" t="s">
        <v>2301</v>
      </c>
      <c r="AS57" s="70" t="s">
        <v>122</v>
      </c>
      <c r="AT57" s="68" t="s">
        <v>220</v>
      </c>
      <c r="AU57" s="70" t="s">
        <v>221</v>
      </c>
      <c r="AY57" s="72">
        <v>2913.06</v>
      </c>
      <c r="AZ57" s="72">
        <v>0</v>
      </c>
      <c r="BA57" s="70" t="s">
        <v>67</v>
      </c>
      <c r="BB57" s="70" t="s">
        <v>77</v>
      </c>
      <c r="BC57" s="70" t="s">
        <v>222</v>
      </c>
      <c r="BD57" s="70" t="s">
        <v>223</v>
      </c>
      <c r="BE57" s="70" t="s">
        <v>213</v>
      </c>
      <c r="BF57" s="70" t="s">
        <v>205</v>
      </c>
      <c r="BH57" s="60" t="str">
        <f t="shared" si="0"/>
        <v>Ver en Mapa</v>
      </c>
      <c r="BK57" s="70">
        <v>7</v>
      </c>
      <c r="BL57" s="70">
        <v>4</v>
      </c>
      <c r="BM57" s="70" t="s">
        <v>2847</v>
      </c>
    </row>
    <row r="58" spans="1:65" s="68" customFormat="1" ht="14.4" customHeight="1" x14ac:dyDescent="0.3">
      <c r="A58" s="70" t="str">
        <f>H58</f>
        <v>001423</v>
      </c>
      <c r="B58" s="70" t="s">
        <v>61</v>
      </c>
      <c r="C58" s="70" t="s">
        <v>273</v>
      </c>
      <c r="D58" s="70" t="s">
        <v>408</v>
      </c>
      <c r="E58" s="70" t="s">
        <v>409</v>
      </c>
      <c r="F58" s="70" t="s">
        <v>590</v>
      </c>
      <c r="G58" s="70" t="s">
        <v>2763</v>
      </c>
      <c r="H58" s="70" t="s">
        <v>1523</v>
      </c>
      <c r="I58" s="70" t="s">
        <v>67</v>
      </c>
      <c r="J58" s="70" t="s">
        <v>1216</v>
      </c>
      <c r="K58" s="71">
        <v>45874</v>
      </c>
      <c r="L58" s="71">
        <v>45966</v>
      </c>
      <c r="M58" s="72">
        <v>210000</v>
      </c>
      <c r="N58" s="72">
        <v>210000</v>
      </c>
      <c r="O58" s="73">
        <v>39</v>
      </c>
      <c r="P58" s="73">
        <v>3</v>
      </c>
      <c r="Q58" s="70" t="s">
        <v>68</v>
      </c>
      <c r="R58" s="72">
        <v>18403</v>
      </c>
      <c r="S58" s="72">
        <v>17409</v>
      </c>
      <c r="T58" s="72">
        <v>0</v>
      </c>
      <c r="U58" s="72">
        <v>0</v>
      </c>
      <c r="V58" s="72">
        <v>3</v>
      </c>
      <c r="W58" s="72">
        <v>210000</v>
      </c>
      <c r="X58" s="72">
        <v>36806</v>
      </c>
      <c r="Y58" s="72">
        <v>0</v>
      </c>
      <c r="Z58" s="72">
        <v>25200</v>
      </c>
      <c r="AA58" s="72">
        <v>11606</v>
      </c>
      <c r="AB58" s="72">
        <v>0</v>
      </c>
      <c r="AE58" s="70" t="s">
        <v>69</v>
      </c>
      <c r="AF58" s="70" t="s">
        <v>1524</v>
      </c>
      <c r="AG58" s="70" t="s">
        <v>1217</v>
      </c>
      <c r="AI58" s="70" t="s">
        <v>1218</v>
      </c>
      <c r="AJ58" s="70" t="s">
        <v>1525</v>
      </c>
      <c r="AK58" s="70" t="s">
        <v>1219</v>
      </c>
      <c r="AL58" s="70" t="s">
        <v>1526</v>
      </c>
      <c r="AM58" s="70" t="s">
        <v>1220</v>
      </c>
      <c r="AN58" s="70" t="s">
        <v>1527</v>
      </c>
      <c r="AY58" s="72">
        <v>246806</v>
      </c>
      <c r="AZ58" s="72">
        <v>0</v>
      </c>
      <c r="BA58" s="70" t="s">
        <v>2549</v>
      </c>
      <c r="BB58" s="70" t="s">
        <v>2550</v>
      </c>
      <c r="BC58" s="70" t="s">
        <v>3052</v>
      </c>
      <c r="BD58" s="70" t="s">
        <v>1221</v>
      </c>
      <c r="BE58" s="70" t="s">
        <v>74</v>
      </c>
      <c r="BF58" s="70" t="s">
        <v>391</v>
      </c>
      <c r="BH58" s="60" t="str">
        <f t="shared" si="0"/>
        <v>Ver en Mapa</v>
      </c>
      <c r="BK58" s="70">
        <v>2</v>
      </c>
      <c r="BL58" s="70">
        <v>2</v>
      </c>
      <c r="BM58" s="70" t="s">
        <v>2847</v>
      </c>
    </row>
    <row r="59" spans="1:65" s="68" customFormat="1" ht="14.4" customHeight="1" x14ac:dyDescent="0.3">
      <c r="A59" s="70" t="str">
        <f>H59</f>
        <v>001340</v>
      </c>
      <c r="B59" s="70" t="s">
        <v>61</v>
      </c>
      <c r="C59" s="70" t="s">
        <v>194</v>
      </c>
      <c r="D59" s="70" t="s">
        <v>588</v>
      </c>
      <c r="E59" s="70" t="s">
        <v>589</v>
      </c>
      <c r="F59" s="70" t="s">
        <v>2800</v>
      </c>
      <c r="G59" s="70" t="s">
        <v>2801</v>
      </c>
      <c r="H59" s="70" t="s">
        <v>2140</v>
      </c>
      <c r="I59" s="70" t="s">
        <v>67</v>
      </c>
      <c r="J59" s="70" t="s">
        <v>642</v>
      </c>
      <c r="K59" s="71">
        <v>45803</v>
      </c>
      <c r="L59" s="71">
        <v>45915</v>
      </c>
      <c r="M59" s="72">
        <v>5000</v>
      </c>
      <c r="N59" s="72">
        <v>5267.04</v>
      </c>
      <c r="O59" s="73">
        <v>36</v>
      </c>
      <c r="P59" s="73">
        <v>16</v>
      </c>
      <c r="Q59" s="70" t="s">
        <v>469</v>
      </c>
      <c r="R59" s="72">
        <v>475.43</v>
      </c>
      <c r="S59" s="72">
        <v>928</v>
      </c>
      <c r="T59" s="72">
        <v>1160</v>
      </c>
      <c r="U59" s="72">
        <v>16</v>
      </c>
      <c r="V59" s="72">
        <v>1.1000000000000001</v>
      </c>
      <c r="W59" s="72">
        <v>358.65000000000003</v>
      </c>
      <c r="X59" s="72">
        <v>1896.89</v>
      </c>
      <c r="Y59" s="72">
        <v>358.65000000000003</v>
      </c>
      <c r="Z59" s="72">
        <v>88.24</v>
      </c>
      <c r="AA59" s="72">
        <v>290</v>
      </c>
      <c r="AB59" s="72">
        <v>1160</v>
      </c>
      <c r="AC59" s="72">
        <v>438</v>
      </c>
      <c r="AD59" s="71">
        <v>45938</v>
      </c>
      <c r="AE59" s="70" t="s">
        <v>69</v>
      </c>
      <c r="AF59" s="70" t="s">
        <v>2812</v>
      </c>
      <c r="AG59" s="70" t="s">
        <v>643</v>
      </c>
      <c r="AI59" s="70" t="s">
        <v>644</v>
      </c>
      <c r="AJ59" s="70" t="s">
        <v>2141</v>
      </c>
      <c r="AM59" s="70" t="s">
        <v>831</v>
      </c>
      <c r="AN59" s="70" t="s">
        <v>654</v>
      </c>
      <c r="AO59" s="70" t="s">
        <v>832</v>
      </c>
      <c r="AP59" s="70" t="s">
        <v>654</v>
      </c>
      <c r="AQ59" s="70" t="s">
        <v>833</v>
      </c>
      <c r="AR59" s="70" t="s">
        <v>2142</v>
      </c>
      <c r="AY59" s="72">
        <v>1896.89</v>
      </c>
      <c r="AZ59" s="72">
        <v>0</v>
      </c>
      <c r="BA59" s="70" t="s">
        <v>67</v>
      </c>
      <c r="BB59" s="70" t="s">
        <v>1044</v>
      </c>
      <c r="BC59" s="70" t="s">
        <v>2999</v>
      </c>
      <c r="BD59" s="70" t="s">
        <v>645</v>
      </c>
      <c r="BE59" s="70" t="s">
        <v>74</v>
      </c>
      <c r="BF59" s="70" t="s">
        <v>646</v>
      </c>
      <c r="BH59" s="60" t="str">
        <f t="shared" si="0"/>
        <v>Ver en Mapa</v>
      </c>
      <c r="BK59" s="70">
        <v>7</v>
      </c>
      <c r="BL59" s="70">
        <v>6</v>
      </c>
      <c r="BM59" s="70" t="s">
        <v>2847</v>
      </c>
    </row>
    <row r="60" spans="1:65" s="68" customFormat="1" ht="14.4" customHeight="1" x14ac:dyDescent="0.3">
      <c r="A60" s="70" t="str">
        <f>H60</f>
        <v>001473</v>
      </c>
      <c r="B60" s="70" t="s">
        <v>61</v>
      </c>
      <c r="C60" s="70" t="s">
        <v>194</v>
      </c>
      <c r="D60" s="70" t="s">
        <v>588</v>
      </c>
      <c r="E60" s="70" t="s">
        <v>589</v>
      </c>
      <c r="F60" s="70" t="s">
        <v>2800</v>
      </c>
      <c r="G60" s="70" t="s">
        <v>2801</v>
      </c>
      <c r="H60" s="70" t="s">
        <v>2280</v>
      </c>
      <c r="I60" s="70" t="s">
        <v>67</v>
      </c>
      <c r="J60" s="70" t="s">
        <v>1585</v>
      </c>
      <c r="K60" s="71">
        <v>45846</v>
      </c>
      <c r="L60" s="71">
        <v>46211</v>
      </c>
      <c r="M60" s="72">
        <v>10000</v>
      </c>
      <c r="N60" s="72">
        <v>10534.08</v>
      </c>
      <c r="O60" s="73">
        <v>36</v>
      </c>
      <c r="P60" s="73">
        <v>12</v>
      </c>
      <c r="Q60" s="70" t="s">
        <v>68</v>
      </c>
      <c r="R60" s="72">
        <v>1702.69</v>
      </c>
      <c r="S60" s="72">
        <v>696</v>
      </c>
      <c r="T60" s="72">
        <v>1160</v>
      </c>
      <c r="U60" s="72">
        <v>0</v>
      </c>
      <c r="V60" s="72">
        <v>2</v>
      </c>
      <c r="W60" s="72">
        <v>9656.24</v>
      </c>
      <c r="X60" s="72">
        <v>4564.08</v>
      </c>
      <c r="Y60" s="72">
        <v>1755.68</v>
      </c>
      <c r="Z60" s="72">
        <v>1533.71</v>
      </c>
      <c r="AA60" s="72">
        <v>114.69</v>
      </c>
      <c r="AB60" s="72">
        <v>1160</v>
      </c>
      <c r="AC60" s="72">
        <v>2284</v>
      </c>
      <c r="AD60" s="71">
        <v>45890</v>
      </c>
      <c r="AE60" s="70" t="s">
        <v>69</v>
      </c>
      <c r="AF60" s="70" t="s">
        <v>2281</v>
      </c>
      <c r="AG60" s="70" t="s">
        <v>1586</v>
      </c>
      <c r="AI60" s="70" t="s">
        <v>1360</v>
      </c>
      <c r="AJ60" s="70" t="s">
        <v>1957</v>
      </c>
      <c r="AM60" s="70" t="s">
        <v>1587</v>
      </c>
      <c r="AN60" s="70" t="s">
        <v>2282</v>
      </c>
      <c r="AO60" s="70" t="s">
        <v>1588</v>
      </c>
      <c r="AP60" s="70" t="s">
        <v>2283</v>
      </c>
      <c r="AQ60" s="70" t="s">
        <v>1589</v>
      </c>
      <c r="AR60" s="70" t="s">
        <v>2284</v>
      </c>
      <c r="AY60" s="72">
        <v>19366.3</v>
      </c>
      <c r="AZ60" s="72">
        <v>0</v>
      </c>
      <c r="BA60" s="70" t="s">
        <v>67</v>
      </c>
      <c r="BB60" s="70" t="s">
        <v>1044</v>
      </c>
      <c r="BC60" s="70" t="s">
        <v>3017</v>
      </c>
      <c r="BD60" s="70" t="s">
        <v>550</v>
      </c>
      <c r="BE60" s="70" t="s">
        <v>74</v>
      </c>
      <c r="BF60" s="70" t="s">
        <v>503</v>
      </c>
      <c r="BG60" s="70" t="s">
        <v>1590</v>
      </c>
      <c r="BH60" s="60" t="str">
        <f t="shared" si="0"/>
        <v>Ver en Mapa</v>
      </c>
      <c r="BK60" s="70">
        <v>3</v>
      </c>
      <c r="BL60" s="70">
        <v>3</v>
      </c>
      <c r="BM60" s="70" t="s">
        <v>2847</v>
      </c>
    </row>
    <row r="61" spans="1:65" s="68" customFormat="1" ht="14.4" customHeight="1" x14ac:dyDescent="0.3">
      <c r="A61" s="70" t="str">
        <f>H61</f>
        <v>001300</v>
      </c>
      <c r="B61" s="70" t="s">
        <v>61</v>
      </c>
      <c r="C61" s="70" t="s">
        <v>273</v>
      </c>
      <c r="D61" s="70" t="s">
        <v>408</v>
      </c>
      <c r="E61" s="70" t="s">
        <v>409</v>
      </c>
      <c r="F61" s="70" t="s">
        <v>2785</v>
      </c>
      <c r="G61" s="70" t="s">
        <v>2786</v>
      </c>
      <c r="H61" s="70" t="s">
        <v>1508</v>
      </c>
      <c r="I61" s="70" t="s">
        <v>67</v>
      </c>
      <c r="J61" s="70" t="s">
        <v>542</v>
      </c>
      <c r="K61" s="71">
        <v>45783</v>
      </c>
      <c r="L61" s="71">
        <v>46148</v>
      </c>
      <c r="M61" s="72">
        <v>10000</v>
      </c>
      <c r="N61" s="72">
        <v>10534.08</v>
      </c>
      <c r="O61" s="73">
        <v>36</v>
      </c>
      <c r="P61" s="73">
        <v>12</v>
      </c>
      <c r="Q61" s="70" t="s">
        <v>68</v>
      </c>
      <c r="R61" s="72">
        <v>1702.69</v>
      </c>
      <c r="S61" s="72">
        <v>696</v>
      </c>
      <c r="T61" s="72">
        <v>1160</v>
      </c>
      <c r="U61" s="72">
        <v>0</v>
      </c>
      <c r="V61" s="72">
        <v>1.3</v>
      </c>
      <c r="W61" s="72">
        <v>7490.49</v>
      </c>
      <c r="X61" s="72">
        <v>3330.46</v>
      </c>
      <c r="Y61" s="72">
        <v>1345.6100000000001</v>
      </c>
      <c r="Z61" s="72">
        <v>766.85</v>
      </c>
      <c r="AA61" s="72">
        <v>58</v>
      </c>
      <c r="AB61" s="72">
        <v>1160</v>
      </c>
      <c r="AC61" s="72">
        <v>1300</v>
      </c>
      <c r="AD61" s="71">
        <v>45937</v>
      </c>
      <c r="AE61" s="70" t="s">
        <v>69</v>
      </c>
      <c r="AF61" s="70" t="s">
        <v>1509</v>
      </c>
      <c r="AG61" s="70" t="s">
        <v>543</v>
      </c>
      <c r="AI61" s="70" t="s">
        <v>324</v>
      </c>
      <c r="AJ61" s="70" t="s">
        <v>325</v>
      </c>
      <c r="AM61" s="70" t="s">
        <v>954</v>
      </c>
      <c r="AN61" s="70" t="s">
        <v>1510</v>
      </c>
      <c r="AO61" s="70" t="s">
        <v>952</v>
      </c>
      <c r="AP61" s="70" t="s">
        <v>1511</v>
      </c>
      <c r="AQ61" s="70" t="s">
        <v>953</v>
      </c>
      <c r="AR61" s="70" t="s">
        <v>1512</v>
      </c>
      <c r="AY61" s="72">
        <v>14843.300000000001</v>
      </c>
      <c r="AZ61" s="72">
        <v>0</v>
      </c>
      <c r="BA61" s="70" t="s">
        <v>67</v>
      </c>
      <c r="BB61" s="70" t="s">
        <v>1044</v>
      </c>
      <c r="BC61" s="70" t="s">
        <v>544</v>
      </c>
      <c r="BD61" s="70" t="s">
        <v>403</v>
      </c>
      <c r="BE61" s="70" t="s">
        <v>74</v>
      </c>
      <c r="BF61" s="70" t="s">
        <v>545</v>
      </c>
      <c r="BH61" s="60" t="str">
        <f t="shared" si="0"/>
        <v>Ver en Mapa</v>
      </c>
      <c r="BK61" s="70">
        <v>5</v>
      </c>
      <c r="BL61" s="70">
        <v>5</v>
      </c>
      <c r="BM61" s="70" t="s">
        <v>2847</v>
      </c>
    </row>
    <row r="62" spans="1:65" s="68" customFormat="1" ht="14.4" customHeight="1" x14ac:dyDescent="0.3">
      <c r="A62" s="70" t="str">
        <f>H62</f>
        <v>001360</v>
      </c>
      <c r="B62" s="70" t="s">
        <v>61</v>
      </c>
      <c r="C62" s="70" t="s">
        <v>62</v>
      </c>
      <c r="D62" s="70" t="s">
        <v>183</v>
      </c>
      <c r="E62" s="70" t="s">
        <v>184</v>
      </c>
      <c r="F62" s="70" t="s">
        <v>2848</v>
      </c>
      <c r="G62" s="70" t="s">
        <v>2849</v>
      </c>
      <c r="H62" s="70" t="s">
        <v>1445</v>
      </c>
      <c r="I62" s="70" t="s">
        <v>67</v>
      </c>
      <c r="J62" s="70" t="s">
        <v>1053</v>
      </c>
      <c r="K62" s="71">
        <v>45811</v>
      </c>
      <c r="L62" s="71">
        <v>45979</v>
      </c>
      <c r="M62" s="72">
        <v>7000</v>
      </c>
      <c r="N62" s="72">
        <v>7373.85</v>
      </c>
      <c r="O62" s="73">
        <v>35</v>
      </c>
      <c r="P62" s="73">
        <v>12</v>
      </c>
      <c r="Q62" s="70" t="s">
        <v>496</v>
      </c>
      <c r="R62" s="72">
        <v>919.56000000000006</v>
      </c>
      <c r="S62" s="72">
        <v>696</v>
      </c>
      <c r="T62" s="72">
        <v>1740.01</v>
      </c>
      <c r="U62" s="72">
        <v>9</v>
      </c>
      <c r="V62" s="72">
        <v>3</v>
      </c>
      <c r="W62" s="72">
        <v>3686.92</v>
      </c>
      <c r="X62" s="72">
        <v>4498.0475000000006</v>
      </c>
      <c r="Y62" s="72">
        <v>1843.46</v>
      </c>
      <c r="Z62" s="72">
        <v>741.22</v>
      </c>
      <c r="AA62" s="72">
        <v>173.36</v>
      </c>
      <c r="AB62" s="72">
        <v>1740.01</v>
      </c>
      <c r="AC62" s="72">
        <v>1498</v>
      </c>
      <c r="AD62" s="71">
        <v>45908</v>
      </c>
      <c r="AE62" s="70" t="s">
        <v>69</v>
      </c>
      <c r="AF62" s="70" t="s">
        <v>1446</v>
      </c>
      <c r="AG62" s="70" t="s">
        <v>1054</v>
      </c>
      <c r="AI62" s="70" t="s">
        <v>400</v>
      </c>
      <c r="AJ62" s="70" t="s">
        <v>1447</v>
      </c>
      <c r="AM62" s="70" t="s">
        <v>1055</v>
      </c>
      <c r="AN62" s="70" t="s">
        <v>1448</v>
      </c>
      <c r="AO62" s="70" t="s">
        <v>1056</v>
      </c>
      <c r="AP62" s="70" t="s">
        <v>1449</v>
      </c>
      <c r="AQ62" s="70" t="s">
        <v>1057</v>
      </c>
      <c r="AR62" s="70" t="s">
        <v>1450</v>
      </c>
      <c r="AY62" s="72">
        <v>7082.7300000000005</v>
      </c>
      <c r="AZ62" s="72">
        <v>0</v>
      </c>
      <c r="BA62" s="70" t="s">
        <v>67</v>
      </c>
      <c r="BB62" s="70" t="s">
        <v>1044</v>
      </c>
      <c r="BC62" s="70" t="s">
        <v>3019</v>
      </c>
      <c r="BD62" s="70" t="s">
        <v>73</v>
      </c>
      <c r="BE62" s="70" t="s">
        <v>74</v>
      </c>
      <c r="BF62" s="70" t="s">
        <v>75</v>
      </c>
      <c r="BH62" s="60" t="str">
        <f t="shared" si="0"/>
        <v>Ver en Mapa</v>
      </c>
      <c r="BK62" s="70">
        <v>8</v>
      </c>
      <c r="BL62" s="70">
        <v>8</v>
      </c>
      <c r="BM62" s="70" t="s">
        <v>2847</v>
      </c>
    </row>
    <row r="63" spans="1:65" s="68" customFormat="1" ht="14.4" customHeight="1" x14ac:dyDescent="0.3">
      <c r="A63" s="70" t="str">
        <f>H63</f>
        <v>001238</v>
      </c>
      <c r="B63" s="70" t="s">
        <v>61</v>
      </c>
      <c r="C63" s="70" t="s">
        <v>62</v>
      </c>
      <c r="D63" s="70" t="s">
        <v>408</v>
      </c>
      <c r="E63" s="70" t="s">
        <v>409</v>
      </c>
      <c r="F63" s="70" t="s">
        <v>590</v>
      </c>
      <c r="G63" s="70" t="s">
        <v>2763</v>
      </c>
      <c r="H63" s="70" t="s">
        <v>1934</v>
      </c>
      <c r="I63" s="70" t="s">
        <v>67</v>
      </c>
      <c r="J63" s="70" t="s">
        <v>370</v>
      </c>
      <c r="K63" s="71">
        <v>45757</v>
      </c>
      <c r="L63" s="71">
        <v>46122</v>
      </c>
      <c r="M63" s="72">
        <v>15000</v>
      </c>
      <c r="N63" s="72">
        <v>15801.12</v>
      </c>
      <c r="O63" s="73">
        <v>34</v>
      </c>
      <c r="P63" s="73">
        <v>12</v>
      </c>
      <c r="Q63" s="70" t="s">
        <v>68</v>
      </c>
      <c r="R63" s="72">
        <v>2235.0700000000002</v>
      </c>
      <c r="S63" s="72">
        <v>696</v>
      </c>
      <c r="T63" s="72">
        <v>580</v>
      </c>
      <c r="U63" s="72">
        <v>0</v>
      </c>
      <c r="V63" s="72">
        <v>1.3</v>
      </c>
      <c r="W63" s="72">
        <v>9797.3000000000011</v>
      </c>
      <c r="X63" s="72">
        <v>3395.040876</v>
      </c>
      <c r="Y63" s="72">
        <v>1896.74</v>
      </c>
      <c r="Z63" s="72">
        <v>860.30000000000007</v>
      </c>
      <c r="AA63" s="72">
        <v>58</v>
      </c>
      <c r="AB63" s="72">
        <v>580</v>
      </c>
      <c r="AC63" s="72">
        <v>2235.0700000000002</v>
      </c>
      <c r="AD63" s="71">
        <v>45911</v>
      </c>
      <c r="AE63" s="70" t="s">
        <v>69</v>
      </c>
      <c r="AF63" s="70" t="s">
        <v>1935</v>
      </c>
      <c r="AG63" s="70" t="s">
        <v>371</v>
      </c>
      <c r="AI63" s="70" t="s">
        <v>100</v>
      </c>
      <c r="AJ63" s="70" t="s">
        <v>101</v>
      </c>
      <c r="AK63" s="70" t="s">
        <v>372</v>
      </c>
      <c r="AL63" s="70" t="s">
        <v>1936</v>
      </c>
      <c r="AM63" s="70" t="s">
        <v>772</v>
      </c>
      <c r="AN63" s="70" t="s">
        <v>1937</v>
      </c>
      <c r="AO63" s="70" t="s">
        <v>770</v>
      </c>
      <c r="AP63" s="70" t="s">
        <v>1938</v>
      </c>
      <c r="AQ63" s="70" t="s">
        <v>771</v>
      </c>
      <c r="AR63" s="70" t="s">
        <v>1938</v>
      </c>
      <c r="AS63" s="70" t="s">
        <v>122</v>
      </c>
      <c r="AT63" s="68" t="s">
        <v>373</v>
      </c>
      <c r="AU63" s="70" t="s">
        <v>374</v>
      </c>
      <c r="AY63" s="72">
        <v>16457.43</v>
      </c>
      <c r="AZ63" s="72">
        <v>0</v>
      </c>
      <c r="BA63" s="70" t="s">
        <v>67</v>
      </c>
      <c r="BB63" s="70" t="s">
        <v>1044</v>
      </c>
      <c r="BC63" s="70" t="s">
        <v>2968</v>
      </c>
      <c r="BD63" s="70" t="s">
        <v>172</v>
      </c>
      <c r="BE63" s="70" t="s">
        <v>74</v>
      </c>
      <c r="BF63" s="70" t="s">
        <v>75</v>
      </c>
      <c r="BH63" s="60" t="str">
        <f t="shared" si="0"/>
        <v>Ver en Mapa</v>
      </c>
      <c r="BK63" s="70">
        <v>2</v>
      </c>
      <c r="BL63" s="70">
        <v>2</v>
      </c>
      <c r="BM63" s="70" t="s">
        <v>2847</v>
      </c>
    </row>
    <row r="64" spans="1:65" s="68" customFormat="1" ht="14.4" customHeight="1" x14ac:dyDescent="0.3">
      <c r="A64" s="70" t="str">
        <f>H64</f>
        <v>001333</v>
      </c>
      <c r="B64" s="70" t="s">
        <v>61</v>
      </c>
      <c r="C64" s="70" t="s">
        <v>194</v>
      </c>
      <c r="D64" s="70" t="s">
        <v>594</v>
      </c>
      <c r="E64" s="70" t="s">
        <v>595</v>
      </c>
      <c r="F64" s="70" t="s">
        <v>590</v>
      </c>
      <c r="G64" s="70" t="s">
        <v>2763</v>
      </c>
      <c r="H64" s="70" t="s">
        <v>2153</v>
      </c>
      <c r="I64" s="70" t="s">
        <v>67</v>
      </c>
      <c r="J64" s="70" t="s">
        <v>627</v>
      </c>
      <c r="K64" s="71">
        <v>45799</v>
      </c>
      <c r="L64" s="71">
        <v>45967</v>
      </c>
      <c r="M64" s="72">
        <v>5000</v>
      </c>
      <c r="N64" s="72">
        <v>5267.04</v>
      </c>
      <c r="O64" s="73">
        <v>33</v>
      </c>
      <c r="P64" s="73">
        <v>12</v>
      </c>
      <c r="Q64" s="70" t="s">
        <v>496</v>
      </c>
      <c r="R64" s="72">
        <v>673.4</v>
      </c>
      <c r="S64" s="72">
        <v>696</v>
      </c>
      <c r="T64" s="72">
        <v>1740</v>
      </c>
      <c r="U64" s="72">
        <v>10</v>
      </c>
      <c r="V64" s="72">
        <v>3</v>
      </c>
      <c r="W64" s="72">
        <v>2194.6</v>
      </c>
      <c r="X64" s="72">
        <v>3750.01</v>
      </c>
      <c r="Y64" s="72">
        <v>1316.76</v>
      </c>
      <c r="Z64" s="72">
        <v>529.44000000000005</v>
      </c>
      <c r="AA64" s="72">
        <v>163.81</v>
      </c>
      <c r="AB64" s="72">
        <v>1740</v>
      </c>
      <c r="AC64" s="72">
        <v>675</v>
      </c>
      <c r="AD64" s="71">
        <v>45897</v>
      </c>
      <c r="AE64" s="70" t="s">
        <v>69</v>
      </c>
      <c r="AF64" s="70" t="s">
        <v>2154</v>
      </c>
      <c r="AG64" s="70" t="s">
        <v>628</v>
      </c>
      <c r="AI64" s="70" t="s">
        <v>86</v>
      </c>
      <c r="AJ64" s="70" t="s">
        <v>87</v>
      </c>
      <c r="AM64" s="70" t="s">
        <v>840</v>
      </c>
      <c r="AN64" s="70" t="s">
        <v>2155</v>
      </c>
      <c r="AO64" s="70" t="s">
        <v>838</v>
      </c>
      <c r="AP64" s="70" t="s">
        <v>2156</v>
      </c>
      <c r="AQ64" s="70" t="s">
        <v>839</v>
      </c>
      <c r="AR64" s="70" t="s">
        <v>2157</v>
      </c>
      <c r="AY64" s="72">
        <v>4980.8100000000004</v>
      </c>
      <c r="AZ64" s="72">
        <v>0</v>
      </c>
      <c r="BA64" s="70" t="s">
        <v>67</v>
      </c>
      <c r="BB64" s="70" t="s">
        <v>1044</v>
      </c>
      <c r="BC64" s="70" t="s">
        <v>2885</v>
      </c>
      <c r="BD64" s="70" t="s">
        <v>251</v>
      </c>
      <c r="BE64" s="70" t="s">
        <v>74</v>
      </c>
      <c r="BF64" s="70" t="s">
        <v>194</v>
      </c>
      <c r="BH64" s="60" t="str">
        <f t="shared" si="0"/>
        <v>Ver en Mapa</v>
      </c>
      <c r="BK64" s="70">
        <v>3</v>
      </c>
      <c r="BL64" s="70">
        <v>3</v>
      </c>
      <c r="BM64" s="70" t="s">
        <v>2847</v>
      </c>
    </row>
    <row r="65" spans="1:65" s="68" customFormat="1" ht="14.4" customHeight="1" x14ac:dyDescent="0.3">
      <c r="A65" s="70" t="str">
        <f>H65</f>
        <v>001482</v>
      </c>
      <c r="B65" s="70" t="s">
        <v>61</v>
      </c>
      <c r="C65" s="70" t="s">
        <v>194</v>
      </c>
      <c r="D65" s="70" t="s">
        <v>588</v>
      </c>
      <c r="E65" s="70" t="s">
        <v>589</v>
      </c>
      <c r="F65" s="70" t="s">
        <v>2800</v>
      </c>
      <c r="G65" s="70" t="s">
        <v>2801</v>
      </c>
      <c r="H65" s="70" t="s">
        <v>2249</v>
      </c>
      <c r="I65" s="70" t="s">
        <v>67</v>
      </c>
      <c r="J65" s="70" t="s">
        <v>1682</v>
      </c>
      <c r="K65" s="71">
        <v>45855</v>
      </c>
      <c r="L65" s="71">
        <v>46023</v>
      </c>
      <c r="M65" s="72">
        <v>5000</v>
      </c>
      <c r="N65" s="72">
        <v>5267.04</v>
      </c>
      <c r="O65" s="73">
        <v>33</v>
      </c>
      <c r="P65" s="73">
        <v>24</v>
      </c>
      <c r="Q65" s="70" t="s">
        <v>469</v>
      </c>
      <c r="R65" s="72">
        <v>365.7</v>
      </c>
      <c r="S65" s="72">
        <v>1392</v>
      </c>
      <c r="T65" s="72">
        <v>2421.2600000000002</v>
      </c>
      <c r="U65" s="72">
        <v>12</v>
      </c>
      <c r="V65" s="72">
        <v>5</v>
      </c>
      <c r="W65" s="72">
        <v>3730.82</v>
      </c>
      <c r="X65" s="72">
        <v>4191.7700000000004</v>
      </c>
      <c r="Y65" s="72">
        <v>1097.3</v>
      </c>
      <c r="Z65" s="72">
        <v>441.21000000000004</v>
      </c>
      <c r="AA65" s="72">
        <v>232</v>
      </c>
      <c r="AB65" s="72">
        <v>2421.2600000000002</v>
      </c>
      <c r="AC65" s="72">
        <v>370</v>
      </c>
      <c r="AD65" s="71">
        <v>45939</v>
      </c>
      <c r="AE65" s="70" t="s">
        <v>69</v>
      </c>
      <c r="AF65" s="70" t="s">
        <v>2250</v>
      </c>
      <c r="AG65" s="70" t="s">
        <v>1683</v>
      </c>
      <c r="AI65" s="70" t="s">
        <v>1684</v>
      </c>
      <c r="AJ65" s="70" t="s">
        <v>2251</v>
      </c>
      <c r="AK65" s="70" t="s">
        <v>1685</v>
      </c>
      <c r="AM65" s="70" t="s">
        <v>1686</v>
      </c>
      <c r="AN65" s="70" t="s">
        <v>2252</v>
      </c>
      <c r="AO65" s="70" t="s">
        <v>1687</v>
      </c>
      <c r="AP65" s="70" t="s">
        <v>2253</v>
      </c>
      <c r="AQ65" s="70" t="s">
        <v>1688</v>
      </c>
      <c r="AR65" s="70" t="s">
        <v>2254</v>
      </c>
      <c r="AY65" s="72">
        <v>7884.17</v>
      </c>
      <c r="AZ65" s="72">
        <v>0</v>
      </c>
      <c r="BA65" s="70" t="s">
        <v>67</v>
      </c>
      <c r="BB65" s="70" t="s">
        <v>1044</v>
      </c>
      <c r="BC65" s="70" t="s">
        <v>2962</v>
      </c>
      <c r="BD65" s="70" t="s">
        <v>503</v>
      </c>
      <c r="BE65" s="70" t="s">
        <v>74</v>
      </c>
      <c r="BF65" s="70" t="s">
        <v>503</v>
      </c>
      <c r="BG65" s="70" t="s">
        <v>1689</v>
      </c>
      <c r="BH65" s="60" t="str">
        <f t="shared" si="0"/>
        <v>Ver en Mapa</v>
      </c>
      <c r="BK65" s="70">
        <v>11</v>
      </c>
      <c r="BL65" s="70">
        <v>9</v>
      </c>
      <c r="BM65" s="70" t="s">
        <v>2847</v>
      </c>
    </row>
    <row r="66" spans="1:65" s="68" customFormat="1" ht="14.4" customHeight="1" x14ac:dyDescent="0.3">
      <c r="A66" s="70" t="str">
        <f>H66</f>
        <v>001247</v>
      </c>
      <c r="B66" s="70" t="s">
        <v>61</v>
      </c>
      <c r="C66" s="70" t="s">
        <v>62</v>
      </c>
      <c r="D66" s="70" t="s">
        <v>408</v>
      </c>
      <c r="E66" s="70" t="s">
        <v>409</v>
      </c>
      <c r="F66" s="70" t="s">
        <v>590</v>
      </c>
      <c r="G66" s="70" t="s">
        <v>2763</v>
      </c>
      <c r="H66" s="70" t="s">
        <v>1921</v>
      </c>
      <c r="I66" s="70" t="s">
        <v>67</v>
      </c>
      <c r="J66" s="70" t="s">
        <v>366</v>
      </c>
      <c r="K66" s="71">
        <v>45761</v>
      </c>
      <c r="L66" s="71">
        <v>46126</v>
      </c>
      <c r="M66" s="72">
        <v>35000</v>
      </c>
      <c r="N66" s="72">
        <v>36869.270000000004</v>
      </c>
      <c r="O66" s="73">
        <v>29</v>
      </c>
      <c r="P66" s="73">
        <v>12</v>
      </c>
      <c r="Q66" s="70" t="s">
        <v>68</v>
      </c>
      <c r="R66" s="72">
        <v>5137.82</v>
      </c>
      <c r="S66" s="72">
        <v>696</v>
      </c>
      <c r="T66" s="72">
        <v>0</v>
      </c>
      <c r="U66" s="72">
        <v>0</v>
      </c>
      <c r="V66" s="72">
        <v>1.1000000000000001</v>
      </c>
      <c r="W66" s="72">
        <v>22084.7</v>
      </c>
      <c r="X66" s="72">
        <v>5715.4450000000006</v>
      </c>
      <c r="Y66" s="72">
        <v>3650.07</v>
      </c>
      <c r="Z66" s="72">
        <v>2007.38</v>
      </c>
      <c r="AA66" s="72">
        <v>58</v>
      </c>
      <c r="AB66" s="72">
        <v>0</v>
      </c>
      <c r="AC66" s="72">
        <v>5137.82</v>
      </c>
      <c r="AD66" s="71">
        <v>45919</v>
      </c>
      <c r="AE66" s="70" t="s">
        <v>69</v>
      </c>
      <c r="AF66" s="70" t="s">
        <v>1922</v>
      </c>
      <c r="AG66" s="70" t="s">
        <v>507</v>
      </c>
      <c r="AI66" s="70" t="s">
        <v>508</v>
      </c>
      <c r="AJ66" s="70" t="s">
        <v>1923</v>
      </c>
      <c r="AK66" s="70" t="s">
        <v>367</v>
      </c>
      <c r="AL66" s="70" t="s">
        <v>1922</v>
      </c>
      <c r="AM66" s="70" t="s">
        <v>763</v>
      </c>
      <c r="AN66" s="70" t="s">
        <v>1924</v>
      </c>
      <c r="AO66" s="70" t="s">
        <v>761</v>
      </c>
      <c r="AP66" s="70" t="s">
        <v>1925</v>
      </c>
      <c r="AQ66" s="70" t="s">
        <v>762</v>
      </c>
      <c r="AR66" s="70" t="s">
        <v>1926</v>
      </c>
      <c r="AS66" s="70" t="s">
        <v>122</v>
      </c>
      <c r="AT66" s="68" t="s">
        <v>368</v>
      </c>
      <c r="AU66" s="70" t="s">
        <v>369</v>
      </c>
      <c r="AY66" s="72">
        <v>36194.35</v>
      </c>
      <c r="AZ66" s="72">
        <v>0</v>
      </c>
      <c r="BA66" s="70" t="s">
        <v>67</v>
      </c>
      <c r="BB66" s="70" t="s">
        <v>1044</v>
      </c>
      <c r="BC66" s="70" t="s">
        <v>3021</v>
      </c>
      <c r="BD66" s="70" t="s">
        <v>341</v>
      </c>
      <c r="BE66" s="70" t="s">
        <v>74</v>
      </c>
      <c r="BF66" s="70" t="s">
        <v>75</v>
      </c>
      <c r="BH66" s="60" t="str">
        <f t="shared" si="0"/>
        <v>Ver en Mapa</v>
      </c>
      <c r="BK66" s="70">
        <v>3</v>
      </c>
      <c r="BL66" s="70">
        <v>2</v>
      </c>
      <c r="BM66" s="70" t="s">
        <v>2847</v>
      </c>
    </row>
    <row r="67" spans="1:65" s="68" customFormat="1" ht="14.4" customHeight="1" x14ac:dyDescent="0.3">
      <c r="A67" s="70" t="str">
        <f>H67</f>
        <v>001747</v>
      </c>
      <c r="B67" s="70" t="s">
        <v>61</v>
      </c>
      <c r="C67" s="70" t="s">
        <v>194</v>
      </c>
      <c r="D67" s="70" t="s">
        <v>588</v>
      </c>
      <c r="E67" s="70" t="s">
        <v>589</v>
      </c>
      <c r="F67" s="70" t="s">
        <v>590</v>
      </c>
      <c r="G67" s="70" t="s">
        <v>2763</v>
      </c>
      <c r="H67" s="70" t="s">
        <v>2743</v>
      </c>
      <c r="I67" s="70" t="s">
        <v>67</v>
      </c>
      <c r="J67" s="70" t="s">
        <v>2744</v>
      </c>
      <c r="K67" s="71">
        <v>45883</v>
      </c>
      <c r="L67" s="71">
        <v>46248</v>
      </c>
      <c r="M67" s="72">
        <v>20000</v>
      </c>
      <c r="N67" s="72">
        <v>21068.16</v>
      </c>
      <c r="O67" s="73">
        <v>29</v>
      </c>
      <c r="P67" s="73">
        <v>12</v>
      </c>
      <c r="Q67" s="70" t="s">
        <v>68</v>
      </c>
      <c r="R67" s="72">
        <v>3347.38</v>
      </c>
      <c r="S67" s="72">
        <v>696</v>
      </c>
      <c r="T67" s="72">
        <v>0</v>
      </c>
      <c r="U67" s="72">
        <v>0</v>
      </c>
      <c r="V67" s="72">
        <v>1</v>
      </c>
      <c r="W67" s="72">
        <v>19389.86</v>
      </c>
      <c r="X67" s="72">
        <v>3424.77</v>
      </c>
      <c r="Y67" s="72">
        <v>1833.06</v>
      </c>
      <c r="Z67" s="72">
        <v>1533.71</v>
      </c>
      <c r="AA67" s="72">
        <v>58</v>
      </c>
      <c r="AB67" s="72">
        <v>0</v>
      </c>
      <c r="AC67" s="72">
        <v>3850</v>
      </c>
      <c r="AD67" s="71">
        <v>45924</v>
      </c>
      <c r="AE67" s="70" t="s">
        <v>69</v>
      </c>
      <c r="AF67" s="70" t="s">
        <v>2745</v>
      </c>
      <c r="AG67" s="70" t="s">
        <v>2746</v>
      </c>
      <c r="AI67" s="70" t="s">
        <v>393</v>
      </c>
      <c r="AJ67" s="70" t="s">
        <v>394</v>
      </c>
      <c r="AK67" s="70" t="s">
        <v>2747</v>
      </c>
      <c r="AM67" s="70" t="s">
        <v>2748</v>
      </c>
      <c r="AN67" s="70" t="s">
        <v>2749</v>
      </c>
      <c r="AO67" s="70" t="s">
        <v>2750</v>
      </c>
      <c r="AP67" s="70" t="s">
        <v>2751</v>
      </c>
      <c r="AQ67" s="70" t="s">
        <v>2752</v>
      </c>
      <c r="AR67" s="70" t="s">
        <v>2753</v>
      </c>
      <c r="AY67" s="72">
        <v>36318.6</v>
      </c>
      <c r="AZ67" s="72">
        <v>0</v>
      </c>
      <c r="BA67" s="70" t="s">
        <v>67</v>
      </c>
      <c r="BB67" s="70" t="s">
        <v>1044</v>
      </c>
      <c r="BC67" s="70" t="s">
        <v>2870</v>
      </c>
      <c r="BD67" s="70" t="s">
        <v>2754</v>
      </c>
      <c r="BE67" s="70" t="s">
        <v>74</v>
      </c>
      <c r="BF67" s="70" t="s">
        <v>503</v>
      </c>
      <c r="BG67" s="70" t="s">
        <v>2755</v>
      </c>
      <c r="BH67" s="60" t="str">
        <f t="shared" si="0"/>
        <v>Ver en Mapa</v>
      </c>
      <c r="BK67" s="70">
        <v>2</v>
      </c>
      <c r="BL67" s="70">
        <v>2</v>
      </c>
      <c r="BM67" s="70" t="s">
        <v>2847</v>
      </c>
    </row>
    <row r="68" spans="1:65" s="68" customFormat="1" ht="14.4" customHeight="1" x14ac:dyDescent="0.3">
      <c r="A68" s="70" t="str">
        <f>H68</f>
        <v>001540</v>
      </c>
      <c r="B68" s="70" t="s">
        <v>61</v>
      </c>
      <c r="C68" s="70" t="s">
        <v>194</v>
      </c>
      <c r="D68" s="70" t="s">
        <v>594</v>
      </c>
      <c r="E68" s="70" t="s">
        <v>595</v>
      </c>
      <c r="F68" s="70" t="s">
        <v>2800</v>
      </c>
      <c r="G68" s="70" t="s">
        <v>2801</v>
      </c>
      <c r="H68" s="70" t="s">
        <v>2163</v>
      </c>
      <c r="I68" s="70" t="s">
        <v>67</v>
      </c>
      <c r="J68" s="70" t="s">
        <v>1624</v>
      </c>
      <c r="K68" s="71">
        <v>45853</v>
      </c>
      <c r="L68" s="71">
        <v>46218</v>
      </c>
      <c r="M68" s="72">
        <v>10000</v>
      </c>
      <c r="N68" s="72">
        <v>10534.08</v>
      </c>
      <c r="O68" s="73">
        <v>29</v>
      </c>
      <c r="P68" s="73">
        <v>12</v>
      </c>
      <c r="Q68" s="70" t="s">
        <v>68</v>
      </c>
      <c r="R68" s="72">
        <v>1702.69</v>
      </c>
      <c r="S68" s="72">
        <v>696</v>
      </c>
      <c r="T68" s="72">
        <v>580</v>
      </c>
      <c r="U68" s="72">
        <v>0</v>
      </c>
      <c r="V68" s="72">
        <v>1</v>
      </c>
      <c r="W68" s="72">
        <v>9656.24</v>
      </c>
      <c r="X68" s="72">
        <v>2265.3835253333327</v>
      </c>
      <c r="Y68" s="72">
        <v>877.84</v>
      </c>
      <c r="Z68" s="72">
        <v>766.85</v>
      </c>
      <c r="AA68" s="72">
        <v>40.69</v>
      </c>
      <c r="AB68" s="72">
        <v>580</v>
      </c>
      <c r="AC68" s="72">
        <v>600</v>
      </c>
      <c r="AD68" s="71">
        <v>45890</v>
      </c>
      <c r="AE68" s="70" t="s">
        <v>69</v>
      </c>
      <c r="AF68" s="70" t="s">
        <v>2164</v>
      </c>
      <c r="AG68" s="70" t="s">
        <v>1625</v>
      </c>
      <c r="AI68" s="70" t="s">
        <v>684</v>
      </c>
      <c r="AJ68" s="70" t="s">
        <v>1471</v>
      </c>
      <c r="AK68" s="70" t="s">
        <v>1626</v>
      </c>
      <c r="AM68" s="70" t="s">
        <v>1627</v>
      </c>
      <c r="AN68" s="70" t="s">
        <v>2165</v>
      </c>
      <c r="AO68" s="70" t="s">
        <v>1628</v>
      </c>
      <c r="AP68" s="70" t="s">
        <v>2166</v>
      </c>
      <c r="AQ68" s="70" t="s">
        <v>1629</v>
      </c>
      <c r="AR68" s="70" t="s">
        <v>2167</v>
      </c>
      <c r="AY68" s="72">
        <v>18712.3</v>
      </c>
      <c r="AZ68" s="72">
        <v>0</v>
      </c>
      <c r="BA68" s="70" t="s">
        <v>67</v>
      </c>
      <c r="BB68" s="70" t="s">
        <v>1044</v>
      </c>
      <c r="BC68" s="70" t="s">
        <v>2959</v>
      </c>
      <c r="BD68" s="70" t="s">
        <v>1630</v>
      </c>
      <c r="BE68" s="70" t="s">
        <v>74</v>
      </c>
      <c r="BF68" s="70" t="s">
        <v>194</v>
      </c>
      <c r="BG68" s="70" t="s">
        <v>1631</v>
      </c>
      <c r="BH68" s="60" t="str">
        <f t="shared" si="0"/>
        <v>Ver en Mapa</v>
      </c>
      <c r="BK68" s="70">
        <v>2</v>
      </c>
      <c r="BL68" s="70">
        <v>2</v>
      </c>
      <c r="BM68" s="70" t="s">
        <v>2847</v>
      </c>
    </row>
    <row r="69" spans="1:65" s="68" customFormat="1" ht="14.4" customHeight="1" x14ac:dyDescent="0.3">
      <c r="A69" s="70" t="str">
        <f>H69</f>
        <v>001765</v>
      </c>
      <c r="B69" s="70" t="s">
        <v>61</v>
      </c>
      <c r="C69" s="70" t="s">
        <v>194</v>
      </c>
      <c r="D69" s="70" t="s">
        <v>588</v>
      </c>
      <c r="E69" s="70" t="s">
        <v>589</v>
      </c>
      <c r="F69" s="70" t="s">
        <v>2800</v>
      </c>
      <c r="G69" s="70" t="s">
        <v>2801</v>
      </c>
      <c r="H69" s="70" t="s">
        <v>2716</v>
      </c>
      <c r="I69" s="70" t="s">
        <v>67</v>
      </c>
      <c r="J69" s="70" t="s">
        <v>2717</v>
      </c>
      <c r="K69" s="71">
        <v>45883</v>
      </c>
      <c r="L69" s="71">
        <v>46067</v>
      </c>
      <c r="M69" s="72">
        <v>10000</v>
      </c>
      <c r="N69" s="72">
        <v>10534.08</v>
      </c>
      <c r="O69" s="73">
        <v>29</v>
      </c>
      <c r="P69" s="73">
        <v>6</v>
      </c>
      <c r="Q69" s="70" t="s">
        <v>68</v>
      </c>
      <c r="R69" s="72">
        <v>2586.83</v>
      </c>
      <c r="S69" s="72">
        <v>348</v>
      </c>
      <c r="T69" s="72">
        <v>580</v>
      </c>
      <c r="U69" s="72">
        <v>0</v>
      </c>
      <c r="V69" s="72">
        <v>2</v>
      </c>
      <c r="W69" s="72">
        <v>10534.08</v>
      </c>
      <c r="X69" s="72">
        <v>5753.67</v>
      </c>
      <c r="Y69" s="72">
        <v>3511.36</v>
      </c>
      <c r="Z69" s="72">
        <v>1546.31</v>
      </c>
      <c r="AA69" s="72">
        <v>116</v>
      </c>
      <c r="AB69" s="72">
        <v>580</v>
      </c>
      <c r="AE69" s="70" t="s">
        <v>69</v>
      </c>
      <c r="AF69" s="70" t="s">
        <v>2718</v>
      </c>
      <c r="AG69" s="70" t="s">
        <v>2719</v>
      </c>
      <c r="AI69" s="70" t="s">
        <v>393</v>
      </c>
      <c r="AJ69" s="70" t="s">
        <v>394</v>
      </c>
      <c r="AK69" s="70" t="s">
        <v>2720</v>
      </c>
      <c r="AM69" s="70" t="s">
        <v>2721</v>
      </c>
      <c r="AN69" s="70" t="s">
        <v>2722</v>
      </c>
      <c r="AO69" s="70" t="s">
        <v>2723</v>
      </c>
      <c r="AP69" s="70" t="s">
        <v>2724</v>
      </c>
      <c r="AQ69" s="70" t="s">
        <v>2725</v>
      </c>
      <c r="AR69" s="70" t="s">
        <v>2726</v>
      </c>
      <c r="AY69" s="72">
        <v>15869.01</v>
      </c>
      <c r="AZ69" s="72">
        <v>0</v>
      </c>
      <c r="BA69" s="70" t="s">
        <v>67</v>
      </c>
      <c r="BB69" s="70" t="s">
        <v>1044</v>
      </c>
      <c r="BC69" s="70" t="s">
        <v>2727</v>
      </c>
      <c r="BD69" s="70" t="s">
        <v>2728</v>
      </c>
      <c r="BE69" s="70" t="s">
        <v>74</v>
      </c>
      <c r="BF69" s="70" t="s">
        <v>194</v>
      </c>
      <c r="BG69" s="70" t="s">
        <v>2729</v>
      </c>
      <c r="BH69" s="60" t="str">
        <f t="shared" si="0"/>
        <v>Ver en Mapa</v>
      </c>
      <c r="BK69" s="70">
        <v>2</v>
      </c>
      <c r="BL69" s="70">
        <v>2</v>
      </c>
      <c r="BM69" s="70" t="s">
        <v>2847</v>
      </c>
    </row>
    <row r="70" spans="1:65" s="68" customFormat="1" ht="14.4" customHeight="1" x14ac:dyDescent="0.3">
      <c r="A70" s="70" t="str">
        <f>H70</f>
        <v>001400</v>
      </c>
      <c r="B70" s="70" t="s">
        <v>61</v>
      </c>
      <c r="C70" s="70" t="s">
        <v>273</v>
      </c>
      <c r="D70" s="70" t="s">
        <v>1522</v>
      </c>
      <c r="E70" s="70" t="s">
        <v>614</v>
      </c>
      <c r="F70" s="70" t="s">
        <v>2785</v>
      </c>
      <c r="G70" s="70" t="s">
        <v>2786</v>
      </c>
      <c r="H70" s="70" t="s">
        <v>2476</v>
      </c>
      <c r="I70" s="70" t="s">
        <v>67</v>
      </c>
      <c r="J70" s="70" t="s">
        <v>1166</v>
      </c>
      <c r="K70" s="71">
        <v>45821</v>
      </c>
      <c r="L70" s="71">
        <v>46004</v>
      </c>
      <c r="M70" s="72">
        <v>5000</v>
      </c>
      <c r="N70" s="72">
        <v>5267.04</v>
      </c>
      <c r="O70" s="73">
        <v>29</v>
      </c>
      <c r="P70" s="73">
        <v>6</v>
      </c>
      <c r="Q70" s="70" t="s">
        <v>68</v>
      </c>
      <c r="R70" s="72">
        <v>1320.32</v>
      </c>
      <c r="S70" s="72">
        <v>348</v>
      </c>
      <c r="T70" s="72">
        <v>580</v>
      </c>
      <c r="U70" s="72">
        <v>0</v>
      </c>
      <c r="V70" s="72">
        <v>1.5</v>
      </c>
      <c r="W70" s="72">
        <v>3213.51</v>
      </c>
      <c r="X70" s="72">
        <v>2480.31</v>
      </c>
      <c r="Y70" s="72">
        <v>1457.83</v>
      </c>
      <c r="Z70" s="72">
        <v>384.48</v>
      </c>
      <c r="AA70" s="72">
        <v>58</v>
      </c>
      <c r="AB70" s="72">
        <v>580</v>
      </c>
      <c r="AC70" s="72">
        <v>1320.32</v>
      </c>
      <c r="AD70" s="71">
        <v>45940</v>
      </c>
      <c r="AE70" s="70" t="s">
        <v>69</v>
      </c>
      <c r="AF70" s="70" t="s">
        <v>2477</v>
      </c>
      <c r="AG70" s="70" t="s">
        <v>1167</v>
      </c>
      <c r="AI70" s="70" t="s">
        <v>192</v>
      </c>
      <c r="AJ70" s="70" t="s">
        <v>193</v>
      </c>
      <c r="AK70" s="70" t="s">
        <v>1168</v>
      </c>
      <c r="AM70" s="70" t="s">
        <v>1169</v>
      </c>
      <c r="AN70" s="70" t="s">
        <v>2478</v>
      </c>
      <c r="AO70" s="70" t="s">
        <v>1170</v>
      </c>
      <c r="AP70" s="70" t="s">
        <v>2479</v>
      </c>
      <c r="AQ70" s="70" t="s">
        <v>1171</v>
      </c>
      <c r="AR70" s="70" t="s">
        <v>2480</v>
      </c>
      <c r="AY70" s="72">
        <v>5004.9400000000005</v>
      </c>
      <c r="AZ70" s="72">
        <v>0</v>
      </c>
      <c r="BA70" s="70" t="s">
        <v>67</v>
      </c>
      <c r="BB70" s="70" t="s">
        <v>1044</v>
      </c>
      <c r="BC70" s="70" t="s">
        <v>1172</v>
      </c>
      <c r="BD70" s="70" t="s">
        <v>687</v>
      </c>
      <c r="BE70" s="70" t="s">
        <v>74</v>
      </c>
      <c r="BF70" s="70" t="s">
        <v>273</v>
      </c>
      <c r="BG70" s="70" t="s">
        <v>1173</v>
      </c>
      <c r="BH70" s="60" t="str">
        <f t="shared" ref="BH70:BH133" si="1">HYPERLINK("https://www.google.com/maps/search/?api=1&amp;query=" &amp; SUBSTITUTE(SUBSTITUTE(BG70, "°", "%20"), """", ""), "Ver en Mapa")</f>
        <v>Ver en Mapa</v>
      </c>
      <c r="BK70" s="70">
        <v>2</v>
      </c>
      <c r="BL70" s="70">
        <v>2</v>
      </c>
      <c r="BM70" s="70" t="s">
        <v>2847</v>
      </c>
    </row>
    <row r="71" spans="1:65" s="68" customFormat="1" ht="14.4" customHeight="1" x14ac:dyDescent="0.3">
      <c r="A71" s="70" t="str">
        <f>H71</f>
        <v>001439</v>
      </c>
      <c r="B71" s="70" t="s">
        <v>61</v>
      </c>
      <c r="C71" s="70" t="s">
        <v>194</v>
      </c>
      <c r="D71" s="70" t="s">
        <v>594</v>
      </c>
      <c r="E71" s="70" t="s">
        <v>595</v>
      </c>
      <c r="F71" s="70" t="s">
        <v>2800</v>
      </c>
      <c r="G71" s="70" t="s">
        <v>2801</v>
      </c>
      <c r="H71" s="70" t="s">
        <v>2179</v>
      </c>
      <c r="I71" s="70" t="s">
        <v>67</v>
      </c>
      <c r="J71" s="70" t="s">
        <v>1335</v>
      </c>
      <c r="K71" s="71">
        <v>45832</v>
      </c>
      <c r="L71" s="71">
        <v>46000</v>
      </c>
      <c r="M71" s="72">
        <v>8000</v>
      </c>
      <c r="N71" s="72">
        <v>8427.26</v>
      </c>
      <c r="O71" s="73">
        <v>27</v>
      </c>
      <c r="P71" s="73">
        <v>12</v>
      </c>
      <c r="Q71" s="70" t="s">
        <v>496</v>
      </c>
      <c r="R71" s="72">
        <v>1042.6400000000001</v>
      </c>
      <c r="S71" s="72">
        <v>696</v>
      </c>
      <c r="T71" s="72">
        <v>1160</v>
      </c>
      <c r="U71" s="72">
        <v>8</v>
      </c>
      <c r="V71" s="72">
        <v>3</v>
      </c>
      <c r="W71" s="72">
        <v>4915.9000000000005</v>
      </c>
      <c r="X71" s="72">
        <v>4251.1333000000004</v>
      </c>
      <c r="Y71" s="72">
        <v>2106.81</v>
      </c>
      <c r="Z71" s="72">
        <v>847.11</v>
      </c>
      <c r="AA71" s="72">
        <v>137.21</v>
      </c>
      <c r="AB71" s="72">
        <v>1160</v>
      </c>
      <c r="AC71" s="72">
        <v>1650</v>
      </c>
      <c r="AD71" s="71">
        <v>45905</v>
      </c>
      <c r="AE71" s="70" t="s">
        <v>69</v>
      </c>
      <c r="AF71" s="70" t="s">
        <v>2180</v>
      </c>
      <c r="AG71" s="70" t="s">
        <v>1336</v>
      </c>
      <c r="AI71" s="70" t="s">
        <v>283</v>
      </c>
      <c r="AJ71" s="70" t="s">
        <v>284</v>
      </c>
      <c r="AK71" s="70" t="s">
        <v>1337</v>
      </c>
      <c r="AM71" s="70" t="s">
        <v>1338</v>
      </c>
      <c r="AN71" s="70" t="s">
        <v>2181</v>
      </c>
      <c r="AO71" s="70" t="s">
        <v>1339</v>
      </c>
      <c r="AP71" s="70" t="s">
        <v>2182</v>
      </c>
      <c r="AQ71" s="70" t="s">
        <v>1340</v>
      </c>
      <c r="AR71" s="70" t="s">
        <v>2183</v>
      </c>
      <c r="AY71" s="72">
        <v>8189.6900000000005</v>
      </c>
      <c r="AZ71" s="72">
        <v>0</v>
      </c>
      <c r="BA71" s="70" t="s">
        <v>67</v>
      </c>
      <c r="BB71" s="70" t="s">
        <v>1044</v>
      </c>
      <c r="BC71" s="70" t="s">
        <v>2920</v>
      </c>
      <c r="BD71" s="70" t="s">
        <v>1584</v>
      </c>
      <c r="BE71" s="70" t="s">
        <v>74</v>
      </c>
      <c r="BF71" s="70" t="s">
        <v>194</v>
      </c>
      <c r="BG71" s="70" t="s">
        <v>1341</v>
      </c>
      <c r="BH71" s="60" t="str">
        <f t="shared" si="1"/>
        <v>Ver en Mapa</v>
      </c>
      <c r="BK71" s="70">
        <v>4</v>
      </c>
      <c r="BL71" s="70">
        <v>4</v>
      </c>
      <c r="BM71" s="70" t="s">
        <v>2847</v>
      </c>
    </row>
    <row r="72" spans="1:65" s="68" customFormat="1" ht="14.4" customHeight="1" x14ac:dyDescent="0.3">
      <c r="A72" s="70" t="str">
        <f>H72</f>
        <v>001189</v>
      </c>
      <c r="B72" s="70" t="s">
        <v>61</v>
      </c>
      <c r="C72" s="70" t="s">
        <v>205</v>
      </c>
      <c r="D72" s="70" t="s">
        <v>2291</v>
      </c>
      <c r="E72" s="70" t="s">
        <v>206</v>
      </c>
      <c r="F72" s="70" t="s">
        <v>590</v>
      </c>
      <c r="G72" s="70" t="s">
        <v>2763</v>
      </c>
      <c r="H72" s="70" t="s">
        <v>2292</v>
      </c>
      <c r="I72" s="70" t="s">
        <v>67</v>
      </c>
      <c r="J72" s="70" t="s">
        <v>207</v>
      </c>
      <c r="K72" s="71">
        <v>45705</v>
      </c>
      <c r="L72" s="71">
        <v>46070</v>
      </c>
      <c r="M72" s="72">
        <v>40000</v>
      </c>
      <c r="N72" s="72">
        <v>42136.31</v>
      </c>
      <c r="O72" s="73">
        <v>27</v>
      </c>
      <c r="P72" s="73">
        <v>12</v>
      </c>
      <c r="Q72" s="70" t="s">
        <v>68</v>
      </c>
      <c r="R72" s="72">
        <v>5972.04</v>
      </c>
      <c r="S72" s="72">
        <v>696</v>
      </c>
      <c r="T72" s="72">
        <v>0</v>
      </c>
      <c r="U72" s="72">
        <v>0</v>
      </c>
      <c r="V72" s="72">
        <v>0.1</v>
      </c>
      <c r="W72" s="72">
        <v>23328.27</v>
      </c>
      <c r="X72" s="72">
        <v>384.28000000000003</v>
      </c>
      <c r="Y72" s="72">
        <v>384.28000000000003</v>
      </c>
      <c r="Z72" s="72">
        <v>0</v>
      </c>
      <c r="AA72" s="72">
        <v>0</v>
      </c>
      <c r="AB72" s="72">
        <v>0</v>
      </c>
      <c r="AC72" s="72">
        <v>6000</v>
      </c>
      <c r="AD72" s="71">
        <v>45922</v>
      </c>
      <c r="AE72" s="70" t="s">
        <v>69</v>
      </c>
      <c r="AF72" s="70" t="s">
        <v>2293</v>
      </c>
      <c r="AG72" s="70" t="s">
        <v>208</v>
      </c>
      <c r="AI72" s="70" t="s">
        <v>89</v>
      </c>
      <c r="AJ72" s="70" t="s">
        <v>90</v>
      </c>
      <c r="AM72" s="70" t="s">
        <v>878</v>
      </c>
      <c r="AN72" s="70" t="s">
        <v>2294</v>
      </c>
      <c r="AO72" s="70" t="s">
        <v>876</v>
      </c>
      <c r="AP72" s="70" t="s">
        <v>2295</v>
      </c>
      <c r="AQ72" s="70" t="s">
        <v>877</v>
      </c>
      <c r="AR72" s="70" t="s">
        <v>2296</v>
      </c>
      <c r="AS72" s="70" t="s">
        <v>122</v>
      </c>
      <c r="AT72" s="68" t="s">
        <v>209</v>
      </c>
      <c r="AU72" s="70" t="s">
        <v>210</v>
      </c>
      <c r="AY72" s="72">
        <v>23328.27</v>
      </c>
      <c r="AZ72" s="72">
        <v>0</v>
      </c>
      <c r="BA72" s="70" t="s">
        <v>135</v>
      </c>
      <c r="BB72" s="70" t="s">
        <v>136</v>
      </c>
      <c r="BC72" s="70" t="s">
        <v>211</v>
      </c>
      <c r="BD72" s="70" t="s">
        <v>212</v>
      </c>
      <c r="BE72" s="70" t="s">
        <v>213</v>
      </c>
      <c r="BF72" s="70" t="s">
        <v>214</v>
      </c>
      <c r="BH72" s="60" t="str">
        <f t="shared" si="1"/>
        <v>Ver en Mapa</v>
      </c>
      <c r="BK72" s="70">
        <v>2</v>
      </c>
      <c r="BL72" s="70">
        <v>1</v>
      </c>
      <c r="BM72" s="70" t="s">
        <v>2847</v>
      </c>
    </row>
    <row r="73" spans="1:65" s="68" customFormat="1" ht="14.4" customHeight="1" x14ac:dyDescent="0.3">
      <c r="A73" s="70" t="str">
        <f>H73</f>
        <v>001316</v>
      </c>
      <c r="B73" s="70" t="s">
        <v>61</v>
      </c>
      <c r="C73" s="70" t="s">
        <v>205</v>
      </c>
      <c r="D73" s="70" t="s">
        <v>408</v>
      </c>
      <c r="E73" s="70" t="s">
        <v>409</v>
      </c>
      <c r="F73" s="70" t="s">
        <v>2802</v>
      </c>
      <c r="G73" s="70" t="s">
        <v>2803</v>
      </c>
      <c r="H73" s="70" t="s">
        <v>2320</v>
      </c>
      <c r="I73" s="70" t="s">
        <v>67</v>
      </c>
      <c r="J73" s="70" t="s">
        <v>575</v>
      </c>
      <c r="K73" s="71">
        <v>45791</v>
      </c>
      <c r="L73" s="71">
        <v>45959</v>
      </c>
      <c r="M73" s="72">
        <v>5000</v>
      </c>
      <c r="N73" s="72">
        <v>5267.04</v>
      </c>
      <c r="O73" s="73">
        <v>27</v>
      </c>
      <c r="P73" s="73">
        <v>24</v>
      </c>
      <c r="Q73" s="70" t="s">
        <v>469</v>
      </c>
      <c r="R73" s="72">
        <v>365.7</v>
      </c>
      <c r="S73" s="72">
        <v>1392</v>
      </c>
      <c r="T73" s="72">
        <v>2320</v>
      </c>
      <c r="U73" s="72">
        <v>21</v>
      </c>
      <c r="V73" s="72">
        <v>4</v>
      </c>
      <c r="W73" s="72">
        <v>1536.22</v>
      </c>
      <c r="X73" s="72">
        <v>3723.7100128000002</v>
      </c>
      <c r="Y73" s="72">
        <v>877.84</v>
      </c>
      <c r="Z73" s="72">
        <v>351.87</v>
      </c>
      <c r="AA73" s="72">
        <v>174</v>
      </c>
      <c r="AB73" s="72">
        <v>2320</v>
      </c>
      <c r="AC73" s="72">
        <v>366</v>
      </c>
      <c r="AD73" s="71">
        <v>45910</v>
      </c>
      <c r="AE73" s="70" t="s">
        <v>69</v>
      </c>
      <c r="AF73" s="70" t="s">
        <v>2321</v>
      </c>
      <c r="AG73" s="70" t="s">
        <v>576</v>
      </c>
      <c r="AI73" s="70" t="s">
        <v>577</v>
      </c>
      <c r="AJ73" s="70" t="s">
        <v>2322</v>
      </c>
      <c r="AM73" s="70" t="s">
        <v>915</v>
      </c>
      <c r="AN73" s="70" t="s">
        <v>2323</v>
      </c>
      <c r="AO73" s="70" t="s">
        <v>913</v>
      </c>
      <c r="AP73" s="70" t="s">
        <v>2324</v>
      </c>
      <c r="AQ73" s="70" t="s">
        <v>914</v>
      </c>
      <c r="AR73" s="70" t="s">
        <v>2325</v>
      </c>
      <c r="AY73" s="72">
        <v>4646.8100000000004</v>
      </c>
      <c r="AZ73" s="72">
        <v>0</v>
      </c>
      <c r="BA73" s="70" t="s">
        <v>67</v>
      </c>
      <c r="BB73" s="70" t="s">
        <v>1044</v>
      </c>
      <c r="BC73" s="70" t="s">
        <v>3033</v>
      </c>
      <c r="BD73" s="70" t="s">
        <v>205</v>
      </c>
      <c r="BE73" s="70" t="s">
        <v>213</v>
      </c>
      <c r="BF73" s="70" t="s">
        <v>205</v>
      </c>
      <c r="BH73" s="60" t="str">
        <f t="shared" si="1"/>
        <v>Ver en Mapa</v>
      </c>
      <c r="BK73" s="70">
        <v>4</v>
      </c>
      <c r="BL73" s="70">
        <v>4</v>
      </c>
      <c r="BM73" s="70" t="s">
        <v>2847</v>
      </c>
    </row>
    <row r="74" spans="1:65" s="68" customFormat="1" ht="14.4" customHeight="1" x14ac:dyDescent="0.3">
      <c r="A74" s="70" t="str">
        <f>H74</f>
        <v>001443</v>
      </c>
      <c r="B74" s="70" t="s">
        <v>61</v>
      </c>
      <c r="C74" s="70" t="s">
        <v>273</v>
      </c>
      <c r="D74" s="70" t="s">
        <v>1522</v>
      </c>
      <c r="E74" s="70" t="s">
        <v>614</v>
      </c>
      <c r="F74" s="70" t="s">
        <v>2785</v>
      </c>
      <c r="G74" s="70" t="s">
        <v>2786</v>
      </c>
      <c r="H74" s="70" t="s">
        <v>1528</v>
      </c>
      <c r="I74" s="70" t="s">
        <v>67</v>
      </c>
      <c r="J74" s="70" t="s">
        <v>1348</v>
      </c>
      <c r="K74" s="71">
        <v>45833</v>
      </c>
      <c r="L74" s="71">
        <v>46001</v>
      </c>
      <c r="M74" s="72">
        <v>7000</v>
      </c>
      <c r="N74" s="72">
        <v>7373.85</v>
      </c>
      <c r="O74" s="73">
        <v>27</v>
      </c>
      <c r="P74" s="73">
        <v>12</v>
      </c>
      <c r="Q74" s="70" t="s">
        <v>496</v>
      </c>
      <c r="R74" s="72">
        <v>919.56000000000006</v>
      </c>
      <c r="S74" s="72">
        <v>696</v>
      </c>
      <c r="T74" s="72">
        <v>1375.81</v>
      </c>
      <c r="U74" s="72">
        <v>7</v>
      </c>
      <c r="V74" s="72">
        <v>2</v>
      </c>
      <c r="W74" s="72">
        <v>4301.41</v>
      </c>
      <c r="X74" s="72">
        <v>3156.924438</v>
      </c>
      <c r="Y74" s="72">
        <v>1228.97</v>
      </c>
      <c r="Z74" s="72">
        <v>494.14</v>
      </c>
      <c r="AA74" s="72">
        <v>58</v>
      </c>
      <c r="AB74" s="72">
        <v>1375.81</v>
      </c>
      <c r="AC74" s="72">
        <v>1000</v>
      </c>
      <c r="AD74" s="71">
        <v>45936</v>
      </c>
      <c r="AE74" s="70" t="s">
        <v>69</v>
      </c>
      <c r="AF74" s="70" t="s">
        <v>1529</v>
      </c>
      <c r="AG74" s="70" t="s">
        <v>1349</v>
      </c>
      <c r="AI74" s="70" t="s">
        <v>86</v>
      </c>
      <c r="AJ74" s="70" t="s">
        <v>87</v>
      </c>
      <c r="AK74" s="70" t="s">
        <v>1350</v>
      </c>
      <c r="AM74" s="70" t="s">
        <v>1351</v>
      </c>
      <c r="AN74" s="70" t="s">
        <v>1530</v>
      </c>
      <c r="AO74" s="70" t="s">
        <v>1352</v>
      </c>
      <c r="AP74" s="70" t="s">
        <v>1531</v>
      </c>
      <c r="AQ74" s="70" t="s">
        <v>1353</v>
      </c>
      <c r="AR74" s="70" t="s">
        <v>1532</v>
      </c>
      <c r="AY74" s="72">
        <v>7464.7300000000005</v>
      </c>
      <c r="AZ74" s="72">
        <v>0</v>
      </c>
      <c r="BA74" s="70" t="s">
        <v>67</v>
      </c>
      <c r="BB74" s="70" t="s">
        <v>1044</v>
      </c>
      <c r="BC74" s="70" t="s">
        <v>1354</v>
      </c>
      <c r="BD74" s="70" t="s">
        <v>1355</v>
      </c>
      <c r="BE74" s="70" t="s">
        <v>74</v>
      </c>
      <c r="BF74" s="70" t="s">
        <v>1356</v>
      </c>
      <c r="BG74" s="70" t="s">
        <v>1357</v>
      </c>
      <c r="BH74" s="60" t="str">
        <f t="shared" si="1"/>
        <v>Ver en Mapa</v>
      </c>
      <c r="BK74" s="70">
        <v>5</v>
      </c>
      <c r="BL74" s="70">
        <v>4</v>
      </c>
      <c r="BM74" s="70" t="s">
        <v>2847</v>
      </c>
    </row>
    <row r="75" spans="1:65" s="68" customFormat="1" ht="14.4" customHeight="1" x14ac:dyDescent="0.3">
      <c r="A75" s="70" t="str">
        <f>H75</f>
        <v>001030</v>
      </c>
      <c r="B75" s="70" t="s">
        <v>61</v>
      </c>
      <c r="C75" s="70" t="s">
        <v>62</v>
      </c>
      <c r="D75" s="70" t="s">
        <v>183</v>
      </c>
      <c r="E75" s="70" t="s">
        <v>184</v>
      </c>
      <c r="F75" s="70" t="s">
        <v>2848</v>
      </c>
      <c r="G75" s="70" t="s">
        <v>2849</v>
      </c>
      <c r="H75" s="70" t="s">
        <v>1406</v>
      </c>
      <c r="I75" s="70" t="s">
        <v>76</v>
      </c>
      <c r="J75" s="70" t="s">
        <v>149</v>
      </c>
      <c r="K75" s="71">
        <v>45553</v>
      </c>
      <c r="L75" s="71">
        <v>46099</v>
      </c>
      <c r="M75" s="72">
        <v>80000</v>
      </c>
      <c r="N75" s="72">
        <v>84272.62</v>
      </c>
      <c r="O75" s="73">
        <v>26</v>
      </c>
      <c r="P75" s="73">
        <v>18</v>
      </c>
      <c r="Q75" s="70" t="s">
        <v>68</v>
      </c>
      <c r="R75" s="72">
        <v>9747.24</v>
      </c>
      <c r="S75" s="72">
        <v>1044</v>
      </c>
      <c r="T75" s="72">
        <v>580</v>
      </c>
      <c r="U75" s="72">
        <v>0</v>
      </c>
      <c r="V75" s="72">
        <v>1</v>
      </c>
      <c r="W75" s="72">
        <v>48602.3</v>
      </c>
      <c r="X75" s="72">
        <v>10313.960000000001</v>
      </c>
      <c r="Y75" s="72">
        <v>5266.43</v>
      </c>
      <c r="Z75" s="72">
        <v>4422.8100000000004</v>
      </c>
      <c r="AA75" s="72">
        <v>44.72</v>
      </c>
      <c r="AB75" s="72">
        <v>580</v>
      </c>
      <c r="AC75" s="72">
        <v>10340</v>
      </c>
      <c r="AD75" s="71">
        <v>45911</v>
      </c>
      <c r="AE75" s="70" t="s">
        <v>69</v>
      </c>
      <c r="AF75" s="70" t="s">
        <v>1407</v>
      </c>
      <c r="AG75" s="70" t="s">
        <v>150</v>
      </c>
      <c r="AI75" s="70" t="s">
        <v>151</v>
      </c>
      <c r="AJ75" s="70" t="s">
        <v>1408</v>
      </c>
      <c r="AM75" s="70" t="s">
        <v>713</v>
      </c>
      <c r="AN75" s="70" t="s">
        <v>1409</v>
      </c>
      <c r="AO75" s="70" t="s">
        <v>711</v>
      </c>
      <c r="AP75" s="70" t="s">
        <v>1409</v>
      </c>
      <c r="AQ75" s="70" t="s">
        <v>712</v>
      </c>
      <c r="AR75" s="70" t="s">
        <v>1410</v>
      </c>
      <c r="AY75" s="72">
        <v>53649.83</v>
      </c>
      <c r="AZ75" s="72">
        <v>0</v>
      </c>
      <c r="BA75" s="70" t="s">
        <v>67</v>
      </c>
      <c r="BB75" s="70" t="s">
        <v>72</v>
      </c>
      <c r="BC75" s="70" t="s">
        <v>2876</v>
      </c>
      <c r="BD75" s="70" t="s">
        <v>88</v>
      </c>
      <c r="BE75" s="70" t="s">
        <v>74</v>
      </c>
      <c r="BF75" s="70" t="s">
        <v>75</v>
      </c>
      <c r="BH75" s="60" t="str">
        <f t="shared" si="1"/>
        <v>Ver en Mapa</v>
      </c>
      <c r="BK75" s="70">
        <v>5</v>
      </c>
      <c r="BL75" s="70">
        <v>3</v>
      </c>
      <c r="BM75" s="70" t="s">
        <v>2847</v>
      </c>
    </row>
    <row r="76" spans="1:65" s="68" customFormat="1" ht="14.4" customHeight="1" x14ac:dyDescent="0.3">
      <c r="A76" s="70" t="str">
        <f>H76</f>
        <v>001492</v>
      </c>
      <c r="B76" s="70" t="s">
        <v>61</v>
      </c>
      <c r="C76" s="70" t="s">
        <v>273</v>
      </c>
      <c r="D76" s="70" t="s">
        <v>1533</v>
      </c>
      <c r="E76" s="70" t="s">
        <v>599</v>
      </c>
      <c r="F76" s="70" t="s">
        <v>2785</v>
      </c>
      <c r="G76" s="70" t="s">
        <v>2786</v>
      </c>
      <c r="H76" s="70" t="s">
        <v>2417</v>
      </c>
      <c r="I76" s="70" t="s">
        <v>67</v>
      </c>
      <c r="J76" s="70" t="s">
        <v>1602</v>
      </c>
      <c r="K76" s="71">
        <v>45848</v>
      </c>
      <c r="L76" s="71">
        <v>46016</v>
      </c>
      <c r="M76" s="72">
        <v>5000</v>
      </c>
      <c r="N76" s="72">
        <v>5267.04</v>
      </c>
      <c r="O76" s="73">
        <v>26</v>
      </c>
      <c r="P76" s="73">
        <v>12</v>
      </c>
      <c r="Q76" s="70" t="s">
        <v>496</v>
      </c>
      <c r="R76" s="72">
        <v>673.4</v>
      </c>
      <c r="S76" s="72">
        <v>696</v>
      </c>
      <c r="T76" s="72">
        <v>1160</v>
      </c>
      <c r="U76" s="72">
        <v>6</v>
      </c>
      <c r="V76" s="72">
        <v>2</v>
      </c>
      <c r="W76" s="72">
        <v>3511.36</v>
      </c>
      <c r="X76" s="72">
        <v>2504.41</v>
      </c>
      <c r="Y76" s="72">
        <v>877.84</v>
      </c>
      <c r="Z76" s="72">
        <v>352.97</v>
      </c>
      <c r="AA76" s="72">
        <v>113.60000000000001</v>
      </c>
      <c r="AB76" s="72">
        <v>1160</v>
      </c>
      <c r="AC76" s="72">
        <v>674</v>
      </c>
      <c r="AD76" s="71">
        <v>45904</v>
      </c>
      <c r="AE76" s="70" t="s">
        <v>69</v>
      </c>
      <c r="AF76" s="70" t="s">
        <v>2418</v>
      </c>
      <c r="AG76" s="70" t="s">
        <v>1603</v>
      </c>
      <c r="AI76" s="70" t="s">
        <v>89</v>
      </c>
      <c r="AJ76" s="70" t="s">
        <v>90</v>
      </c>
      <c r="AK76" s="70" t="s">
        <v>1604</v>
      </c>
      <c r="AM76" s="70" t="s">
        <v>1605</v>
      </c>
      <c r="AN76" s="70" t="s">
        <v>2419</v>
      </c>
      <c r="AO76" s="70" t="s">
        <v>1606</v>
      </c>
      <c r="AP76" s="70" t="s">
        <v>2418</v>
      </c>
      <c r="AQ76" s="70" t="s">
        <v>1607</v>
      </c>
      <c r="AR76" s="70" t="s">
        <v>2420</v>
      </c>
      <c r="AY76" s="72">
        <v>6196.81</v>
      </c>
      <c r="AZ76" s="72">
        <v>0</v>
      </c>
      <c r="BA76" s="70" t="s">
        <v>67</v>
      </c>
      <c r="BB76" s="70" t="s">
        <v>1044</v>
      </c>
      <c r="BC76" s="70" t="s">
        <v>3058</v>
      </c>
      <c r="BD76" s="70" t="s">
        <v>1608</v>
      </c>
      <c r="BE76" s="70" t="s">
        <v>74</v>
      </c>
      <c r="BF76" s="70" t="s">
        <v>273</v>
      </c>
      <c r="BG76" s="70" t="s">
        <v>1609</v>
      </c>
      <c r="BH76" s="60" t="str">
        <f t="shared" si="1"/>
        <v>Ver en Mapa</v>
      </c>
      <c r="BK76" s="70">
        <v>2</v>
      </c>
      <c r="BL76" s="70">
        <v>2</v>
      </c>
      <c r="BM76" s="70" t="s">
        <v>2847</v>
      </c>
    </row>
    <row r="77" spans="1:65" s="68" customFormat="1" ht="14.4" customHeight="1" x14ac:dyDescent="0.3">
      <c r="A77" s="70" t="str">
        <f>H77</f>
        <v>001420</v>
      </c>
      <c r="B77" s="70" t="s">
        <v>61</v>
      </c>
      <c r="C77" s="70" t="s">
        <v>194</v>
      </c>
      <c r="D77" s="70" t="s">
        <v>588</v>
      </c>
      <c r="E77" s="70" t="s">
        <v>589</v>
      </c>
      <c r="F77" s="70" t="s">
        <v>590</v>
      </c>
      <c r="G77" s="70" t="s">
        <v>2763</v>
      </c>
      <c r="H77" s="70" t="s">
        <v>2108</v>
      </c>
      <c r="I77" s="70" t="s">
        <v>67</v>
      </c>
      <c r="J77" s="70" t="s">
        <v>1235</v>
      </c>
      <c r="K77" s="71">
        <v>45827</v>
      </c>
      <c r="L77" s="71">
        <v>46192</v>
      </c>
      <c r="M77" s="72">
        <v>25000</v>
      </c>
      <c r="N77" s="72">
        <v>26335.190000000002</v>
      </c>
      <c r="O77" s="73">
        <v>25</v>
      </c>
      <c r="P77" s="73">
        <v>12</v>
      </c>
      <c r="Q77" s="70" t="s">
        <v>68</v>
      </c>
      <c r="R77" s="72">
        <v>4169.7300000000005</v>
      </c>
      <c r="S77" s="72">
        <v>696</v>
      </c>
      <c r="T77" s="72">
        <v>580</v>
      </c>
      <c r="U77" s="72">
        <v>0</v>
      </c>
      <c r="V77" s="72">
        <v>1</v>
      </c>
      <c r="W77" s="72">
        <v>21945.99</v>
      </c>
      <c r="X77" s="72">
        <v>4749.1875</v>
      </c>
      <c r="Y77" s="72">
        <v>2194.6</v>
      </c>
      <c r="Z77" s="72">
        <v>1917.13</v>
      </c>
      <c r="AA77" s="72">
        <v>57.46</v>
      </c>
      <c r="AB77" s="72">
        <v>580</v>
      </c>
      <c r="AC77" s="72">
        <v>4140</v>
      </c>
      <c r="AD77" s="71">
        <v>45888</v>
      </c>
      <c r="AE77" s="70" t="s">
        <v>69</v>
      </c>
      <c r="AF77" s="70" t="s">
        <v>2109</v>
      </c>
      <c r="AG77" s="70" t="s">
        <v>1236</v>
      </c>
      <c r="AI77" s="70" t="s">
        <v>86</v>
      </c>
      <c r="AJ77" s="70" t="s">
        <v>87</v>
      </c>
      <c r="AK77" s="70" t="s">
        <v>1237</v>
      </c>
      <c r="AM77" s="70" t="s">
        <v>1238</v>
      </c>
      <c r="AN77" s="70" t="s">
        <v>2109</v>
      </c>
      <c r="AO77" s="70" t="s">
        <v>1239</v>
      </c>
      <c r="AP77" s="70" t="s">
        <v>2110</v>
      </c>
      <c r="AQ77" s="70" t="s">
        <v>1240</v>
      </c>
      <c r="AR77" s="70" t="s">
        <v>2111</v>
      </c>
      <c r="AY77" s="72">
        <v>41754.730000000003</v>
      </c>
      <c r="AZ77" s="72">
        <v>0</v>
      </c>
      <c r="BA77" s="70" t="s">
        <v>67</v>
      </c>
      <c r="BB77" s="70" t="s">
        <v>1044</v>
      </c>
      <c r="BC77" s="70" t="s">
        <v>2884</v>
      </c>
      <c r="BD77" s="70" t="s">
        <v>503</v>
      </c>
      <c r="BE77" s="70" t="s">
        <v>74</v>
      </c>
      <c r="BF77" s="70" t="s">
        <v>503</v>
      </c>
      <c r="BG77" s="70" t="s">
        <v>1241</v>
      </c>
      <c r="BH77" s="60" t="str">
        <f t="shared" si="1"/>
        <v>Ver en Mapa</v>
      </c>
      <c r="BK77" s="70">
        <v>1</v>
      </c>
      <c r="BL77" s="70">
        <v>1</v>
      </c>
      <c r="BM77" s="70" t="s">
        <v>2847</v>
      </c>
    </row>
    <row r="78" spans="1:65" s="68" customFormat="1" ht="14.4" customHeight="1" x14ac:dyDescent="0.3">
      <c r="A78" s="70" t="str">
        <f>H78</f>
        <v>001807</v>
      </c>
      <c r="B78" s="70" t="s">
        <v>61</v>
      </c>
      <c r="C78" s="70" t="s">
        <v>194</v>
      </c>
      <c r="D78" s="70" t="s">
        <v>588</v>
      </c>
      <c r="E78" s="70" t="s">
        <v>589</v>
      </c>
      <c r="F78" s="70" t="s">
        <v>2800</v>
      </c>
      <c r="G78" s="70" t="s">
        <v>2801</v>
      </c>
      <c r="H78" s="70" t="s">
        <v>2787</v>
      </c>
      <c r="I78" s="70" t="s">
        <v>67</v>
      </c>
      <c r="J78" s="70" t="s">
        <v>2788</v>
      </c>
      <c r="K78" s="71">
        <v>45891</v>
      </c>
      <c r="L78" s="71">
        <v>46059</v>
      </c>
      <c r="M78" s="72">
        <v>10000</v>
      </c>
      <c r="N78" s="72">
        <v>10534.08</v>
      </c>
      <c r="O78" s="73">
        <v>25</v>
      </c>
      <c r="P78" s="73">
        <v>12</v>
      </c>
      <c r="Q78" s="70" t="s">
        <v>496</v>
      </c>
      <c r="R78" s="72">
        <v>1288.8</v>
      </c>
      <c r="S78" s="72">
        <v>696</v>
      </c>
      <c r="T78" s="72">
        <v>1160</v>
      </c>
      <c r="U78" s="72">
        <v>3</v>
      </c>
      <c r="V78" s="72">
        <v>2</v>
      </c>
      <c r="W78" s="72">
        <v>9656.24</v>
      </c>
      <c r="X78" s="72">
        <v>3737.61</v>
      </c>
      <c r="Y78" s="72">
        <v>1755.68</v>
      </c>
      <c r="Z78" s="72">
        <v>705.93000000000006</v>
      </c>
      <c r="AA78" s="72">
        <v>116</v>
      </c>
      <c r="AB78" s="72">
        <v>1160</v>
      </c>
      <c r="AC78" s="72">
        <v>1288.8</v>
      </c>
      <c r="AD78" s="71">
        <v>45905</v>
      </c>
      <c r="AE78" s="70" t="s">
        <v>69</v>
      </c>
      <c r="AF78" s="70" t="s">
        <v>2789</v>
      </c>
      <c r="AG78" s="70" t="s">
        <v>2790</v>
      </c>
      <c r="AI78" s="70" t="s">
        <v>481</v>
      </c>
      <c r="AJ78" s="70" t="s">
        <v>482</v>
      </c>
      <c r="AK78" s="70" t="s">
        <v>2791</v>
      </c>
      <c r="AM78" s="70" t="s">
        <v>2792</v>
      </c>
      <c r="AN78" s="70" t="s">
        <v>2793</v>
      </c>
      <c r="AO78" s="70" t="s">
        <v>2794</v>
      </c>
      <c r="AP78" s="70" t="s">
        <v>2795</v>
      </c>
      <c r="AQ78" s="70" t="s">
        <v>2796</v>
      </c>
      <c r="AR78" s="70" t="s">
        <v>2797</v>
      </c>
      <c r="AY78" s="72">
        <v>14814.82</v>
      </c>
      <c r="AZ78" s="72">
        <v>0</v>
      </c>
      <c r="BA78" s="70" t="s">
        <v>67</v>
      </c>
      <c r="BB78" s="70" t="s">
        <v>1044</v>
      </c>
      <c r="BC78" s="70" t="s">
        <v>2895</v>
      </c>
      <c r="BD78" s="70" t="s">
        <v>2798</v>
      </c>
      <c r="BE78" s="70" t="s">
        <v>74</v>
      </c>
      <c r="BF78" s="70" t="s">
        <v>194</v>
      </c>
      <c r="BG78" s="70" t="s">
        <v>2799</v>
      </c>
      <c r="BH78" s="60" t="str">
        <f t="shared" si="1"/>
        <v>Ver en Mapa</v>
      </c>
      <c r="BK78" s="70">
        <v>2</v>
      </c>
      <c r="BL78" s="70">
        <v>2</v>
      </c>
      <c r="BM78" s="70" t="s">
        <v>2847</v>
      </c>
    </row>
    <row r="79" spans="1:65" s="68" customFormat="1" ht="14.4" customHeight="1" x14ac:dyDescent="0.3">
      <c r="A79" s="70" t="str">
        <f>H79</f>
        <v>001109</v>
      </c>
      <c r="B79" s="70" t="s">
        <v>61</v>
      </c>
      <c r="C79" s="70" t="s">
        <v>273</v>
      </c>
      <c r="D79" s="70" t="s">
        <v>2405</v>
      </c>
      <c r="E79" s="70" t="s">
        <v>1023</v>
      </c>
      <c r="F79" s="70" t="s">
        <v>2785</v>
      </c>
      <c r="G79" s="70" t="s">
        <v>2786</v>
      </c>
      <c r="H79" s="70" t="s">
        <v>2406</v>
      </c>
      <c r="I79" s="70" t="s">
        <v>76</v>
      </c>
      <c r="J79" s="70" t="s">
        <v>601</v>
      </c>
      <c r="K79" s="71">
        <v>45796</v>
      </c>
      <c r="L79" s="71">
        <v>45980</v>
      </c>
      <c r="M79" s="72">
        <v>50000</v>
      </c>
      <c r="N79" s="72">
        <v>52670.39</v>
      </c>
      <c r="O79" s="73">
        <v>25</v>
      </c>
      <c r="P79" s="73">
        <v>6</v>
      </c>
      <c r="Q79" s="70" t="s">
        <v>68</v>
      </c>
      <c r="R79" s="72">
        <v>11727.65</v>
      </c>
      <c r="S79" s="72">
        <v>348</v>
      </c>
      <c r="T79" s="72">
        <v>580</v>
      </c>
      <c r="U79" s="72">
        <v>0</v>
      </c>
      <c r="V79" s="72">
        <v>1</v>
      </c>
      <c r="W79" s="72">
        <v>26335.190000000002</v>
      </c>
      <c r="X79" s="72">
        <v>12306.3364336</v>
      </c>
      <c r="Y79" s="72">
        <v>8778.39</v>
      </c>
      <c r="Z79" s="72">
        <v>2891.25</v>
      </c>
      <c r="AA79" s="72">
        <v>56.69</v>
      </c>
      <c r="AB79" s="72">
        <v>580</v>
      </c>
      <c r="AC79" s="72">
        <v>12308</v>
      </c>
      <c r="AD79" s="71">
        <v>45897</v>
      </c>
      <c r="AE79" s="70" t="s">
        <v>69</v>
      </c>
      <c r="AF79" s="70" t="s">
        <v>2407</v>
      </c>
      <c r="AG79" s="70" t="s">
        <v>602</v>
      </c>
      <c r="AI79" s="70" t="s">
        <v>603</v>
      </c>
      <c r="AJ79" s="70" t="s">
        <v>2408</v>
      </c>
      <c r="AK79" s="70" t="s">
        <v>604</v>
      </c>
      <c r="AM79" s="70" t="s">
        <v>934</v>
      </c>
      <c r="AN79" s="70" t="s">
        <v>2409</v>
      </c>
      <c r="AO79" s="70" t="s">
        <v>933</v>
      </c>
      <c r="AP79" s="70" t="s">
        <v>2410</v>
      </c>
      <c r="AQ79" s="70" t="s">
        <v>1297</v>
      </c>
      <c r="AR79" s="70" t="s">
        <v>2411</v>
      </c>
      <c r="AS79" s="70" t="s">
        <v>122</v>
      </c>
      <c r="AT79" s="68" t="s">
        <v>605</v>
      </c>
      <c r="AU79" s="70" t="s">
        <v>606</v>
      </c>
      <c r="AY79" s="72">
        <v>35645.64</v>
      </c>
      <c r="AZ79" s="72">
        <v>0</v>
      </c>
      <c r="BA79" s="70" t="s">
        <v>67</v>
      </c>
      <c r="BB79" s="70" t="s">
        <v>1044</v>
      </c>
      <c r="BC79" s="70" t="s">
        <v>3056</v>
      </c>
      <c r="BD79" s="70" t="s">
        <v>607</v>
      </c>
      <c r="BE79" s="70" t="s">
        <v>74</v>
      </c>
      <c r="BF79" s="70" t="s">
        <v>296</v>
      </c>
      <c r="BH79" s="60" t="str">
        <f t="shared" si="1"/>
        <v>Ver en Mapa</v>
      </c>
      <c r="BK79" s="70">
        <v>2</v>
      </c>
      <c r="BL79" s="70">
        <v>2</v>
      </c>
      <c r="BM79" s="70" t="s">
        <v>2847</v>
      </c>
    </row>
    <row r="80" spans="1:65" s="68" customFormat="1" ht="14.4" customHeight="1" x14ac:dyDescent="0.3">
      <c r="A80" s="70" t="str">
        <f>H80</f>
        <v>001330</v>
      </c>
      <c r="B80" s="70" t="s">
        <v>61</v>
      </c>
      <c r="C80" s="70" t="s">
        <v>62</v>
      </c>
      <c r="D80" s="70" t="s">
        <v>1429</v>
      </c>
      <c r="E80" s="70" t="s">
        <v>617</v>
      </c>
      <c r="F80" s="70" t="s">
        <v>2848</v>
      </c>
      <c r="G80" s="70" t="s">
        <v>2849</v>
      </c>
      <c r="H80" s="70" t="s">
        <v>1950</v>
      </c>
      <c r="I80" s="70" t="s">
        <v>67</v>
      </c>
      <c r="J80" s="70" t="s">
        <v>618</v>
      </c>
      <c r="K80" s="71">
        <v>45798</v>
      </c>
      <c r="L80" s="71">
        <v>46163</v>
      </c>
      <c r="M80" s="72">
        <v>10000</v>
      </c>
      <c r="N80" s="72">
        <v>10534.08</v>
      </c>
      <c r="O80" s="73">
        <v>22</v>
      </c>
      <c r="P80" s="73">
        <v>12</v>
      </c>
      <c r="Q80" s="70" t="s">
        <v>68</v>
      </c>
      <c r="R80" s="72">
        <v>1702.69</v>
      </c>
      <c r="S80" s="72">
        <v>696</v>
      </c>
      <c r="T80" s="72">
        <v>0</v>
      </c>
      <c r="U80" s="72">
        <v>0</v>
      </c>
      <c r="V80" s="72">
        <v>0.3</v>
      </c>
      <c r="W80" s="72">
        <v>7595.41</v>
      </c>
      <c r="X80" s="72">
        <v>572.69000000000005</v>
      </c>
      <c r="Y80" s="72">
        <v>572.69000000000005</v>
      </c>
      <c r="Z80" s="72">
        <v>0</v>
      </c>
      <c r="AA80" s="72">
        <v>0</v>
      </c>
      <c r="AB80" s="72">
        <v>0</v>
      </c>
      <c r="AC80" s="72">
        <v>1710</v>
      </c>
      <c r="AD80" s="71">
        <v>45933</v>
      </c>
      <c r="AE80" s="70" t="s">
        <v>69</v>
      </c>
      <c r="AF80" s="70" t="s">
        <v>1951</v>
      </c>
      <c r="AG80" s="70" t="s">
        <v>619</v>
      </c>
      <c r="AI80" s="70" t="s">
        <v>393</v>
      </c>
      <c r="AJ80" s="70" t="s">
        <v>394</v>
      </c>
      <c r="AM80" s="70" t="s">
        <v>775</v>
      </c>
      <c r="AN80" s="70" t="s">
        <v>1952</v>
      </c>
      <c r="AO80" s="70" t="s">
        <v>773</v>
      </c>
      <c r="AP80" s="70" t="s">
        <v>1953</v>
      </c>
      <c r="AQ80" s="70" t="s">
        <v>774</v>
      </c>
      <c r="AR80" s="70" t="s">
        <v>1954</v>
      </c>
      <c r="AY80" s="72">
        <v>13730.220000000001</v>
      </c>
      <c r="AZ80" s="72">
        <v>0</v>
      </c>
      <c r="BA80" s="70" t="s">
        <v>67</v>
      </c>
      <c r="BB80" s="70" t="s">
        <v>1044</v>
      </c>
      <c r="BC80" s="70" t="s">
        <v>2865</v>
      </c>
      <c r="BD80" s="70" t="s">
        <v>337</v>
      </c>
      <c r="BE80" s="70" t="s">
        <v>74</v>
      </c>
      <c r="BF80" s="70" t="s">
        <v>338</v>
      </c>
      <c r="BH80" s="60" t="str">
        <f t="shared" si="1"/>
        <v>Ver en Mapa</v>
      </c>
      <c r="BK80" s="70">
        <v>2</v>
      </c>
      <c r="BL80" s="70">
        <v>2</v>
      </c>
      <c r="BM80" s="70" t="s">
        <v>2847</v>
      </c>
    </row>
    <row r="81" spans="1:65" s="68" customFormat="1" ht="14.4" customHeight="1" x14ac:dyDescent="0.3">
      <c r="A81" s="70" t="str">
        <f>H81</f>
        <v>001164</v>
      </c>
      <c r="B81" s="70" t="s">
        <v>61</v>
      </c>
      <c r="C81" s="70" t="s">
        <v>62</v>
      </c>
      <c r="D81" s="70" t="s">
        <v>183</v>
      </c>
      <c r="E81" s="70" t="s">
        <v>184</v>
      </c>
      <c r="F81" s="70" t="s">
        <v>2848</v>
      </c>
      <c r="G81" s="70" t="s">
        <v>2849</v>
      </c>
      <c r="H81" s="70" t="s">
        <v>173</v>
      </c>
      <c r="I81" s="70" t="s">
        <v>67</v>
      </c>
      <c r="J81" s="70" t="s">
        <v>174</v>
      </c>
      <c r="K81" s="71">
        <v>45678</v>
      </c>
      <c r="L81" s="71">
        <v>46043</v>
      </c>
      <c r="M81" s="72">
        <v>20000</v>
      </c>
      <c r="N81" s="72">
        <v>21068.16</v>
      </c>
      <c r="O81" s="73">
        <v>22</v>
      </c>
      <c r="P81" s="73">
        <v>12</v>
      </c>
      <c r="Q81" s="70" t="s">
        <v>68</v>
      </c>
      <c r="R81" s="72">
        <v>3015.02</v>
      </c>
      <c r="S81" s="72">
        <v>696</v>
      </c>
      <c r="T81" s="72">
        <v>580</v>
      </c>
      <c r="U81" s="72">
        <v>0</v>
      </c>
      <c r="V81" s="72">
        <v>0.2</v>
      </c>
      <c r="W81" s="72">
        <v>10222.219999999999</v>
      </c>
      <c r="X81" s="72">
        <v>1243.28</v>
      </c>
      <c r="Y81" s="72">
        <v>663.28</v>
      </c>
      <c r="Z81" s="72">
        <v>0</v>
      </c>
      <c r="AA81" s="72">
        <v>0</v>
      </c>
      <c r="AB81" s="72">
        <v>580</v>
      </c>
      <c r="AC81" s="72">
        <v>3500</v>
      </c>
      <c r="AD81" s="71">
        <v>45938</v>
      </c>
      <c r="AE81" s="70" t="s">
        <v>69</v>
      </c>
      <c r="AF81" s="70" t="s">
        <v>175</v>
      </c>
      <c r="AG81" s="70" t="s">
        <v>176</v>
      </c>
      <c r="AI81" s="70" t="s">
        <v>177</v>
      </c>
      <c r="AJ81" s="70" t="s">
        <v>178</v>
      </c>
      <c r="AK81" s="70" t="s">
        <v>179</v>
      </c>
      <c r="AL81" s="70" t="s">
        <v>175</v>
      </c>
      <c r="AM81" s="70" t="s">
        <v>729</v>
      </c>
      <c r="AN81" s="70" t="s">
        <v>1249</v>
      </c>
      <c r="AO81" s="70" t="s">
        <v>726</v>
      </c>
      <c r="AP81" s="70" t="s">
        <v>727</v>
      </c>
      <c r="AQ81" s="70" t="s">
        <v>728</v>
      </c>
      <c r="AR81" s="70" t="s">
        <v>1250</v>
      </c>
      <c r="AS81" s="70" t="s">
        <v>122</v>
      </c>
      <c r="AT81" s="68" t="s">
        <v>180</v>
      </c>
      <c r="AU81" s="70" t="s">
        <v>181</v>
      </c>
      <c r="AY81" s="72">
        <v>10802.22</v>
      </c>
      <c r="AZ81" s="72">
        <v>0</v>
      </c>
      <c r="BA81" s="70" t="s">
        <v>135</v>
      </c>
      <c r="BB81" s="70" t="s">
        <v>136</v>
      </c>
      <c r="BC81" s="70" t="s">
        <v>182</v>
      </c>
      <c r="BD81" s="70" t="s">
        <v>88</v>
      </c>
      <c r="BE81" s="70" t="s">
        <v>74</v>
      </c>
      <c r="BF81" s="70" t="s">
        <v>75</v>
      </c>
      <c r="BH81" s="60" t="str">
        <f t="shared" si="1"/>
        <v>Ver en Mapa</v>
      </c>
      <c r="BK81" s="70">
        <v>4</v>
      </c>
      <c r="BL81" s="70">
        <v>4</v>
      </c>
      <c r="BM81" s="70" t="s">
        <v>2847</v>
      </c>
    </row>
    <row r="82" spans="1:65" s="68" customFormat="1" ht="14.4" customHeight="1" x14ac:dyDescent="0.3">
      <c r="A82" s="70" t="str">
        <f>H82</f>
        <v>001619</v>
      </c>
      <c r="B82" s="70" t="s">
        <v>61</v>
      </c>
      <c r="C82" s="70" t="s">
        <v>194</v>
      </c>
      <c r="D82" s="70" t="s">
        <v>594</v>
      </c>
      <c r="E82" s="70" t="s">
        <v>595</v>
      </c>
      <c r="F82" s="70" t="s">
        <v>2800</v>
      </c>
      <c r="G82" s="70" t="s">
        <v>2801</v>
      </c>
      <c r="H82" s="70" t="s">
        <v>2112</v>
      </c>
      <c r="I82" s="70" t="s">
        <v>67</v>
      </c>
      <c r="J82" s="70" t="s">
        <v>1713</v>
      </c>
      <c r="K82" s="71">
        <v>45860</v>
      </c>
      <c r="L82" s="71">
        <v>46044</v>
      </c>
      <c r="M82" s="72">
        <v>5000</v>
      </c>
      <c r="N82" s="72">
        <v>5267.04</v>
      </c>
      <c r="O82" s="73">
        <v>22</v>
      </c>
      <c r="P82" s="73">
        <v>6</v>
      </c>
      <c r="Q82" s="70" t="s">
        <v>68</v>
      </c>
      <c r="R82" s="72">
        <v>1322.42</v>
      </c>
      <c r="S82" s="72">
        <v>348</v>
      </c>
      <c r="T82" s="72">
        <v>0</v>
      </c>
      <c r="U82" s="72">
        <v>0</v>
      </c>
      <c r="V82" s="72">
        <v>0.5</v>
      </c>
      <c r="W82" s="72">
        <v>4090.19</v>
      </c>
      <c r="X82" s="72">
        <v>578.83465386666705</v>
      </c>
      <c r="Y82" s="72">
        <v>578.83000000000004</v>
      </c>
      <c r="Z82" s="72">
        <v>0</v>
      </c>
      <c r="AA82" s="72">
        <v>0</v>
      </c>
      <c r="AB82" s="72">
        <v>0</v>
      </c>
      <c r="AC82" s="72">
        <v>580</v>
      </c>
      <c r="AD82" s="71">
        <v>45933</v>
      </c>
      <c r="AE82" s="70" t="s">
        <v>69</v>
      </c>
      <c r="AF82" s="70" t="s">
        <v>2113</v>
      </c>
      <c r="AG82" s="70" t="s">
        <v>1714</v>
      </c>
      <c r="AI82" s="70" t="s">
        <v>1201</v>
      </c>
      <c r="AJ82" s="70" t="s">
        <v>2049</v>
      </c>
      <c r="AM82" s="70" t="s">
        <v>1715</v>
      </c>
      <c r="AN82" s="70" t="s">
        <v>2114</v>
      </c>
      <c r="AO82" s="70" t="s">
        <v>1716</v>
      </c>
      <c r="AP82" s="70" t="s">
        <v>2115</v>
      </c>
      <c r="AQ82" s="70" t="s">
        <v>1717</v>
      </c>
      <c r="AR82" s="70" t="s">
        <v>2116</v>
      </c>
      <c r="AY82" s="72">
        <v>5636.5</v>
      </c>
      <c r="AZ82" s="72">
        <v>0</v>
      </c>
      <c r="BA82" s="70" t="s">
        <v>67</v>
      </c>
      <c r="BB82" s="70" t="s">
        <v>1044</v>
      </c>
      <c r="BC82" s="70" t="s">
        <v>2904</v>
      </c>
      <c r="BD82" s="70" t="s">
        <v>1718</v>
      </c>
      <c r="BE82" s="70" t="s">
        <v>74</v>
      </c>
      <c r="BF82" s="70" t="s">
        <v>194</v>
      </c>
      <c r="BG82" s="70" t="s">
        <v>1719</v>
      </c>
      <c r="BH82" s="60" t="str">
        <f t="shared" si="1"/>
        <v>Ver en Mapa</v>
      </c>
      <c r="BK82" s="70">
        <v>2</v>
      </c>
      <c r="BL82" s="70">
        <v>2</v>
      </c>
      <c r="BM82" s="70" t="s">
        <v>2847</v>
      </c>
    </row>
    <row r="83" spans="1:65" s="68" customFormat="1" ht="14.4" customHeight="1" x14ac:dyDescent="0.3">
      <c r="A83" s="70" t="str">
        <f>H83</f>
        <v>001071</v>
      </c>
      <c r="B83" s="70" t="s">
        <v>61</v>
      </c>
      <c r="C83" s="70" t="s">
        <v>205</v>
      </c>
      <c r="D83" s="70" t="s">
        <v>382</v>
      </c>
      <c r="E83" s="70" t="s">
        <v>383</v>
      </c>
      <c r="F83" s="70" t="s">
        <v>590</v>
      </c>
      <c r="G83" s="70" t="s">
        <v>2763</v>
      </c>
      <c r="H83" s="70" t="s">
        <v>252</v>
      </c>
      <c r="I83" s="70" t="s">
        <v>76</v>
      </c>
      <c r="J83" s="70" t="s">
        <v>253</v>
      </c>
      <c r="K83" s="71">
        <v>45737</v>
      </c>
      <c r="L83" s="71">
        <v>46102</v>
      </c>
      <c r="M83" s="72">
        <v>64000.01</v>
      </c>
      <c r="N83" s="72">
        <v>67418.100000000006</v>
      </c>
      <c r="O83" s="73">
        <v>22</v>
      </c>
      <c r="P83" s="73">
        <v>12</v>
      </c>
      <c r="Q83" s="70" t="s">
        <v>68</v>
      </c>
      <c r="R83" s="72">
        <v>9346.81</v>
      </c>
      <c r="S83" s="72">
        <v>696</v>
      </c>
      <c r="T83" s="72">
        <v>0</v>
      </c>
      <c r="U83" s="72">
        <v>0</v>
      </c>
      <c r="V83" s="72">
        <v>0.1</v>
      </c>
      <c r="W83" s="72">
        <v>34287.910000000003</v>
      </c>
      <c r="X83" s="72">
        <v>578.86</v>
      </c>
      <c r="Y83" s="72">
        <v>578.86</v>
      </c>
      <c r="Z83" s="72">
        <v>0</v>
      </c>
      <c r="AA83" s="72">
        <v>0</v>
      </c>
      <c r="AB83" s="72">
        <v>0</v>
      </c>
      <c r="AC83" s="72">
        <v>9347</v>
      </c>
      <c r="AD83" s="71">
        <v>45923</v>
      </c>
      <c r="AE83" s="70" t="s">
        <v>69</v>
      </c>
      <c r="AF83" s="70" t="s">
        <v>254</v>
      </c>
      <c r="AG83" s="70" t="s">
        <v>255</v>
      </c>
      <c r="AI83" s="70" t="s">
        <v>256</v>
      </c>
      <c r="AJ83" s="70" t="s">
        <v>257</v>
      </c>
      <c r="AK83" s="70" t="s">
        <v>258</v>
      </c>
      <c r="AM83" s="70" t="s">
        <v>897</v>
      </c>
      <c r="AN83" s="70" t="s">
        <v>1288</v>
      </c>
      <c r="AO83" s="70" t="s">
        <v>894</v>
      </c>
      <c r="AP83" s="70" t="s">
        <v>895</v>
      </c>
      <c r="AQ83" s="70" t="s">
        <v>896</v>
      </c>
      <c r="AR83" s="70" t="s">
        <v>1289</v>
      </c>
      <c r="AS83" s="70" t="s">
        <v>122</v>
      </c>
      <c r="AT83" s="68" t="s">
        <v>384</v>
      </c>
      <c r="AU83" s="70" t="s">
        <v>385</v>
      </c>
      <c r="AY83" s="72">
        <v>56311.72</v>
      </c>
      <c r="AZ83" s="72">
        <v>0</v>
      </c>
      <c r="BA83" s="70" t="s">
        <v>67</v>
      </c>
      <c r="BB83" s="70" t="s">
        <v>1044</v>
      </c>
      <c r="BC83" s="70" t="s">
        <v>3025</v>
      </c>
      <c r="BD83" s="70" t="s">
        <v>205</v>
      </c>
      <c r="BE83" s="70" t="s">
        <v>213</v>
      </c>
      <c r="BF83" s="70" t="s">
        <v>205</v>
      </c>
      <c r="BH83" s="60" t="str">
        <f t="shared" si="1"/>
        <v>Ver en Mapa</v>
      </c>
      <c r="BK83" s="70">
        <v>5</v>
      </c>
      <c r="BL83" s="70">
        <v>4</v>
      </c>
      <c r="BM83" s="70" t="s">
        <v>2847</v>
      </c>
    </row>
    <row r="84" spans="1:65" s="68" customFormat="1" ht="14.4" customHeight="1" x14ac:dyDescent="0.3">
      <c r="A84" s="70" t="str">
        <f>H84</f>
        <v>001426</v>
      </c>
      <c r="B84" s="70" t="s">
        <v>61</v>
      </c>
      <c r="C84" s="70" t="s">
        <v>273</v>
      </c>
      <c r="D84" s="70" t="s">
        <v>1533</v>
      </c>
      <c r="E84" s="70" t="s">
        <v>599</v>
      </c>
      <c r="F84" s="70" t="s">
        <v>590</v>
      </c>
      <c r="G84" s="70" t="s">
        <v>2763</v>
      </c>
      <c r="H84" s="70" t="s">
        <v>2455</v>
      </c>
      <c r="I84" s="70" t="s">
        <v>67</v>
      </c>
      <c r="J84" s="70" t="s">
        <v>1298</v>
      </c>
      <c r="K84" s="71">
        <v>45828</v>
      </c>
      <c r="L84" s="71">
        <v>46011</v>
      </c>
      <c r="M84" s="72">
        <v>10000</v>
      </c>
      <c r="N84" s="72">
        <v>10534.08</v>
      </c>
      <c r="O84" s="73">
        <v>22</v>
      </c>
      <c r="P84" s="73">
        <v>6</v>
      </c>
      <c r="Q84" s="70" t="s">
        <v>68</v>
      </c>
      <c r="R84" s="72">
        <v>2582.63</v>
      </c>
      <c r="S84" s="72">
        <v>348</v>
      </c>
      <c r="T84" s="72">
        <v>580</v>
      </c>
      <c r="U84" s="72">
        <v>0</v>
      </c>
      <c r="V84" s="72">
        <v>1</v>
      </c>
      <c r="W84" s="72">
        <v>7022.72</v>
      </c>
      <c r="X84" s="72">
        <v>3162.27</v>
      </c>
      <c r="Y84" s="72">
        <v>1755.68</v>
      </c>
      <c r="Z84" s="72">
        <v>768.95</v>
      </c>
      <c r="AA84" s="72">
        <v>57.64</v>
      </c>
      <c r="AB84" s="72">
        <v>580</v>
      </c>
      <c r="AC84" s="72">
        <v>3163</v>
      </c>
      <c r="AD84" s="71">
        <v>45890</v>
      </c>
      <c r="AE84" s="70" t="s">
        <v>69</v>
      </c>
      <c r="AF84" s="70" t="s">
        <v>2456</v>
      </c>
      <c r="AG84" s="70" t="s">
        <v>1299</v>
      </c>
      <c r="AI84" s="70" t="s">
        <v>526</v>
      </c>
      <c r="AJ84" s="70" t="s">
        <v>527</v>
      </c>
      <c r="AK84" s="70" t="s">
        <v>1321</v>
      </c>
      <c r="AM84" s="70" t="s">
        <v>1300</v>
      </c>
      <c r="AN84" s="70" t="s">
        <v>2457</v>
      </c>
      <c r="AO84" s="70" t="s">
        <v>1301</v>
      </c>
      <c r="AP84" s="70" t="s">
        <v>2458</v>
      </c>
      <c r="AQ84" s="70" t="s">
        <v>1302</v>
      </c>
      <c r="AR84" s="70" t="s">
        <v>2459</v>
      </c>
      <c r="AY84" s="72">
        <v>10736.17</v>
      </c>
      <c r="AZ84" s="72">
        <v>0</v>
      </c>
      <c r="BA84" s="70" t="s">
        <v>67</v>
      </c>
      <c r="BB84" s="70" t="s">
        <v>1044</v>
      </c>
      <c r="BC84" s="70" t="s">
        <v>3053</v>
      </c>
      <c r="BD84" s="70" t="s">
        <v>1303</v>
      </c>
      <c r="BE84" s="70" t="s">
        <v>74</v>
      </c>
      <c r="BF84" s="70" t="s">
        <v>273</v>
      </c>
      <c r="BG84" s="70" t="s">
        <v>1304</v>
      </c>
      <c r="BH84" s="60" t="str">
        <f t="shared" si="1"/>
        <v>Ver en Mapa</v>
      </c>
      <c r="BK84" s="70">
        <v>2</v>
      </c>
      <c r="BL84" s="70">
        <v>2</v>
      </c>
      <c r="BM84" s="70" t="s">
        <v>2847</v>
      </c>
    </row>
    <row r="85" spans="1:65" s="68" customFormat="1" ht="14.4" customHeight="1" x14ac:dyDescent="0.3">
      <c r="A85" s="70" t="str">
        <f>H85</f>
        <v>001328</v>
      </c>
      <c r="B85" s="70" t="s">
        <v>61</v>
      </c>
      <c r="C85" s="70" t="s">
        <v>273</v>
      </c>
      <c r="D85" s="70" t="s">
        <v>1522</v>
      </c>
      <c r="E85" s="70" t="s">
        <v>614</v>
      </c>
      <c r="F85" s="70" t="s">
        <v>2785</v>
      </c>
      <c r="G85" s="70" t="s">
        <v>2786</v>
      </c>
      <c r="H85" s="70" t="s">
        <v>2412</v>
      </c>
      <c r="I85" s="70" t="s">
        <v>67</v>
      </c>
      <c r="J85" s="70" t="s">
        <v>615</v>
      </c>
      <c r="K85" s="71">
        <v>45798</v>
      </c>
      <c r="L85" s="71">
        <v>46163</v>
      </c>
      <c r="M85" s="72">
        <v>15000</v>
      </c>
      <c r="N85" s="72">
        <v>15801.12</v>
      </c>
      <c r="O85" s="73">
        <v>22</v>
      </c>
      <c r="P85" s="73">
        <v>12</v>
      </c>
      <c r="Q85" s="70" t="s">
        <v>68</v>
      </c>
      <c r="R85" s="72">
        <v>2525.04</v>
      </c>
      <c r="S85" s="72">
        <v>696</v>
      </c>
      <c r="T85" s="72">
        <v>580</v>
      </c>
      <c r="U85" s="72">
        <v>0</v>
      </c>
      <c r="V85" s="72">
        <v>1</v>
      </c>
      <c r="W85" s="72">
        <v>11850.84</v>
      </c>
      <c r="X85" s="72">
        <v>3104.0705760000001</v>
      </c>
      <c r="Y85" s="72">
        <v>1316.76</v>
      </c>
      <c r="Z85" s="72">
        <v>1150.28</v>
      </c>
      <c r="AA85" s="72">
        <v>57.03</v>
      </c>
      <c r="AB85" s="72">
        <v>580</v>
      </c>
      <c r="AC85" s="72">
        <v>3106</v>
      </c>
      <c r="AD85" s="71">
        <v>45904</v>
      </c>
      <c r="AE85" s="70" t="s">
        <v>69</v>
      </c>
      <c r="AF85" s="70" t="s">
        <v>2413</v>
      </c>
      <c r="AG85" s="70" t="s">
        <v>616</v>
      </c>
      <c r="AI85" s="70" t="s">
        <v>192</v>
      </c>
      <c r="AJ85" s="70" t="s">
        <v>193</v>
      </c>
      <c r="AM85" s="70" t="s">
        <v>979</v>
      </c>
      <c r="AN85" s="70" t="s">
        <v>2414</v>
      </c>
      <c r="AO85" s="70" t="s">
        <v>977</v>
      </c>
      <c r="AP85" s="70" t="s">
        <v>2415</v>
      </c>
      <c r="AQ85" s="70" t="s">
        <v>978</v>
      </c>
      <c r="AR85" s="70" t="s">
        <v>2416</v>
      </c>
      <c r="AY85" s="72">
        <v>22840.37</v>
      </c>
      <c r="AZ85" s="72">
        <v>0</v>
      </c>
      <c r="BA85" s="70" t="s">
        <v>67</v>
      </c>
      <c r="BB85" s="70" t="s">
        <v>1044</v>
      </c>
      <c r="BC85" s="70" t="s">
        <v>3057</v>
      </c>
      <c r="BD85" s="70" t="s">
        <v>600</v>
      </c>
      <c r="BE85" s="70" t="s">
        <v>74</v>
      </c>
      <c r="BF85" s="70" t="s">
        <v>545</v>
      </c>
      <c r="BH85" s="60" t="str">
        <f t="shared" si="1"/>
        <v>Ver en Mapa</v>
      </c>
      <c r="BK85" s="70">
        <v>2</v>
      </c>
      <c r="BL85" s="70">
        <v>2</v>
      </c>
      <c r="BM85" s="70" t="s">
        <v>2847</v>
      </c>
    </row>
    <row r="86" spans="1:65" s="68" customFormat="1" ht="14.4" customHeight="1" x14ac:dyDescent="0.3">
      <c r="A86" s="70" t="str">
        <f>H86</f>
        <v>001121</v>
      </c>
      <c r="B86" s="70" t="s">
        <v>61</v>
      </c>
      <c r="C86" s="70" t="s">
        <v>273</v>
      </c>
      <c r="D86" s="70" t="s">
        <v>286</v>
      </c>
      <c r="E86" s="70" t="s">
        <v>287</v>
      </c>
      <c r="F86" s="70" t="s">
        <v>2785</v>
      </c>
      <c r="G86" s="70" t="s">
        <v>2786</v>
      </c>
      <c r="H86" s="70" t="s">
        <v>2360</v>
      </c>
      <c r="I86" s="70" t="s">
        <v>67</v>
      </c>
      <c r="J86" s="70" t="s">
        <v>297</v>
      </c>
      <c r="K86" s="71">
        <v>45616</v>
      </c>
      <c r="L86" s="71">
        <v>45981</v>
      </c>
      <c r="M86" s="72">
        <v>30000</v>
      </c>
      <c r="N86" s="72">
        <v>31602.23</v>
      </c>
      <c r="O86" s="73">
        <v>22</v>
      </c>
      <c r="P86" s="73">
        <v>12</v>
      </c>
      <c r="Q86" s="70" t="s">
        <v>68</v>
      </c>
      <c r="R86" s="72">
        <v>4493.53</v>
      </c>
      <c r="S86" s="72">
        <v>696</v>
      </c>
      <c r="T86" s="72">
        <v>580</v>
      </c>
      <c r="U86" s="72">
        <v>0</v>
      </c>
      <c r="V86" s="72">
        <v>0.1</v>
      </c>
      <c r="W86" s="72">
        <v>8361.7900000000009</v>
      </c>
      <c r="X86" s="72">
        <v>1149.77</v>
      </c>
      <c r="Y86" s="72">
        <v>569.77</v>
      </c>
      <c r="Z86" s="72">
        <v>0</v>
      </c>
      <c r="AA86" s="72">
        <v>0</v>
      </c>
      <c r="AB86" s="72">
        <v>580</v>
      </c>
      <c r="AC86" s="72">
        <v>4494</v>
      </c>
      <c r="AD86" s="71">
        <v>45939</v>
      </c>
      <c r="AE86" s="70" t="s">
        <v>69</v>
      </c>
      <c r="AF86" s="70" t="s">
        <v>2361</v>
      </c>
      <c r="AG86" s="70" t="s">
        <v>298</v>
      </c>
      <c r="AI86" s="70" t="s">
        <v>299</v>
      </c>
      <c r="AJ86" s="70" t="s">
        <v>2362</v>
      </c>
      <c r="AK86" s="70" t="s">
        <v>300</v>
      </c>
      <c r="AM86" s="70" t="s">
        <v>937</v>
      </c>
      <c r="AN86" s="70" t="s">
        <v>2363</v>
      </c>
      <c r="AO86" s="70" t="s">
        <v>935</v>
      </c>
      <c r="AP86" s="70" t="s">
        <v>2364</v>
      </c>
      <c r="AQ86" s="70" t="s">
        <v>936</v>
      </c>
      <c r="AR86" s="70" t="s">
        <v>2365</v>
      </c>
      <c r="AS86" s="70" t="s">
        <v>122</v>
      </c>
      <c r="AT86" s="68" t="s">
        <v>301</v>
      </c>
      <c r="AU86" s="70" t="s">
        <v>302</v>
      </c>
      <c r="AY86" s="72">
        <v>8941.7900000000009</v>
      </c>
      <c r="AZ86" s="72">
        <v>0</v>
      </c>
      <c r="BA86" s="70" t="s">
        <v>135</v>
      </c>
      <c r="BB86" s="70" t="s">
        <v>136</v>
      </c>
      <c r="BC86" s="70" t="s">
        <v>303</v>
      </c>
      <c r="BD86" s="70" t="s">
        <v>304</v>
      </c>
      <c r="BE86" s="70" t="s">
        <v>74</v>
      </c>
      <c r="BF86" s="70" t="s">
        <v>296</v>
      </c>
      <c r="BH86" s="60" t="str">
        <f t="shared" si="1"/>
        <v>Ver en Mapa</v>
      </c>
      <c r="BK86" s="70">
        <v>4</v>
      </c>
      <c r="BL86" s="70">
        <v>3</v>
      </c>
      <c r="BM86" s="70" t="s">
        <v>2846</v>
      </c>
    </row>
    <row r="87" spans="1:65" s="68" customFormat="1" ht="14.4" customHeight="1" x14ac:dyDescent="0.3">
      <c r="A87" s="70" t="str">
        <f>H87</f>
        <v>001418</v>
      </c>
      <c r="B87" s="70" t="s">
        <v>61</v>
      </c>
      <c r="C87" s="70" t="s">
        <v>62</v>
      </c>
      <c r="D87" s="70" t="s">
        <v>1429</v>
      </c>
      <c r="E87" s="70" t="s">
        <v>617</v>
      </c>
      <c r="F87" s="70" t="s">
        <v>2848</v>
      </c>
      <c r="G87" s="70" t="s">
        <v>2849</v>
      </c>
      <c r="H87" s="70" t="s">
        <v>2042</v>
      </c>
      <c r="I87" s="70" t="s">
        <v>67</v>
      </c>
      <c r="J87" s="70" t="s">
        <v>1314</v>
      </c>
      <c r="K87" s="71">
        <v>45831</v>
      </c>
      <c r="L87" s="71">
        <v>46014</v>
      </c>
      <c r="M87" s="72">
        <v>5000</v>
      </c>
      <c r="N87" s="72">
        <v>5267.04</v>
      </c>
      <c r="O87" s="73">
        <v>21</v>
      </c>
      <c r="P87" s="73">
        <v>6</v>
      </c>
      <c r="Q87" s="70" t="s">
        <v>68</v>
      </c>
      <c r="R87" s="72">
        <v>1320.32</v>
      </c>
      <c r="S87" s="72">
        <v>348</v>
      </c>
      <c r="T87" s="72">
        <v>580</v>
      </c>
      <c r="U87" s="72">
        <v>0</v>
      </c>
      <c r="V87" s="72">
        <v>1</v>
      </c>
      <c r="W87" s="72">
        <v>3511.36</v>
      </c>
      <c r="X87" s="72">
        <v>1880.95</v>
      </c>
      <c r="Y87" s="72">
        <v>877.84</v>
      </c>
      <c r="Z87" s="72">
        <v>384.48</v>
      </c>
      <c r="AA87" s="72">
        <v>38.630000000000003</v>
      </c>
      <c r="AB87" s="72">
        <v>580</v>
      </c>
      <c r="AC87" s="72">
        <v>1330</v>
      </c>
      <c r="AD87" s="71">
        <v>45891</v>
      </c>
      <c r="AE87" s="70" t="s">
        <v>69</v>
      </c>
      <c r="AF87" s="70" t="s">
        <v>2043</v>
      </c>
      <c r="AG87" s="70" t="s">
        <v>1315</v>
      </c>
      <c r="AI87" s="70" t="s">
        <v>283</v>
      </c>
      <c r="AJ87" s="70" t="s">
        <v>284</v>
      </c>
      <c r="AK87" s="70" t="s">
        <v>1316</v>
      </c>
      <c r="AL87" s="70" t="s">
        <v>2043</v>
      </c>
      <c r="AM87" s="70" t="s">
        <v>1317</v>
      </c>
      <c r="AN87" s="70" t="s">
        <v>2044</v>
      </c>
      <c r="AO87" s="70" t="s">
        <v>1318</v>
      </c>
      <c r="AP87" s="70" t="s">
        <v>2045</v>
      </c>
      <c r="AQ87" s="70" t="s">
        <v>1319</v>
      </c>
      <c r="AR87" s="70" t="s">
        <v>2046</v>
      </c>
      <c r="AY87" s="72">
        <v>5667.9000000000005</v>
      </c>
      <c r="AZ87" s="72">
        <v>0</v>
      </c>
      <c r="BA87" s="70" t="s">
        <v>67</v>
      </c>
      <c r="BB87" s="70" t="s">
        <v>1044</v>
      </c>
      <c r="BC87" s="70" t="s">
        <v>2909</v>
      </c>
      <c r="BD87" s="70" t="s">
        <v>339</v>
      </c>
      <c r="BE87" s="70" t="s">
        <v>74</v>
      </c>
      <c r="BF87" s="70" t="s">
        <v>75</v>
      </c>
      <c r="BG87" s="70" t="s">
        <v>1320</v>
      </c>
      <c r="BH87" s="60" t="str">
        <f t="shared" si="1"/>
        <v>Ver en Mapa</v>
      </c>
      <c r="BK87" s="70">
        <v>1</v>
      </c>
      <c r="BL87" s="70">
        <v>1</v>
      </c>
      <c r="BM87" s="70" t="s">
        <v>2847</v>
      </c>
    </row>
    <row r="88" spans="1:65" s="68" customFormat="1" ht="14.4" customHeight="1" x14ac:dyDescent="0.3">
      <c r="A88" s="70" t="str">
        <f>H88</f>
        <v>001261</v>
      </c>
      <c r="B88" s="70" t="s">
        <v>61</v>
      </c>
      <c r="C88" s="70" t="s">
        <v>194</v>
      </c>
      <c r="D88" s="70" t="s">
        <v>408</v>
      </c>
      <c r="E88" s="70" t="s">
        <v>409</v>
      </c>
      <c r="F88" s="70" t="s">
        <v>590</v>
      </c>
      <c r="G88" s="70" t="s">
        <v>2763</v>
      </c>
      <c r="H88" s="70" t="s">
        <v>2091</v>
      </c>
      <c r="I88" s="70" t="s">
        <v>67</v>
      </c>
      <c r="J88" s="70" t="s">
        <v>413</v>
      </c>
      <c r="K88" s="71">
        <v>45770</v>
      </c>
      <c r="L88" s="71">
        <v>46135</v>
      </c>
      <c r="M88" s="72">
        <v>10000</v>
      </c>
      <c r="N88" s="72">
        <v>10534.08</v>
      </c>
      <c r="O88" s="73">
        <v>21</v>
      </c>
      <c r="P88" s="73">
        <v>12</v>
      </c>
      <c r="Q88" s="70" t="s">
        <v>68</v>
      </c>
      <c r="R88" s="72">
        <v>1702.69</v>
      </c>
      <c r="S88" s="72">
        <v>696</v>
      </c>
      <c r="T88" s="72">
        <v>580</v>
      </c>
      <c r="U88" s="72">
        <v>0</v>
      </c>
      <c r="V88" s="72">
        <v>1</v>
      </c>
      <c r="W88" s="72">
        <v>7022.72</v>
      </c>
      <c r="X88" s="72">
        <v>2281.46</v>
      </c>
      <c r="Y88" s="72">
        <v>877.84</v>
      </c>
      <c r="Z88" s="72">
        <v>766.85</v>
      </c>
      <c r="AA88" s="72">
        <v>56.77</v>
      </c>
      <c r="AB88" s="72">
        <v>580</v>
      </c>
      <c r="AC88" s="72">
        <v>1703</v>
      </c>
      <c r="AD88" s="71">
        <v>45909</v>
      </c>
      <c r="AE88" s="70" t="s">
        <v>69</v>
      </c>
      <c r="AF88" s="70" t="s">
        <v>2092</v>
      </c>
      <c r="AG88" s="70" t="s">
        <v>432</v>
      </c>
      <c r="AI88" s="70" t="s">
        <v>425</v>
      </c>
      <c r="AJ88" s="70" t="s">
        <v>2093</v>
      </c>
      <c r="AM88" s="70" t="s">
        <v>817</v>
      </c>
      <c r="AN88" s="70" t="s">
        <v>2094</v>
      </c>
      <c r="AO88" s="70" t="s">
        <v>815</v>
      </c>
      <c r="AP88" s="70" t="s">
        <v>2095</v>
      </c>
      <c r="AQ88" s="70" t="s">
        <v>816</v>
      </c>
      <c r="AR88" s="70" t="s">
        <v>2096</v>
      </c>
      <c r="AY88" s="72">
        <v>13794.300000000001</v>
      </c>
      <c r="AZ88" s="72">
        <v>0</v>
      </c>
      <c r="BA88" s="70" t="s">
        <v>67</v>
      </c>
      <c r="BB88" s="70" t="s">
        <v>1044</v>
      </c>
      <c r="BC88" s="70" t="s">
        <v>3010</v>
      </c>
      <c r="BD88" s="70" t="s">
        <v>414</v>
      </c>
      <c r="BE88" s="70" t="s">
        <v>74</v>
      </c>
      <c r="BF88" s="70" t="s">
        <v>415</v>
      </c>
      <c r="BH88" s="60" t="str">
        <f t="shared" si="1"/>
        <v>Ver en Mapa</v>
      </c>
      <c r="BK88" s="70">
        <v>2</v>
      </c>
      <c r="BL88" s="70">
        <v>2</v>
      </c>
      <c r="BM88" s="70" t="s">
        <v>2847</v>
      </c>
    </row>
    <row r="89" spans="1:65" s="68" customFormat="1" ht="14.4" customHeight="1" x14ac:dyDescent="0.3">
      <c r="A89" s="70" t="str">
        <f>H89</f>
        <v>001303</v>
      </c>
      <c r="B89" s="70" t="s">
        <v>61</v>
      </c>
      <c r="C89" s="70" t="s">
        <v>194</v>
      </c>
      <c r="D89" s="70" t="s">
        <v>408</v>
      </c>
      <c r="E89" s="70" t="s">
        <v>409</v>
      </c>
      <c r="F89" s="70" t="s">
        <v>2800</v>
      </c>
      <c r="G89" s="70" t="s">
        <v>2801</v>
      </c>
      <c r="H89" s="70" t="s">
        <v>2076</v>
      </c>
      <c r="I89" s="70" t="s">
        <v>67</v>
      </c>
      <c r="J89" s="70" t="s">
        <v>546</v>
      </c>
      <c r="K89" s="71">
        <v>45785</v>
      </c>
      <c r="L89" s="71">
        <v>46150</v>
      </c>
      <c r="M89" s="72">
        <v>10000</v>
      </c>
      <c r="N89" s="72">
        <v>10534.08</v>
      </c>
      <c r="O89" s="73">
        <v>21</v>
      </c>
      <c r="P89" s="73">
        <v>24</v>
      </c>
      <c r="Q89" s="70" t="s">
        <v>453</v>
      </c>
      <c r="R89" s="72">
        <v>880.35</v>
      </c>
      <c r="S89" s="72">
        <v>1392</v>
      </c>
      <c r="T89" s="72">
        <v>1677.77</v>
      </c>
      <c r="U89" s="72">
        <v>0</v>
      </c>
      <c r="V89" s="72">
        <v>2</v>
      </c>
      <c r="W89" s="72">
        <v>7022.72</v>
      </c>
      <c r="X89" s="72">
        <v>3380.46</v>
      </c>
      <c r="Y89" s="72">
        <v>877.84</v>
      </c>
      <c r="Z89" s="72">
        <v>766.85</v>
      </c>
      <c r="AA89" s="72">
        <v>58</v>
      </c>
      <c r="AB89" s="72">
        <v>1677.77</v>
      </c>
      <c r="AC89" s="72">
        <v>1000</v>
      </c>
      <c r="AD89" s="71">
        <v>45937</v>
      </c>
      <c r="AE89" s="70" t="s">
        <v>69</v>
      </c>
      <c r="AF89" s="70" t="s">
        <v>2077</v>
      </c>
      <c r="AG89" s="70" t="s">
        <v>547</v>
      </c>
      <c r="AI89" s="70" t="s">
        <v>283</v>
      </c>
      <c r="AJ89" s="70" t="s">
        <v>284</v>
      </c>
      <c r="AM89" s="70" t="s">
        <v>794</v>
      </c>
      <c r="AN89" s="70" t="s">
        <v>2078</v>
      </c>
      <c r="AO89" s="70" t="s">
        <v>792</v>
      </c>
      <c r="AP89" s="70" t="s">
        <v>2079</v>
      </c>
      <c r="AQ89" s="70" t="s">
        <v>793</v>
      </c>
      <c r="AR89" s="70" t="s">
        <v>2080</v>
      </c>
      <c r="AY89" s="72">
        <v>14893.300000000001</v>
      </c>
      <c r="AZ89" s="72">
        <v>0</v>
      </c>
      <c r="BA89" s="70" t="s">
        <v>67</v>
      </c>
      <c r="BB89" s="70" t="s">
        <v>1044</v>
      </c>
      <c r="BC89" s="70" t="s">
        <v>2919</v>
      </c>
      <c r="BD89" s="70" t="s">
        <v>548</v>
      </c>
      <c r="BE89" s="70" t="s">
        <v>74</v>
      </c>
      <c r="BF89" s="70" t="s">
        <v>194</v>
      </c>
      <c r="BH89" s="60" t="str">
        <f t="shared" si="1"/>
        <v>Ver en Mapa</v>
      </c>
      <c r="BK89" s="70">
        <v>7</v>
      </c>
      <c r="BL89" s="70">
        <v>5</v>
      </c>
      <c r="BM89" s="70" t="s">
        <v>2847</v>
      </c>
    </row>
    <row r="90" spans="1:65" s="68" customFormat="1" ht="14.4" customHeight="1" x14ac:dyDescent="0.3">
      <c r="A90" s="70" t="str">
        <f>H90</f>
        <v>001612</v>
      </c>
      <c r="B90" s="70" t="s">
        <v>61</v>
      </c>
      <c r="C90" s="70" t="s">
        <v>194</v>
      </c>
      <c r="D90" s="70" t="s">
        <v>588</v>
      </c>
      <c r="E90" s="70" t="s">
        <v>589</v>
      </c>
      <c r="F90" s="70" t="s">
        <v>2800</v>
      </c>
      <c r="G90" s="70" t="s">
        <v>2801</v>
      </c>
      <c r="H90" s="70" t="s">
        <v>2189</v>
      </c>
      <c r="I90" s="70" t="s">
        <v>67</v>
      </c>
      <c r="J90" s="70" t="s">
        <v>1743</v>
      </c>
      <c r="K90" s="71">
        <v>45861</v>
      </c>
      <c r="L90" s="71">
        <v>46045</v>
      </c>
      <c r="M90" s="72">
        <v>10000</v>
      </c>
      <c r="N90" s="72">
        <v>10534.08</v>
      </c>
      <c r="O90" s="73">
        <v>21</v>
      </c>
      <c r="P90" s="73">
        <v>6</v>
      </c>
      <c r="Q90" s="70" t="s">
        <v>68</v>
      </c>
      <c r="R90" s="72">
        <v>2586.83</v>
      </c>
      <c r="S90" s="72">
        <v>348</v>
      </c>
      <c r="T90" s="72">
        <v>580</v>
      </c>
      <c r="U90" s="72">
        <v>0</v>
      </c>
      <c r="V90" s="72">
        <v>1</v>
      </c>
      <c r="W90" s="72">
        <v>8779.23</v>
      </c>
      <c r="X90" s="72">
        <v>3167.67</v>
      </c>
      <c r="Y90" s="72">
        <v>1756.51</v>
      </c>
      <c r="Z90" s="72">
        <v>773.16</v>
      </c>
      <c r="AA90" s="72">
        <v>58</v>
      </c>
      <c r="AB90" s="72">
        <v>580</v>
      </c>
      <c r="AC90" s="72">
        <v>2586</v>
      </c>
      <c r="AD90" s="71">
        <v>45894</v>
      </c>
      <c r="AE90" s="70" t="s">
        <v>69</v>
      </c>
      <c r="AF90" s="70" t="s">
        <v>2190</v>
      </c>
      <c r="AG90" s="70" t="s">
        <v>1744</v>
      </c>
      <c r="AI90" s="70" t="s">
        <v>684</v>
      </c>
      <c r="AJ90" s="70" t="s">
        <v>1471</v>
      </c>
      <c r="AK90" s="70" t="s">
        <v>1745</v>
      </c>
      <c r="AM90" s="70" t="s">
        <v>1746</v>
      </c>
      <c r="AN90" s="70" t="s">
        <v>2191</v>
      </c>
      <c r="AO90" s="70" t="s">
        <v>1747</v>
      </c>
      <c r="AP90" s="70" t="s">
        <v>2192</v>
      </c>
      <c r="AQ90" s="70" t="s">
        <v>1748</v>
      </c>
      <c r="AR90" s="70" t="s">
        <v>2193</v>
      </c>
      <c r="AY90" s="72">
        <v>13283.01</v>
      </c>
      <c r="AZ90" s="72">
        <v>0</v>
      </c>
      <c r="BA90" s="70" t="s">
        <v>67</v>
      </c>
      <c r="BB90" s="70" t="s">
        <v>1044</v>
      </c>
      <c r="BC90" s="70" t="s">
        <v>1749</v>
      </c>
      <c r="BD90" s="70" t="s">
        <v>503</v>
      </c>
      <c r="BE90" s="70" t="s">
        <v>74</v>
      </c>
      <c r="BF90" s="70" t="s">
        <v>503</v>
      </c>
      <c r="BG90" s="70" t="s">
        <v>1742</v>
      </c>
      <c r="BH90" s="60" t="str">
        <f t="shared" si="1"/>
        <v>Ver en Mapa</v>
      </c>
      <c r="BK90" s="70">
        <v>1</v>
      </c>
      <c r="BL90" s="70">
        <v>1</v>
      </c>
      <c r="BM90" s="70" t="s">
        <v>2847</v>
      </c>
    </row>
    <row r="91" spans="1:65" s="68" customFormat="1" ht="14.4" customHeight="1" x14ac:dyDescent="0.3">
      <c r="A91" s="70" t="str">
        <f>H91</f>
        <v>001262</v>
      </c>
      <c r="B91" s="70" t="s">
        <v>61</v>
      </c>
      <c r="C91" s="70" t="s">
        <v>194</v>
      </c>
      <c r="D91" s="70" t="s">
        <v>408</v>
      </c>
      <c r="E91" s="70" t="s">
        <v>409</v>
      </c>
      <c r="F91" s="70" t="s">
        <v>2800</v>
      </c>
      <c r="G91" s="70" t="s">
        <v>2801</v>
      </c>
      <c r="H91" s="70" t="s">
        <v>2102</v>
      </c>
      <c r="I91" s="70" t="s">
        <v>67</v>
      </c>
      <c r="J91" s="70" t="s">
        <v>426</v>
      </c>
      <c r="K91" s="71">
        <v>45769</v>
      </c>
      <c r="L91" s="71">
        <v>45953</v>
      </c>
      <c r="M91" s="72">
        <v>7000</v>
      </c>
      <c r="N91" s="72">
        <v>7373.85</v>
      </c>
      <c r="O91" s="73">
        <v>21</v>
      </c>
      <c r="P91" s="73">
        <v>6</v>
      </c>
      <c r="Q91" s="70" t="s">
        <v>68</v>
      </c>
      <c r="R91" s="72">
        <v>1825.24</v>
      </c>
      <c r="S91" s="72">
        <v>348</v>
      </c>
      <c r="T91" s="72">
        <v>337.97</v>
      </c>
      <c r="U91" s="72">
        <v>0</v>
      </c>
      <c r="V91" s="72">
        <v>1</v>
      </c>
      <c r="W91" s="72">
        <v>2457.9500000000003</v>
      </c>
      <c r="X91" s="72">
        <v>2105.2073525000001</v>
      </c>
      <c r="Y91" s="72">
        <v>1228.98</v>
      </c>
      <c r="Z91" s="72">
        <v>538.26</v>
      </c>
      <c r="AA91" s="72">
        <v>0</v>
      </c>
      <c r="AB91" s="72">
        <v>337.97</v>
      </c>
      <c r="AC91" s="72">
        <v>300</v>
      </c>
      <c r="AD91" s="71">
        <v>45932</v>
      </c>
      <c r="AE91" s="70" t="s">
        <v>69</v>
      </c>
      <c r="AF91" s="70" t="s">
        <v>2103</v>
      </c>
      <c r="AG91" s="70" t="s">
        <v>427</v>
      </c>
      <c r="AI91" s="70" t="s">
        <v>428</v>
      </c>
      <c r="AJ91" s="70" t="s">
        <v>2104</v>
      </c>
      <c r="AM91" s="70" t="s">
        <v>827</v>
      </c>
      <c r="AN91" s="70" t="s">
        <v>2105</v>
      </c>
      <c r="AO91" s="70" t="s">
        <v>825</v>
      </c>
      <c r="AP91" s="70" t="s">
        <v>2106</v>
      </c>
      <c r="AQ91" s="70" t="s">
        <v>826</v>
      </c>
      <c r="AR91" s="70" t="s">
        <v>2107</v>
      </c>
      <c r="AY91" s="72">
        <v>3872.4500000000003</v>
      </c>
      <c r="AZ91" s="72">
        <v>0</v>
      </c>
      <c r="BA91" s="70" t="s">
        <v>67</v>
      </c>
      <c r="BB91" s="70" t="s">
        <v>1044</v>
      </c>
      <c r="BC91" s="70" t="s">
        <v>429</v>
      </c>
      <c r="BD91" s="70" t="s">
        <v>430</v>
      </c>
      <c r="BE91" s="70" t="s">
        <v>74</v>
      </c>
      <c r="BF91" s="70" t="s">
        <v>194</v>
      </c>
      <c r="BH91" s="60" t="str">
        <f t="shared" si="1"/>
        <v>Ver en Mapa</v>
      </c>
      <c r="BK91" s="70">
        <v>2</v>
      </c>
      <c r="BL91" s="70">
        <v>2</v>
      </c>
      <c r="BM91" s="70" t="s">
        <v>2847</v>
      </c>
    </row>
    <row r="92" spans="1:65" s="68" customFormat="1" ht="14.4" customHeight="1" x14ac:dyDescent="0.3">
      <c r="A92" s="70" t="str">
        <f>H92</f>
        <v>001339</v>
      </c>
      <c r="B92" s="70" t="s">
        <v>61</v>
      </c>
      <c r="C92" s="70" t="s">
        <v>205</v>
      </c>
      <c r="D92" s="70" t="s">
        <v>382</v>
      </c>
      <c r="E92" s="70" t="s">
        <v>383</v>
      </c>
      <c r="F92" s="70" t="s">
        <v>2802</v>
      </c>
      <c r="G92" s="70" t="s">
        <v>2803</v>
      </c>
      <c r="H92" s="70" t="s">
        <v>2347</v>
      </c>
      <c r="I92" s="70" t="s">
        <v>67</v>
      </c>
      <c r="J92" s="70" t="s">
        <v>631</v>
      </c>
      <c r="K92" s="71">
        <v>45800</v>
      </c>
      <c r="L92" s="71">
        <v>45984</v>
      </c>
      <c r="M92" s="72">
        <v>5000</v>
      </c>
      <c r="N92" s="72">
        <v>5267.04</v>
      </c>
      <c r="O92" s="73">
        <v>21</v>
      </c>
      <c r="P92" s="73">
        <v>6</v>
      </c>
      <c r="Q92" s="70" t="s">
        <v>68</v>
      </c>
      <c r="R92" s="72">
        <v>1322.42</v>
      </c>
      <c r="S92" s="72">
        <v>348</v>
      </c>
      <c r="T92" s="72">
        <v>580</v>
      </c>
      <c r="U92" s="72">
        <v>0</v>
      </c>
      <c r="V92" s="72">
        <v>1</v>
      </c>
      <c r="W92" s="72">
        <v>2633.52</v>
      </c>
      <c r="X92" s="72">
        <v>1892.25</v>
      </c>
      <c r="Y92" s="72">
        <v>877.84</v>
      </c>
      <c r="Z92" s="72">
        <v>386.58</v>
      </c>
      <c r="AA92" s="72">
        <v>47.83</v>
      </c>
      <c r="AB92" s="72">
        <v>580</v>
      </c>
      <c r="AC92" s="72">
        <v>1325</v>
      </c>
      <c r="AD92" s="71">
        <v>45894</v>
      </c>
      <c r="AE92" s="70" t="s">
        <v>69</v>
      </c>
      <c r="AF92" s="70" t="s">
        <v>2315</v>
      </c>
      <c r="AG92" s="70" t="s">
        <v>632</v>
      </c>
      <c r="AI92" s="70" t="s">
        <v>256</v>
      </c>
      <c r="AJ92" s="70" t="s">
        <v>257</v>
      </c>
      <c r="AM92" s="70" t="s">
        <v>932</v>
      </c>
      <c r="AN92" s="70" t="s">
        <v>2313</v>
      </c>
      <c r="AO92" s="70" t="s">
        <v>930</v>
      </c>
      <c r="AP92" s="70" t="s">
        <v>2348</v>
      </c>
      <c r="AQ92" s="70" t="s">
        <v>931</v>
      </c>
      <c r="AR92" s="70" t="s">
        <v>2349</v>
      </c>
      <c r="AY92" s="72">
        <v>4421.08</v>
      </c>
      <c r="AZ92" s="72">
        <v>0</v>
      </c>
      <c r="BA92" s="70" t="s">
        <v>67</v>
      </c>
      <c r="BB92" s="70" t="s">
        <v>1044</v>
      </c>
      <c r="BC92" s="70" t="s">
        <v>3035</v>
      </c>
      <c r="BD92" s="70" t="s">
        <v>267</v>
      </c>
      <c r="BE92" s="70" t="s">
        <v>213</v>
      </c>
      <c r="BF92" s="70" t="s">
        <v>205</v>
      </c>
      <c r="BH92" s="60" t="str">
        <f t="shared" si="1"/>
        <v>Ver en Mapa</v>
      </c>
      <c r="BK92" s="70">
        <v>1</v>
      </c>
      <c r="BL92" s="70">
        <v>1</v>
      </c>
      <c r="BM92" s="70" t="s">
        <v>2847</v>
      </c>
    </row>
    <row r="93" spans="1:65" s="68" customFormat="1" ht="14.4" customHeight="1" x14ac:dyDescent="0.3">
      <c r="A93" s="70" t="str">
        <f>H93</f>
        <v>001548</v>
      </c>
      <c r="B93" s="70" t="s">
        <v>61</v>
      </c>
      <c r="C93" s="70" t="s">
        <v>273</v>
      </c>
      <c r="D93" s="70" t="s">
        <v>1522</v>
      </c>
      <c r="E93" s="70" t="s">
        <v>614</v>
      </c>
      <c r="F93" s="70" t="s">
        <v>2785</v>
      </c>
      <c r="G93" s="70" t="s">
        <v>2786</v>
      </c>
      <c r="H93" s="70" t="s">
        <v>1639</v>
      </c>
      <c r="I93" s="70" t="s">
        <v>67</v>
      </c>
      <c r="J93" s="70" t="s">
        <v>1640</v>
      </c>
      <c r="K93" s="71">
        <v>45853</v>
      </c>
      <c r="L93" s="71">
        <v>46021</v>
      </c>
      <c r="M93" s="72">
        <v>5000</v>
      </c>
      <c r="N93" s="72">
        <v>5267.04</v>
      </c>
      <c r="O93" s="73">
        <v>21</v>
      </c>
      <c r="P93" s="73">
        <v>12</v>
      </c>
      <c r="Q93" s="70" t="s">
        <v>496</v>
      </c>
      <c r="R93" s="72">
        <v>673.4</v>
      </c>
      <c r="S93" s="72">
        <v>696</v>
      </c>
      <c r="T93" s="72">
        <v>1678.2</v>
      </c>
      <c r="U93" s="72">
        <v>6</v>
      </c>
      <c r="V93" s="72">
        <v>2</v>
      </c>
      <c r="W93" s="72">
        <v>3511.36</v>
      </c>
      <c r="X93" s="72">
        <v>2967.41</v>
      </c>
      <c r="Y93" s="72">
        <v>877.84</v>
      </c>
      <c r="Z93" s="72">
        <v>352.97</v>
      </c>
      <c r="AA93" s="72">
        <v>58.4</v>
      </c>
      <c r="AB93" s="72">
        <v>1678.2</v>
      </c>
      <c r="AC93" s="72">
        <v>673</v>
      </c>
      <c r="AD93" s="71">
        <v>45929</v>
      </c>
      <c r="AE93" s="70" t="s">
        <v>69</v>
      </c>
      <c r="AF93" s="70" t="s">
        <v>1641</v>
      </c>
      <c r="AG93" s="70" t="s">
        <v>1642</v>
      </c>
      <c r="AI93" s="70" t="s">
        <v>86</v>
      </c>
      <c r="AJ93" s="70" t="s">
        <v>87</v>
      </c>
      <c r="AM93" s="70" t="s">
        <v>1643</v>
      </c>
      <c r="AN93" s="70" t="s">
        <v>1644</v>
      </c>
      <c r="AO93" s="70" t="s">
        <v>1645</v>
      </c>
      <c r="AP93" s="70" t="s">
        <v>1646</v>
      </c>
      <c r="AQ93" s="70" t="s">
        <v>1647</v>
      </c>
      <c r="AR93" s="70" t="s">
        <v>1648</v>
      </c>
      <c r="AY93" s="72">
        <v>6659.81</v>
      </c>
      <c r="AZ93" s="72">
        <v>0</v>
      </c>
      <c r="BA93" s="70" t="s">
        <v>67</v>
      </c>
      <c r="BB93" s="70" t="s">
        <v>1044</v>
      </c>
      <c r="BC93" s="70" t="s">
        <v>1649</v>
      </c>
      <c r="BD93" s="70" t="s">
        <v>1650</v>
      </c>
      <c r="BE93" s="70" t="s">
        <v>74</v>
      </c>
      <c r="BF93" s="70" t="s">
        <v>273</v>
      </c>
      <c r="BG93" s="70" t="s">
        <v>1651</v>
      </c>
      <c r="BH93" s="60" t="str">
        <f t="shared" si="1"/>
        <v>Ver en Mapa</v>
      </c>
      <c r="BK93" s="70">
        <v>4</v>
      </c>
      <c r="BL93" s="70">
        <v>4</v>
      </c>
      <c r="BM93" s="70" t="s">
        <v>2847</v>
      </c>
    </row>
    <row r="94" spans="1:65" s="68" customFormat="1" ht="14.4" customHeight="1" x14ac:dyDescent="0.3">
      <c r="A94" s="70" t="str">
        <f>H94</f>
        <v>001587</v>
      </c>
      <c r="B94" s="70" t="s">
        <v>61</v>
      </c>
      <c r="C94" s="70" t="s">
        <v>194</v>
      </c>
      <c r="D94" s="70" t="s">
        <v>588</v>
      </c>
      <c r="E94" s="70" t="s">
        <v>589</v>
      </c>
      <c r="F94" s="70" t="s">
        <v>590</v>
      </c>
      <c r="G94" s="70" t="s">
        <v>2763</v>
      </c>
      <c r="H94" s="70" t="s">
        <v>2244</v>
      </c>
      <c r="I94" s="70" t="s">
        <v>67</v>
      </c>
      <c r="J94" s="70" t="s">
        <v>1674</v>
      </c>
      <c r="K94" s="71">
        <v>45855</v>
      </c>
      <c r="L94" s="71">
        <v>46023</v>
      </c>
      <c r="M94" s="72">
        <v>10000</v>
      </c>
      <c r="N94" s="72">
        <v>10534.08</v>
      </c>
      <c r="O94" s="73">
        <v>19</v>
      </c>
      <c r="P94" s="73">
        <v>12</v>
      </c>
      <c r="Q94" s="70" t="s">
        <v>496</v>
      </c>
      <c r="R94" s="72">
        <v>1288.8</v>
      </c>
      <c r="S94" s="72">
        <v>696</v>
      </c>
      <c r="T94" s="72">
        <v>580</v>
      </c>
      <c r="U94" s="72">
        <v>6</v>
      </c>
      <c r="V94" s="72">
        <v>1.5</v>
      </c>
      <c r="W94" s="72">
        <v>6812.89</v>
      </c>
      <c r="X94" s="72">
        <v>2536.8114432000002</v>
      </c>
      <c r="Y94" s="72">
        <v>1545.8500000000001</v>
      </c>
      <c r="Z94" s="72">
        <v>352.96</v>
      </c>
      <c r="AA94" s="72">
        <v>58</v>
      </c>
      <c r="AB94" s="72">
        <v>580</v>
      </c>
      <c r="AC94" s="72">
        <v>1200</v>
      </c>
      <c r="AD94" s="71">
        <v>45937</v>
      </c>
      <c r="AE94" s="70" t="s">
        <v>69</v>
      </c>
      <c r="AF94" s="70" t="s">
        <v>2245</v>
      </c>
      <c r="AG94" s="70" t="s">
        <v>1675</v>
      </c>
      <c r="AI94" s="70" t="s">
        <v>393</v>
      </c>
      <c r="AJ94" s="70" t="s">
        <v>394</v>
      </c>
      <c r="AK94" s="70" t="s">
        <v>1676</v>
      </c>
      <c r="AM94" s="70" t="s">
        <v>1677</v>
      </c>
      <c r="AN94" s="70" t="s">
        <v>2246</v>
      </c>
      <c r="AO94" s="70" t="s">
        <v>1678</v>
      </c>
      <c r="AP94" s="70" t="s">
        <v>2247</v>
      </c>
      <c r="AQ94" s="70" t="s">
        <v>1679</v>
      </c>
      <c r="AR94" s="70" t="s">
        <v>2248</v>
      </c>
      <c r="AY94" s="72">
        <v>9921.6200000000008</v>
      </c>
      <c r="AZ94" s="72">
        <v>0</v>
      </c>
      <c r="BA94" s="70" t="s">
        <v>67</v>
      </c>
      <c r="BB94" s="70" t="s">
        <v>1044</v>
      </c>
      <c r="BC94" s="70" t="s">
        <v>2867</v>
      </c>
      <c r="BD94" s="70" t="s">
        <v>1680</v>
      </c>
      <c r="BE94" s="70" t="s">
        <v>74</v>
      </c>
      <c r="BF94" s="70" t="s">
        <v>503</v>
      </c>
      <c r="BG94" s="70" t="s">
        <v>1681</v>
      </c>
      <c r="BH94" s="60" t="str">
        <f t="shared" si="1"/>
        <v>Ver en Mapa</v>
      </c>
      <c r="BK94" s="70">
        <v>6</v>
      </c>
      <c r="BL94" s="70">
        <v>6</v>
      </c>
      <c r="BM94" s="70" t="s">
        <v>2847</v>
      </c>
    </row>
    <row r="95" spans="1:65" s="68" customFormat="1" ht="14.4" customHeight="1" x14ac:dyDescent="0.3">
      <c r="A95" s="70" t="str">
        <f>H95</f>
        <v>001338</v>
      </c>
      <c r="B95" s="70" t="s">
        <v>61</v>
      </c>
      <c r="C95" s="70" t="s">
        <v>392</v>
      </c>
      <c r="D95" s="70" t="s">
        <v>657</v>
      </c>
      <c r="E95" s="70" t="s">
        <v>658</v>
      </c>
      <c r="F95" s="70" t="s">
        <v>2802</v>
      </c>
      <c r="G95" s="70" t="s">
        <v>2803</v>
      </c>
      <c r="H95" s="70" t="s">
        <v>659</v>
      </c>
      <c r="I95" s="70" t="s">
        <v>67</v>
      </c>
      <c r="J95" s="70" t="s">
        <v>660</v>
      </c>
      <c r="K95" s="71">
        <v>45803</v>
      </c>
      <c r="L95" s="71">
        <v>46168</v>
      </c>
      <c r="M95" s="72">
        <v>15000</v>
      </c>
      <c r="N95" s="72">
        <v>15801.12</v>
      </c>
      <c r="O95" s="73">
        <v>18</v>
      </c>
      <c r="P95" s="73">
        <v>12</v>
      </c>
      <c r="Q95" s="70" t="s">
        <v>68</v>
      </c>
      <c r="R95" s="72">
        <v>2525.04</v>
      </c>
      <c r="S95" s="72">
        <v>696</v>
      </c>
      <c r="T95" s="72">
        <v>0</v>
      </c>
      <c r="U95" s="72">
        <v>0</v>
      </c>
      <c r="V95" s="72">
        <v>0.4</v>
      </c>
      <c r="W95" s="72">
        <v>11613.19</v>
      </c>
      <c r="X95" s="72">
        <v>1079.110576</v>
      </c>
      <c r="Y95" s="72">
        <v>1079.1100000000001</v>
      </c>
      <c r="Z95" s="72">
        <v>0</v>
      </c>
      <c r="AA95" s="72">
        <v>0</v>
      </c>
      <c r="AB95" s="72">
        <v>0</v>
      </c>
      <c r="AC95" s="72">
        <v>500</v>
      </c>
      <c r="AD95" s="71">
        <v>45943</v>
      </c>
      <c r="AE95" s="70" t="s">
        <v>69</v>
      </c>
      <c r="AF95" s="70" t="s">
        <v>661</v>
      </c>
      <c r="AG95" s="70" t="s">
        <v>662</v>
      </c>
      <c r="AI95" s="70" t="s">
        <v>481</v>
      </c>
      <c r="AJ95" s="70" t="s">
        <v>482</v>
      </c>
      <c r="AM95" s="70" t="s">
        <v>997</v>
      </c>
      <c r="AN95" s="70" t="s">
        <v>1030</v>
      </c>
      <c r="AO95" s="70" t="s">
        <v>994</v>
      </c>
      <c r="AP95" s="70" t="s">
        <v>995</v>
      </c>
      <c r="AQ95" s="70" t="s">
        <v>996</v>
      </c>
      <c r="AR95" s="70" t="s">
        <v>1031</v>
      </c>
      <c r="AY95" s="72">
        <v>20815.41</v>
      </c>
      <c r="AZ95" s="72">
        <v>0</v>
      </c>
      <c r="BA95" s="70" t="s">
        <v>67</v>
      </c>
      <c r="BB95" s="70" t="s">
        <v>1044</v>
      </c>
      <c r="BC95" s="70" t="s">
        <v>2896</v>
      </c>
      <c r="BD95" s="70" t="s">
        <v>664</v>
      </c>
      <c r="BE95" s="70" t="s">
        <v>74</v>
      </c>
      <c r="BF95" s="70" t="s">
        <v>392</v>
      </c>
      <c r="BH95" s="60" t="str">
        <f t="shared" si="1"/>
        <v>Ver en Mapa</v>
      </c>
      <c r="BK95" s="70">
        <v>3</v>
      </c>
      <c r="BL95" s="70">
        <v>3</v>
      </c>
      <c r="BM95" s="70" t="s">
        <v>2847</v>
      </c>
    </row>
    <row r="96" spans="1:65" s="68" customFormat="1" ht="14.4" customHeight="1" x14ac:dyDescent="0.3">
      <c r="A96" s="70" t="str">
        <f>H96</f>
        <v>001167</v>
      </c>
      <c r="B96" s="70" t="s">
        <v>61</v>
      </c>
      <c r="C96" s="70" t="s">
        <v>62</v>
      </c>
      <c r="D96" s="70" t="s">
        <v>183</v>
      </c>
      <c r="E96" s="70" t="s">
        <v>184</v>
      </c>
      <c r="F96" s="70" t="s">
        <v>590</v>
      </c>
      <c r="G96" s="70" t="s">
        <v>2763</v>
      </c>
      <c r="H96" s="70" t="s">
        <v>1865</v>
      </c>
      <c r="I96" s="70" t="s">
        <v>67</v>
      </c>
      <c r="J96" s="70" t="s">
        <v>160</v>
      </c>
      <c r="K96" s="71">
        <v>45684</v>
      </c>
      <c r="L96" s="71">
        <v>46049</v>
      </c>
      <c r="M96" s="72">
        <v>35000</v>
      </c>
      <c r="N96" s="72">
        <v>36869.270000000004</v>
      </c>
      <c r="O96" s="73">
        <v>15</v>
      </c>
      <c r="P96" s="73">
        <v>12</v>
      </c>
      <c r="Q96" s="70" t="s">
        <v>68</v>
      </c>
      <c r="R96" s="72">
        <v>5232.78</v>
      </c>
      <c r="S96" s="72">
        <v>696</v>
      </c>
      <c r="T96" s="72">
        <v>0</v>
      </c>
      <c r="U96" s="72">
        <v>0</v>
      </c>
      <c r="V96" s="72">
        <v>0.4</v>
      </c>
      <c r="W96" s="72">
        <v>18540.060000000001</v>
      </c>
      <c r="X96" s="72">
        <v>1811.9</v>
      </c>
      <c r="Y96" s="72">
        <v>1811.9</v>
      </c>
      <c r="Z96" s="72">
        <v>0</v>
      </c>
      <c r="AA96" s="72">
        <v>0</v>
      </c>
      <c r="AB96" s="72">
        <v>0</v>
      </c>
      <c r="AC96" s="72">
        <v>4000</v>
      </c>
      <c r="AD96" s="71">
        <v>45936</v>
      </c>
      <c r="AE96" s="70" t="s">
        <v>69</v>
      </c>
      <c r="AF96" s="70" t="s">
        <v>1866</v>
      </c>
      <c r="AG96" s="70" t="s">
        <v>161</v>
      </c>
      <c r="AI96" s="70" t="s">
        <v>162</v>
      </c>
      <c r="AJ96" s="70" t="s">
        <v>1867</v>
      </c>
      <c r="AK96" s="70" t="s">
        <v>163</v>
      </c>
      <c r="AL96" s="70" t="s">
        <v>1868</v>
      </c>
      <c r="AM96" s="70" t="s">
        <v>722</v>
      </c>
      <c r="AN96" s="70" t="s">
        <v>1869</v>
      </c>
      <c r="AO96" s="70" t="s">
        <v>720</v>
      </c>
      <c r="AP96" s="70" t="s">
        <v>1870</v>
      </c>
      <c r="AQ96" s="70" t="s">
        <v>721</v>
      </c>
      <c r="AR96" s="70" t="s">
        <v>1870</v>
      </c>
      <c r="AS96" s="70" t="s">
        <v>122</v>
      </c>
      <c r="AT96" s="68" t="s">
        <v>164</v>
      </c>
      <c r="AU96" s="70" t="s">
        <v>165</v>
      </c>
      <c r="AY96" s="72">
        <v>18540.060000000001</v>
      </c>
      <c r="AZ96" s="72">
        <v>0</v>
      </c>
      <c r="BA96" s="70" t="s">
        <v>135</v>
      </c>
      <c r="BB96" s="70" t="s">
        <v>136</v>
      </c>
      <c r="BC96" s="70" t="s">
        <v>2972</v>
      </c>
      <c r="BD96" s="70" t="s">
        <v>88</v>
      </c>
      <c r="BE96" s="70" t="s">
        <v>74</v>
      </c>
      <c r="BF96" s="70" t="s">
        <v>75</v>
      </c>
      <c r="BH96" s="60" t="str">
        <f t="shared" si="1"/>
        <v>Ver en Mapa</v>
      </c>
      <c r="BK96" s="70">
        <v>3</v>
      </c>
      <c r="BL96" s="70">
        <v>2</v>
      </c>
      <c r="BM96" s="70" t="s">
        <v>2847</v>
      </c>
    </row>
    <row r="97" spans="1:65" s="68" customFormat="1" ht="14.4" customHeight="1" x14ac:dyDescent="0.3">
      <c r="A97" s="70" t="str">
        <f>H97</f>
        <v>001433</v>
      </c>
      <c r="B97" s="70" t="s">
        <v>61</v>
      </c>
      <c r="C97" s="70" t="s">
        <v>62</v>
      </c>
      <c r="D97" s="70" t="s">
        <v>1429</v>
      </c>
      <c r="E97" s="70" t="s">
        <v>617</v>
      </c>
      <c r="F97" s="70" t="s">
        <v>590</v>
      </c>
      <c r="G97" s="70" t="s">
        <v>2763</v>
      </c>
      <c r="H97" s="70" t="s">
        <v>1983</v>
      </c>
      <c r="I97" s="70" t="s">
        <v>67</v>
      </c>
      <c r="J97" s="70" t="s">
        <v>1387</v>
      </c>
      <c r="K97" s="71">
        <v>45838</v>
      </c>
      <c r="L97" s="71">
        <v>46023</v>
      </c>
      <c r="M97" s="72">
        <v>5000</v>
      </c>
      <c r="N97" s="72">
        <v>5267.04</v>
      </c>
      <c r="O97" s="73">
        <v>13</v>
      </c>
      <c r="P97" s="73">
        <v>6</v>
      </c>
      <c r="Q97" s="70" t="s">
        <v>68</v>
      </c>
      <c r="R97" s="72">
        <v>1324.52</v>
      </c>
      <c r="S97" s="72">
        <v>348</v>
      </c>
      <c r="T97" s="72">
        <v>580</v>
      </c>
      <c r="U97" s="72">
        <v>0</v>
      </c>
      <c r="V97" s="72">
        <v>1</v>
      </c>
      <c r="W97" s="72">
        <v>3511.36</v>
      </c>
      <c r="X97" s="72">
        <v>1803.56</v>
      </c>
      <c r="Y97" s="72">
        <v>877.84</v>
      </c>
      <c r="Z97" s="72">
        <v>345.72</v>
      </c>
      <c r="AA97" s="72">
        <v>0</v>
      </c>
      <c r="AB97" s="72">
        <v>580</v>
      </c>
      <c r="AC97" s="72">
        <v>1400</v>
      </c>
      <c r="AD97" s="71">
        <v>45901</v>
      </c>
      <c r="AE97" s="70" t="s">
        <v>69</v>
      </c>
      <c r="AF97" s="70" t="s">
        <v>1984</v>
      </c>
      <c r="AG97" s="70" t="s">
        <v>1388</v>
      </c>
      <c r="AI97" s="70" t="s">
        <v>283</v>
      </c>
      <c r="AJ97" s="70" t="s">
        <v>284</v>
      </c>
      <c r="AK97" s="70" t="s">
        <v>1389</v>
      </c>
      <c r="AL97" s="70" t="s">
        <v>1984</v>
      </c>
      <c r="AM97" s="70" t="s">
        <v>1390</v>
      </c>
      <c r="AN97" s="70" t="s">
        <v>1985</v>
      </c>
      <c r="AO97" s="70" t="s">
        <v>1391</v>
      </c>
      <c r="AP97" s="70" t="s">
        <v>1986</v>
      </c>
      <c r="AQ97" s="70" t="s">
        <v>1392</v>
      </c>
      <c r="AR97" s="70" t="s">
        <v>1987</v>
      </c>
      <c r="AY97" s="72">
        <v>5603.11</v>
      </c>
      <c r="AZ97" s="72">
        <v>0</v>
      </c>
      <c r="BA97" s="70" t="s">
        <v>67</v>
      </c>
      <c r="BB97" s="70" t="s">
        <v>1044</v>
      </c>
      <c r="BC97" s="70" t="s">
        <v>2906</v>
      </c>
      <c r="BD97" s="70" t="s">
        <v>335</v>
      </c>
      <c r="BE97" s="70" t="s">
        <v>74</v>
      </c>
      <c r="BF97" s="70" t="s">
        <v>338</v>
      </c>
      <c r="BG97" s="70" t="s">
        <v>1393</v>
      </c>
      <c r="BH97" s="60" t="str">
        <f t="shared" si="1"/>
        <v>Ver en Mapa</v>
      </c>
      <c r="BK97" s="70">
        <v>1</v>
      </c>
      <c r="BL97" s="70">
        <v>1</v>
      </c>
      <c r="BM97" s="70" t="s">
        <v>2847</v>
      </c>
    </row>
    <row r="98" spans="1:65" s="68" customFormat="1" ht="14.4" customHeight="1" x14ac:dyDescent="0.3">
      <c r="A98" s="70" t="str">
        <f>H98</f>
        <v>001520</v>
      </c>
      <c r="B98" s="70" t="s">
        <v>61</v>
      </c>
      <c r="C98" s="70" t="s">
        <v>194</v>
      </c>
      <c r="D98" s="70" t="s">
        <v>588</v>
      </c>
      <c r="E98" s="70" t="s">
        <v>589</v>
      </c>
      <c r="F98" s="70" t="s">
        <v>2800</v>
      </c>
      <c r="G98" s="70" t="s">
        <v>2801</v>
      </c>
      <c r="H98" s="70" t="s">
        <v>2184</v>
      </c>
      <c r="I98" s="70" t="s">
        <v>67</v>
      </c>
      <c r="J98" s="70" t="s">
        <v>1735</v>
      </c>
      <c r="K98" s="71">
        <v>45861</v>
      </c>
      <c r="L98" s="71">
        <v>46029</v>
      </c>
      <c r="M98" s="72">
        <v>10000</v>
      </c>
      <c r="N98" s="72">
        <v>10534.08</v>
      </c>
      <c r="O98" s="73">
        <v>13</v>
      </c>
      <c r="P98" s="73">
        <v>12</v>
      </c>
      <c r="Q98" s="70" t="s">
        <v>496</v>
      </c>
      <c r="R98" s="72">
        <v>1288.8</v>
      </c>
      <c r="S98" s="72">
        <v>696</v>
      </c>
      <c r="T98" s="72">
        <v>580</v>
      </c>
      <c r="U98" s="72">
        <v>5</v>
      </c>
      <c r="V98" s="72">
        <v>1</v>
      </c>
      <c r="W98" s="72">
        <v>7022.72</v>
      </c>
      <c r="X98" s="72">
        <v>1866.01</v>
      </c>
      <c r="Y98" s="72">
        <v>877.84</v>
      </c>
      <c r="Z98" s="72">
        <v>352.96</v>
      </c>
      <c r="AA98" s="72">
        <v>55.21</v>
      </c>
      <c r="AB98" s="72">
        <v>580</v>
      </c>
      <c r="AC98" s="72">
        <v>1290</v>
      </c>
      <c r="AD98" s="71">
        <v>45917</v>
      </c>
      <c r="AE98" s="70" t="s">
        <v>69</v>
      </c>
      <c r="AF98" s="70" t="s">
        <v>2185</v>
      </c>
      <c r="AG98" s="70" t="s">
        <v>1736</v>
      </c>
      <c r="AI98" s="70" t="s">
        <v>684</v>
      </c>
      <c r="AJ98" s="70" t="s">
        <v>1471</v>
      </c>
      <c r="AK98" s="70" t="s">
        <v>1737</v>
      </c>
      <c r="AM98" s="70" t="s">
        <v>1738</v>
      </c>
      <c r="AN98" s="70" t="s">
        <v>2186</v>
      </c>
      <c r="AO98" s="70" t="s">
        <v>1739</v>
      </c>
      <c r="AP98" s="70" t="s">
        <v>2187</v>
      </c>
      <c r="AQ98" s="70" t="s">
        <v>1740</v>
      </c>
      <c r="AR98" s="70" t="s">
        <v>2188</v>
      </c>
      <c r="AY98" s="72">
        <v>10481.620000000001</v>
      </c>
      <c r="AZ98" s="72">
        <v>0</v>
      </c>
      <c r="BA98" s="70" t="s">
        <v>67</v>
      </c>
      <c r="BB98" s="70" t="s">
        <v>1044</v>
      </c>
      <c r="BC98" s="70" t="s">
        <v>1741</v>
      </c>
      <c r="BD98" s="70" t="s">
        <v>503</v>
      </c>
      <c r="BE98" s="70" t="s">
        <v>74</v>
      </c>
      <c r="BF98" s="70" t="s">
        <v>503</v>
      </c>
      <c r="BG98" s="70" t="s">
        <v>1742</v>
      </c>
      <c r="BH98" s="60" t="str">
        <f t="shared" si="1"/>
        <v>Ver en Mapa</v>
      </c>
      <c r="BK98" s="70">
        <v>1</v>
      </c>
      <c r="BL98" s="70">
        <v>1</v>
      </c>
      <c r="BM98" s="70" t="s">
        <v>2847</v>
      </c>
    </row>
    <row r="99" spans="1:65" s="68" customFormat="1" ht="14.4" customHeight="1" x14ac:dyDescent="0.3">
      <c r="A99" s="70" t="str">
        <f>H99</f>
        <v>001349</v>
      </c>
      <c r="B99" s="70" t="s">
        <v>61</v>
      </c>
      <c r="C99" s="70" t="s">
        <v>62</v>
      </c>
      <c r="D99" s="70" t="s">
        <v>183</v>
      </c>
      <c r="E99" s="70" t="s">
        <v>184</v>
      </c>
      <c r="F99" s="70" t="s">
        <v>590</v>
      </c>
      <c r="G99" s="70" t="s">
        <v>2763</v>
      </c>
      <c r="H99" s="70" t="s">
        <v>1999</v>
      </c>
      <c r="I99" s="70" t="s">
        <v>67</v>
      </c>
      <c r="J99" s="70" t="s">
        <v>1032</v>
      </c>
      <c r="K99" s="71">
        <v>45810</v>
      </c>
      <c r="L99" s="71">
        <v>46146</v>
      </c>
      <c r="M99" s="72">
        <v>15000</v>
      </c>
      <c r="N99" s="72">
        <v>15801.12</v>
      </c>
      <c r="O99" s="73">
        <v>8</v>
      </c>
      <c r="P99" s="73">
        <v>24</v>
      </c>
      <c r="Q99" s="70" t="s">
        <v>496</v>
      </c>
      <c r="R99" s="72">
        <v>1245.82</v>
      </c>
      <c r="S99" s="72">
        <v>1392</v>
      </c>
      <c r="T99" s="72">
        <v>1160</v>
      </c>
      <c r="U99" s="72">
        <v>9</v>
      </c>
      <c r="V99" s="72">
        <v>1</v>
      </c>
      <c r="W99" s="72">
        <v>10534.08</v>
      </c>
      <c r="X99" s="72">
        <v>2372.41</v>
      </c>
      <c r="Y99" s="72">
        <v>658.38</v>
      </c>
      <c r="Z99" s="72">
        <v>529.45000000000005</v>
      </c>
      <c r="AA99" s="72">
        <v>24.580000000000002</v>
      </c>
      <c r="AB99" s="72">
        <v>1160</v>
      </c>
      <c r="AC99" s="72">
        <v>1250</v>
      </c>
      <c r="AD99" s="71">
        <v>45936</v>
      </c>
      <c r="AE99" s="70" t="s">
        <v>69</v>
      </c>
      <c r="AF99" s="70" t="s">
        <v>2000</v>
      </c>
      <c r="AG99" s="70" t="s">
        <v>1033</v>
      </c>
      <c r="AI99" s="70" t="s">
        <v>526</v>
      </c>
      <c r="AJ99" s="70" t="s">
        <v>527</v>
      </c>
      <c r="AK99" s="70" t="s">
        <v>1034</v>
      </c>
      <c r="AL99" s="70" t="s">
        <v>2000</v>
      </c>
      <c r="AM99" s="70" t="s">
        <v>1035</v>
      </c>
      <c r="AN99" s="70" t="s">
        <v>2001</v>
      </c>
      <c r="AO99" s="70" t="s">
        <v>1036</v>
      </c>
      <c r="AP99" s="70" t="s">
        <v>2002</v>
      </c>
      <c r="AQ99" s="70" t="s">
        <v>1037</v>
      </c>
      <c r="AR99" s="70" t="s">
        <v>2003</v>
      </c>
      <c r="AY99" s="72">
        <v>20189.75</v>
      </c>
      <c r="AZ99" s="72">
        <v>0</v>
      </c>
      <c r="BA99" s="70" t="s">
        <v>67</v>
      </c>
      <c r="BB99" s="70" t="s">
        <v>1044</v>
      </c>
      <c r="BC99" s="70" t="s">
        <v>2986</v>
      </c>
      <c r="BD99" s="70" t="s">
        <v>88</v>
      </c>
      <c r="BE99" s="70" t="s">
        <v>74</v>
      </c>
      <c r="BF99" s="70" t="s">
        <v>75</v>
      </c>
      <c r="BH99" s="60" t="str">
        <f t="shared" si="1"/>
        <v>Ver en Mapa</v>
      </c>
      <c r="BK99" s="70">
        <v>3</v>
      </c>
      <c r="BL99" s="70">
        <v>2</v>
      </c>
      <c r="BM99" s="70" t="s">
        <v>2847</v>
      </c>
    </row>
    <row r="100" spans="1:65" s="68" customFormat="1" ht="14.4" customHeight="1" x14ac:dyDescent="0.3">
      <c r="A100" s="70" t="str">
        <f>H100</f>
        <v>001374</v>
      </c>
      <c r="B100" s="70" t="s">
        <v>61</v>
      </c>
      <c r="C100" s="70" t="s">
        <v>194</v>
      </c>
      <c r="D100" s="70" t="s">
        <v>588</v>
      </c>
      <c r="E100" s="70" t="s">
        <v>589</v>
      </c>
      <c r="F100" s="70" t="s">
        <v>590</v>
      </c>
      <c r="G100" s="70" t="s">
        <v>2763</v>
      </c>
      <c r="H100" s="70" t="s">
        <v>2225</v>
      </c>
      <c r="I100" s="70" t="s">
        <v>67</v>
      </c>
      <c r="J100" s="70" t="s">
        <v>1109</v>
      </c>
      <c r="K100" s="71">
        <v>45814</v>
      </c>
      <c r="L100" s="71">
        <v>46179</v>
      </c>
      <c r="M100" s="72">
        <v>20000</v>
      </c>
      <c r="N100" s="72">
        <v>21068.16</v>
      </c>
      <c r="O100" s="73">
        <v>8</v>
      </c>
      <c r="P100" s="73">
        <v>12</v>
      </c>
      <c r="Q100" s="70" t="s">
        <v>68</v>
      </c>
      <c r="R100" s="72">
        <v>3347.38</v>
      </c>
      <c r="S100" s="72">
        <v>696</v>
      </c>
      <c r="T100" s="72">
        <v>580</v>
      </c>
      <c r="U100" s="72">
        <v>0</v>
      </c>
      <c r="V100" s="72">
        <v>1</v>
      </c>
      <c r="W100" s="72">
        <v>15801.12</v>
      </c>
      <c r="X100" s="72">
        <v>3901.5341013333332</v>
      </c>
      <c r="Y100" s="72">
        <v>1755.68</v>
      </c>
      <c r="Z100" s="72">
        <v>1533.7</v>
      </c>
      <c r="AA100" s="72">
        <v>32.15</v>
      </c>
      <c r="AB100" s="72">
        <v>580</v>
      </c>
      <c r="AC100" s="72">
        <v>3350</v>
      </c>
      <c r="AD100" s="71">
        <v>45908</v>
      </c>
      <c r="AE100" s="70" t="s">
        <v>69</v>
      </c>
      <c r="AF100" s="70" t="s">
        <v>2226</v>
      </c>
      <c r="AG100" s="70" t="s">
        <v>1110</v>
      </c>
      <c r="AI100" s="70" t="s">
        <v>481</v>
      </c>
      <c r="AJ100" s="70" t="s">
        <v>482</v>
      </c>
      <c r="AM100" s="70" t="s">
        <v>1111</v>
      </c>
      <c r="AN100" s="70" t="s">
        <v>2227</v>
      </c>
      <c r="AO100" s="70" t="s">
        <v>1112</v>
      </c>
      <c r="AP100" s="70" t="s">
        <v>2228</v>
      </c>
      <c r="AQ100" s="70" t="s">
        <v>1113</v>
      </c>
      <c r="AR100" s="70" t="s">
        <v>2204</v>
      </c>
      <c r="AY100" s="72">
        <v>30216.600000000002</v>
      </c>
      <c r="AZ100" s="72">
        <v>0</v>
      </c>
      <c r="BA100" s="70" t="s">
        <v>67</v>
      </c>
      <c r="BB100" s="70" t="s">
        <v>1044</v>
      </c>
      <c r="BC100" s="70" t="s">
        <v>2893</v>
      </c>
      <c r="BD100" s="70" t="s">
        <v>1114</v>
      </c>
      <c r="BE100" s="70" t="s">
        <v>74</v>
      </c>
      <c r="BF100" s="70" t="s">
        <v>646</v>
      </c>
      <c r="BG100" s="70" t="s">
        <v>1115</v>
      </c>
      <c r="BH100" s="60" t="str">
        <f t="shared" si="1"/>
        <v>Ver en Mapa</v>
      </c>
      <c r="BK100" s="70">
        <v>2</v>
      </c>
      <c r="BL100" s="70">
        <v>1</v>
      </c>
      <c r="BM100" s="70" t="s">
        <v>2847</v>
      </c>
    </row>
    <row r="101" spans="1:65" s="68" customFormat="1" ht="14.4" customHeight="1" x14ac:dyDescent="0.3">
      <c r="A101" s="70" t="str">
        <f>H101</f>
        <v>001557</v>
      </c>
      <c r="B101" s="70" t="s">
        <v>61</v>
      </c>
      <c r="C101" s="70" t="s">
        <v>194</v>
      </c>
      <c r="D101" s="70" t="s">
        <v>588</v>
      </c>
      <c r="E101" s="70" t="s">
        <v>589</v>
      </c>
      <c r="F101" s="70" t="s">
        <v>590</v>
      </c>
      <c r="G101" s="70" t="s">
        <v>2763</v>
      </c>
      <c r="H101" s="70" t="s">
        <v>2566</v>
      </c>
      <c r="I101" s="70" t="s">
        <v>67</v>
      </c>
      <c r="J101" s="70" t="s">
        <v>2567</v>
      </c>
      <c r="K101" s="71">
        <v>45873</v>
      </c>
      <c r="L101" s="71">
        <v>46238</v>
      </c>
      <c r="M101" s="72">
        <v>100000</v>
      </c>
      <c r="N101" s="72">
        <v>105340.78</v>
      </c>
      <c r="O101" s="73">
        <v>8</v>
      </c>
      <c r="P101" s="73">
        <v>12</v>
      </c>
      <c r="Q101" s="70" t="s">
        <v>68</v>
      </c>
      <c r="R101" s="72">
        <v>16504.91</v>
      </c>
      <c r="S101" s="72">
        <v>696</v>
      </c>
      <c r="T101" s="72">
        <v>580</v>
      </c>
      <c r="U101" s="72">
        <v>0</v>
      </c>
      <c r="V101" s="72">
        <v>1</v>
      </c>
      <c r="W101" s="72">
        <v>96562.38</v>
      </c>
      <c r="X101" s="72">
        <v>17084.829008111101</v>
      </c>
      <c r="Y101" s="72">
        <v>8778.4</v>
      </c>
      <c r="Z101" s="72">
        <v>7668.51</v>
      </c>
      <c r="AA101" s="72">
        <v>57.92</v>
      </c>
      <c r="AB101" s="72">
        <v>580</v>
      </c>
      <c r="AC101" s="72">
        <v>17085</v>
      </c>
      <c r="AD101" s="71">
        <v>45908</v>
      </c>
      <c r="AE101" s="70" t="s">
        <v>69</v>
      </c>
      <c r="AF101" s="70" t="s">
        <v>2568</v>
      </c>
      <c r="AG101" s="70" t="s">
        <v>2569</v>
      </c>
      <c r="AI101" s="70" t="s">
        <v>82</v>
      </c>
      <c r="AJ101" s="70" t="s">
        <v>83</v>
      </c>
      <c r="AK101" s="70" t="s">
        <v>2570</v>
      </c>
      <c r="AM101" s="70" t="s">
        <v>2571</v>
      </c>
      <c r="AN101" s="70" t="s">
        <v>2572</v>
      </c>
      <c r="AO101" s="70" t="s">
        <v>2573</v>
      </c>
      <c r="AP101" s="70" t="s">
        <v>2574</v>
      </c>
      <c r="AQ101" s="70" t="s">
        <v>2575</v>
      </c>
      <c r="AR101" s="70" t="s">
        <v>2576</v>
      </c>
      <c r="AS101" s="70" t="s">
        <v>122</v>
      </c>
      <c r="AT101" s="68" t="s">
        <v>2577</v>
      </c>
      <c r="AU101" s="70" t="s">
        <v>2578</v>
      </c>
      <c r="AY101" s="72">
        <v>181553.97</v>
      </c>
      <c r="AZ101" s="72">
        <v>0</v>
      </c>
      <c r="BA101" s="70" t="s">
        <v>76</v>
      </c>
      <c r="BB101" s="70" t="s">
        <v>1600</v>
      </c>
      <c r="BC101" s="70" t="s">
        <v>2982</v>
      </c>
      <c r="BD101" s="70" t="s">
        <v>651</v>
      </c>
      <c r="BE101" s="70" t="s">
        <v>74</v>
      </c>
      <c r="BF101" s="70" t="s">
        <v>646</v>
      </c>
      <c r="BG101" s="70" t="s">
        <v>2579</v>
      </c>
      <c r="BH101" s="60" t="str">
        <f t="shared" si="1"/>
        <v>Ver en Mapa</v>
      </c>
      <c r="BK101" s="70">
        <v>2</v>
      </c>
      <c r="BL101" s="70">
        <v>2</v>
      </c>
      <c r="BM101" s="70" t="s">
        <v>2847</v>
      </c>
    </row>
    <row r="102" spans="1:65" s="68" customFormat="1" ht="14.4" customHeight="1" x14ac:dyDescent="0.3">
      <c r="A102" s="70" t="str">
        <f>H102</f>
        <v>001298</v>
      </c>
      <c r="B102" s="70" t="s">
        <v>61</v>
      </c>
      <c r="C102" s="70" t="s">
        <v>194</v>
      </c>
      <c r="D102" s="70" t="s">
        <v>408</v>
      </c>
      <c r="E102" s="70" t="s">
        <v>409</v>
      </c>
      <c r="F102" s="70" t="s">
        <v>2800</v>
      </c>
      <c r="G102" s="70" t="s">
        <v>2801</v>
      </c>
      <c r="H102" s="70" t="s">
        <v>531</v>
      </c>
      <c r="I102" s="70" t="s">
        <v>67</v>
      </c>
      <c r="J102" s="70" t="s">
        <v>532</v>
      </c>
      <c r="K102" s="71">
        <v>45783</v>
      </c>
      <c r="L102" s="71">
        <v>45967</v>
      </c>
      <c r="M102" s="72">
        <v>6000</v>
      </c>
      <c r="N102" s="72">
        <v>6320.45</v>
      </c>
      <c r="O102" s="73">
        <v>8</v>
      </c>
      <c r="P102" s="73">
        <v>6</v>
      </c>
      <c r="Q102" s="70" t="s">
        <v>68</v>
      </c>
      <c r="R102" s="72">
        <v>1575.3</v>
      </c>
      <c r="S102" s="72">
        <v>348</v>
      </c>
      <c r="T102" s="72">
        <v>580</v>
      </c>
      <c r="U102" s="72">
        <v>0</v>
      </c>
      <c r="V102" s="72">
        <v>1</v>
      </c>
      <c r="W102" s="72">
        <v>2106.8200000000002</v>
      </c>
      <c r="X102" s="72">
        <v>2154.6063622222218</v>
      </c>
      <c r="Y102" s="72">
        <v>1053.4100000000001</v>
      </c>
      <c r="Z102" s="72">
        <v>463.89</v>
      </c>
      <c r="AA102" s="72">
        <v>57.300000000000004</v>
      </c>
      <c r="AB102" s="72">
        <v>580</v>
      </c>
      <c r="AC102" s="72">
        <v>1575.3</v>
      </c>
      <c r="AD102" s="71">
        <v>45908</v>
      </c>
      <c r="AE102" s="70" t="s">
        <v>69</v>
      </c>
      <c r="AF102" s="70" t="s">
        <v>533</v>
      </c>
      <c r="AG102" s="70" t="s">
        <v>534</v>
      </c>
      <c r="AI102" s="70" t="s">
        <v>526</v>
      </c>
      <c r="AJ102" s="70" t="s">
        <v>527</v>
      </c>
      <c r="AM102" s="70" t="s">
        <v>788</v>
      </c>
      <c r="AN102" s="70" t="s">
        <v>1262</v>
      </c>
      <c r="AO102" s="70" t="s">
        <v>785</v>
      </c>
      <c r="AP102" s="70" t="s">
        <v>786</v>
      </c>
      <c r="AQ102" s="70" t="s">
        <v>787</v>
      </c>
      <c r="AR102" s="70" t="s">
        <v>1263</v>
      </c>
      <c r="AY102" s="72">
        <v>3671.91</v>
      </c>
      <c r="AZ102" s="72">
        <v>0</v>
      </c>
      <c r="BA102" s="70" t="s">
        <v>67</v>
      </c>
      <c r="BB102" s="70" t="s">
        <v>1044</v>
      </c>
      <c r="BC102" s="70" t="s">
        <v>2987</v>
      </c>
      <c r="BD102" s="70" t="s">
        <v>535</v>
      </c>
      <c r="BE102" s="70" t="s">
        <v>74</v>
      </c>
      <c r="BF102" s="70" t="s">
        <v>194</v>
      </c>
      <c r="BH102" s="60" t="str">
        <f t="shared" si="1"/>
        <v>Ver en Mapa</v>
      </c>
      <c r="BK102" s="70">
        <v>2</v>
      </c>
      <c r="BL102" s="70">
        <v>1</v>
      </c>
      <c r="BM102" s="70" t="s">
        <v>2847</v>
      </c>
    </row>
    <row r="103" spans="1:65" s="68" customFormat="1" ht="14.4" customHeight="1" x14ac:dyDescent="0.3">
      <c r="A103" s="70" t="str">
        <f>H103</f>
        <v>001301</v>
      </c>
      <c r="B103" s="70" t="s">
        <v>61</v>
      </c>
      <c r="C103" s="70" t="s">
        <v>194</v>
      </c>
      <c r="D103" s="70" t="s">
        <v>408</v>
      </c>
      <c r="E103" s="70" t="s">
        <v>409</v>
      </c>
      <c r="F103" s="70" t="s">
        <v>2800</v>
      </c>
      <c r="G103" s="70" t="s">
        <v>2801</v>
      </c>
      <c r="H103" s="70" t="s">
        <v>2071</v>
      </c>
      <c r="I103" s="70" t="s">
        <v>67</v>
      </c>
      <c r="J103" s="70" t="s">
        <v>536</v>
      </c>
      <c r="K103" s="71">
        <v>45783</v>
      </c>
      <c r="L103" s="71">
        <v>45967</v>
      </c>
      <c r="M103" s="72">
        <v>5000</v>
      </c>
      <c r="N103" s="72">
        <v>5267.04</v>
      </c>
      <c r="O103" s="73">
        <v>8</v>
      </c>
      <c r="P103" s="73">
        <v>12</v>
      </c>
      <c r="Q103" s="70" t="s">
        <v>453</v>
      </c>
      <c r="R103" s="72">
        <v>690.21</v>
      </c>
      <c r="S103" s="72">
        <v>696</v>
      </c>
      <c r="T103" s="72">
        <v>1105.4000000000001</v>
      </c>
      <c r="U103" s="72">
        <v>0</v>
      </c>
      <c r="V103" s="72">
        <v>1</v>
      </c>
      <c r="W103" s="72">
        <v>1316.76</v>
      </c>
      <c r="X103" s="72">
        <v>1737.6200000000001</v>
      </c>
      <c r="Y103" s="72">
        <v>438.92</v>
      </c>
      <c r="Z103" s="72">
        <v>193.3</v>
      </c>
      <c r="AA103" s="72">
        <v>0</v>
      </c>
      <c r="AB103" s="72">
        <v>1105.4000000000001</v>
      </c>
      <c r="AC103" s="72">
        <v>691</v>
      </c>
      <c r="AD103" s="71">
        <v>45936</v>
      </c>
      <c r="AE103" s="70" t="s">
        <v>69</v>
      </c>
      <c r="AF103" s="70" t="s">
        <v>2072</v>
      </c>
      <c r="AG103" s="70" t="s">
        <v>562</v>
      </c>
      <c r="AI103" s="70" t="s">
        <v>537</v>
      </c>
      <c r="AJ103" s="70" t="s">
        <v>1457</v>
      </c>
      <c r="AM103" s="70" t="s">
        <v>791</v>
      </c>
      <c r="AN103" s="70" t="s">
        <v>2073</v>
      </c>
      <c r="AO103" s="70" t="s">
        <v>789</v>
      </c>
      <c r="AP103" s="70" t="s">
        <v>2074</v>
      </c>
      <c r="AQ103" s="70" t="s">
        <v>790</v>
      </c>
      <c r="AR103" s="70" t="s">
        <v>2075</v>
      </c>
      <c r="AY103" s="72">
        <v>3002.03</v>
      </c>
      <c r="AZ103" s="72">
        <v>0</v>
      </c>
      <c r="BA103" s="70" t="s">
        <v>67</v>
      </c>
      <c r="BB103" s="70" t="s">
        <v>1044</v>
      </c>
      <c r="BC103" s="70" t="s">
        <v>3002</v>
      </c>
      <c r="BD103" s="70" t="s">
        <v>381</v>
      </c>
      <c r="BE103" s="70" t="s">
        <v>74</v>
      </c>
      <c r="BF103" s="70" t="s">
        <v>194</v>
      </c>
      <c r="BH103" s="60" t="str">
        <f t="shared" si="1"/>
        <v>Ver en Mapa</v>
      </c>
      <c r="BK103" s="70">
        <v>3</v>
      </c>
      <c r="BL103" s="70">
        <v>3</v>
      </c>
      <c r="BM103" s="70" t="s">
        <v>2847</v>
      </c>
    </row>
    <row r="104" spans="1:65" s="68" customFormat="1" ht="14.4" customHeight="1" x14ac:dyDescent="0.3">
      <c r="A104" s="70" t="str">
        <f>H104</f>
        <v>001176</v>
      </c>
      <c r="B104" s="70" t="s">
        <v>61</v>
      </c>
      <c r="C104" s="70" t="s">
        <v>62</v>
      </c>
      <c r="D104" s="70" t="s">
        <v>408</v>
      </c>
      <c r="E104" s="70" t="s">
        <v>409</v>
      </c>
      <c r="F104" s="70" t="s">
        <v>2848</v>
      </c>
      <c r="G104" s="70" t="s">
        <v>2849</v>
      </c>
      <c r="H104" s="70" t="s">
        <v>1877</v>
      </c>
      <c r="I104" s="70" t="s">
        <v>67</v>
      </c>
      <c r="J104" s="70" t="s">
        <v>521</v>
      </c>
      <c r="K104" s="71">
        <v>45784</v>
      </c>
      <c r="L104" s="71">
        <v>46149</v>
      </c>
      <c r="M104" s="72">
        <v>15000</v>
      </c>
      <c r="N104" s="72">
        <v>15801.12</v>
      </c>
      <c r="O104" s="73">
        <v>7</v>
      </c>
      <c r="P104" s="73">
        <v>12</v>
      </c>
      <c r="Q104" s="70" t="s">
        <v>68</v>
      </c>
      <c r="R104" s="72">
        <v>2525.04</v>
      </c>
      <c r="S104" s="72">
        <v>696</v>
      </c>
      <c r="T104" s="72">
        <v>560</v>
      </c>
      <c r="U104" s="72">
        <v>0</v>
      </c>
      <c r="V104" s="72">
        <v>0.5</v>
      </c>
      <c r="W104" s="72">
        <v>10406.51</v>
      </c>
      <c r="X104" s="72">
        <v>1749.19</v>
      </c>
      <c r="Y104" s="72">
        <v>1189.19</v>
      </c>
      <c r="Z104" s="72">
        <v>0</v>
      </c>
      <c r="AA104" s="72">
        <v>0</v>
      </c>
      <c r="AB104" s="72">
        <v>560</v>
      </c>
      <c r="AC104" s="72">
        <v>20</v>
      </c>
      <c r="AD104" s="71">
        <v>45939</v>
      </c>
      <c r="AE104" s="70" t="s">
        <v>69</v>
      </c>
      <c r="AF104" s="70" t="s">
        <v>1878</v>
      </c>
      <c r="AG104" s="70" t="s">
        <v>522</v>
      </c>
      <c r="AI104" s="70" t="s">
        <v>523</v>
      </c>
      <c r="AJ104" s="70" t="s">
        <v>1879</v>
      </c>
      <c r="AM104" s="70" t="s">
        <v>736</v>
      </c>
      <c r="AN104" s="70" t="s">
        <v>1880</v>
      </c>
      <c r="AO104" s="70" t="s">
        <v>734</v>
      </c>
      <c r="AP104" s="70" t="s">
        <v>1881</v>
      </c>
      <c r="AQ104" s="70" t="s">
        <v>735</v>
      </c>
      <c r="AR104" s="70" t="s">
        <v>1882</v>
      </c>
      <c r="AY104" s="72">
        <v>19018.45</v>
      </c>
      <c r="AZ104" s="72">
        <v>0</v>
      </c>
      <c r="BA104" s="70" t="s">
        <v>67</v>
      </c>
      <c r="BB104" s="70" t="s">
        <v>1044</v>
      </c>
      <c r="BC104" s="70" t="s">
        <v>524</v>
      </c>
      <c r="BD104" s="70" t="s">
        <v>172</v>
      </c>
      <c r="BE104" s="70" t="s">
        <v>74</v>
      </c>
      <c r="BF104" s="70" t="s">
        <v>75</v>
      </c>
      <c r="BH104" s="60" t="str">
        <f t="shared" si="1"/>
        <v>Ver en Mapa</v>
      </c>
      <c r="BK104" s="70">
        <v>5</v>
      </c>
      <c r="BL104" s="70">
        <v>5</v>
      </c>
      <c r="BM104" s="70" t="s">
        <v>2847</v>
      </c>
    </row>
    <row r="105" spans="1:65" s="68" customFormat="1" ht="14.4" customHeight="1" x14ac:dyDescent="0.3">
      <c r="A105" s="70" t="str">
        <f>H105</f>
        <v>001149</v>
      </c>
      <c r="B105" s="70" t="s">
        <v>61</v>
      </c>
      <c r="C105" s="70" t="s">
        <v>62</v>
      </c>
      <c r="D105" s="70" t="s">
        <v>183</v>
      </c>
      <c r="E105" s="70" t="s">
        <v>184</v>
      </c>
      <c r="F105" s="70" t="s">
        <v>2848</v>
      </c>
      <c r="G105" s="70" t="s">
        <v>2849</v>
      </c>
      <c r="H105" s="70" t="s">
        <v>1871</v>
      </c>
      <c r="I105" s="70" t="s">
        <v>67</v>
      </c>
      <c r="J105" s="70" t="s">
        <v>361</v>
      </c>
      <c r="K105" s="71">
        <v>45723</v>
      </c>
      <c r="L105" s="71">
        <v>46088</v>
      </c>
      <c r="M105" s="72">
        <v>40000</v>
      </c>
      <c r="N105" s="72">
        <v>42136.31</v>
      </c>
      <c r="O105" s="73">
        <v>7</v>
      </c>
      <c r="P105" s="73">
        <v>12</v>
      </c>
      <c r="Q105" s="70" t="s">
        <v>68</v>
      </c>
      <c r="R105" s="72">
        <v>6064.3</v>
      </c>
      <c r="S105" s="72">
        <v>696</v>
      </c>
      <c r="T105" s="72">
        <v>580</v>
      </c>
      <c r="U105" s="72">
        <v>0</v>
      </c>
      <c r="V105" s="72">
        <v>1</v>
      </c>
      <c r="W105" s="72">
        <v>21068.15</v>
      </c>
      <c r="X105" s="72">
        <v>6644.0782992222221</v>
      </c>
      <c r="Y105" s="72">
        <v>3511.35</v>
      </c>
      <c r="Z105" s="72">
        <v>2494.9299999999998</v>
      </c>
      <c r="AA105" s="72">
        <v>57.79</v>
      </c>
      <c r="AB105" s="72">
        <v>580</v>
      </c>
      <c r="AC105" s="72">
        <v>6638</v>
      </c>
      <c r="AD105" s="71">
        <v>45933</v>
      </c>
      <c r="AE105" s="70" t="s">
        <v>69</v>
      </c>
      <c r="AF105" s="70" t="s">
        <v>1872</v>
      </c>
      <c r="AG105" s="70" t="s">
        <v>362</v>
      </c>
      <c r="AI105" s="70" t="s">
        <v>192</v>
      </c>
      <c r="AJ105" s="70" t="s">
        <v>193</v>
      </c>
      <c r="AK105" s="70" t="s">
        <v>363</v>
      </c>
      <c r="AL105" s="70" t="s">
        <v>1873</v>
      </c>
      <c r="AM105" s="70" t="s">
        <v>725</v>
      </c>
      <c r="AN105" s="70" t="s">
        <v>1874</v>
      </c>
      <c r="AO105" s="70" t="s">
        <v>723</v>
      </c>
      <c r="AP105" s="70" t="s">
        <v>1875</v>
      </c>
      <c r="AQ105" s="70" t="s">
        <v>724</v>
      </c>
      <c r="AR105" s="70" t="s">
        <v>1876</v>
      </c>
      <c r="AS105" s="70" t="s">
        <v>122</v>
      </c>
      <c r="AT105" s="68" t="s">
        <v>364</v>
      </c>
      <c r="AU105" s="70" t="s">
        <v>365</v>
      </c>
      <c r="AY105" s="72">
        <v>36675.56</v>
      </c>
      <c r="AZ105" s="72">
        <v>0</v>
      </c>
      <c r="BA105" s="70" t="s">
        <v>67</v>
      </c>
      <c r="BB105" s="70" t="s">
        <v>1044</v>
      </c>
      <c r="BC105" s="70" t="s">
        <v>2948</v>
      </c>
      <c r="BD105" s="70" t="s">
        <v>125</v>
      </c>
      <c r="BE105" s="70" t="s">
        <v>74</v>
      </c>
      <c r="BF105" s="70" t="s">
        <v>75</v>
      </c>
      <c r="BH105" s="60" t="str">
        <f t="shared" si="1"/>
        <v>Ver en Mapa</v>
      </c>
      <c r="BK105" s="70">
        <v>4</v>
      </c>
      <c r="BL105" s="70">
        <v>4</v>
      </c>
      <c r="BM105" s="70" t="s">
        <v>2847</v>
      </c>
    </row>
    <row r="106" spans="1:65" s="68" customFormat="1" ht="14.4" customHeight="1" x14ac:dyDescent="0.3">
      <c r="A106" s="70" t="str">
        <f>H106</f>
        <v>001196</v>
      </c>
      <c r="B106" s="70" t="s">
        <v>61</v>
      </c>
      <c r="C106" s="70" t="s">
        <v>273</v>
      </c>
      <c r="D106" s="70" t="s">
        <v>408</v>
      </c>
      <c r="E106" s="70" t="s">
        <v>409</v>
      </c>
      <c r="F106" s="70" t="s">
        <v>590</v>
      </c>
      <c r="G106" s="70" t="s">
        <v>2763</v>
      </c>
      <c r="H106" s="70" t="s">
        <v>2646</v>
      </c>
      <c r="I106" s="70" t="s">
        <v>76</v>
      </c>
      <c r="J106" s="70" t="s">
        <v>2647</v>
      </c>
      <c r="K106" s="71">
        <v>45876</v>
      </c>
      <c r="L106" s="71">
        <v>46241</v>
      </c>
      <c r="M106" s="72">
        <v>350000</v>
      </c>
      <c r="N106" s="72">
        <v>368692.72000000003</v>
      </c>
      <c r="O106" s="73">
        <v>7</v>
      </c>
      <c r="P106" s="73">
        <v>12</v>
      </c>
      <c r="Q106" s="70" t="s">
        <v>68</v>
      </c>
      <c r="R106" s="72">
        <v>47915.51</v>
      </c>
      <c r="S106" s="72">
        <v>696</v>
      </c>
      <c r="T106" s="72">
        <v>580</v>
      </c>
      <c r="U106" s="72">
        <v>0</v>
      </c>
      <c r="V106" s="72">
        <v>0</v>
      </c>
      <c r="W106" s="72">
        <v>307823.93</v>
      </c>
      <c r="X106" s="72">
        <v>1159.9972949473549</v>
      </c>
      <c r="Y106" s="72">
        <v>580</v>
      </c>
      <c r="Z106" s="72">
        <v>0</v>
      </c>
      <c r="AA106" s="72">
        <v>0</v>
      </c>
      <c r="AB106" s="72">
        <v>580</v>
      </c>
      <c r="AC106" s="72">
        <v>47915.51</v>
      </c>
      <c r="AD106" s="71">
        <v>45937</v>
      </c>
      <c r="AE106" s="70" t="s">
        <v>69</v>
      </c>
      <c r="AF106" s="70" t="s">
        <v>2648</v>
      </c>
      <c r="AG106" s="70" t="s">
        <v>2649</v>
      </c>
      <c r="AI106" s="70" t="s">
        <v>86</v>
      </c>
      <c r="AJ106" s="70" t="s">
        <v>87</v>
      </c>
      <c r="AK106" s="70" t="s">
        <v>2650</v>
      </c>
      <c r="AM106" s="70" t="s">
        <v>2651</v>
      </c>
      <c r="AN106" s="70" t="s">
        <v>2652</v>
      </c>
      <c r="AO106" s="70" t="s">
        <v>2653</v>
      </c>
      <c r="AP106" s="70" t="s">
        <v>2654</v>
      </c>
      <c r="AQ106" s="70" t="s">
        <v>2655</v>
      </c>
      <c r="AR106" s="70" t="s">
        <v>2656</v>
      </c>
      <c r="AS106" s="70" t="s">
        <v>122</v>
      </c>
      <c r="AT106" s="68" t="s">
        <v>2657</v>
      </c>
      <c r="AU106" s="70" t="s">
        <v>2658</v>
      </c>
      <c r="AY106" s="72">
        <v>479735.08</v>
      </c>
      <c r="AZ106" s="72">
        <v>0</v>
      </c>
      <c r="BA106" s="70" t="s">
        <v>76</v>
      </c>
      <c r="BB106" s="70" t="s">
        <v>1600</v>
      </c>
      <c r="BC106" s="70" t="s">
        <v>2659</v>
      </c>
      <c r="BD106" s="70" t="s">
        <v>335</v>
      </c>
      <c r="BE106" s="70" t="s">
        <v>74</v>
      </c>
      <c r="BF106" s="70" t="s">
        <v>2660</v>
      </c>
      <c r="BH106" s="60" t="str">
        <f t="shared" si="1"/>
        <v>Ver en Mapa</v>
      </c>
      <c r="BK106" s="70">
        <v>2</v>
      </c>
      <c r="BL106" s="70">
        <v>2</v>
      </c>
      <c r="BM106" s="70" t="s">
        <v>2847</v>
      </c>
    </row>
    <row r="107" spans="1:65" s="68" customFormat="1" ht="14.4" customHeight="1" x14ac:dyDescent="0.3">
      <c r="A107" s="70" t="str">
        <f>H107</f>
        <v>001392</v>
      </c>
      <c r="B107" s="70" t="s">
        <v>61</v>
      </c>
      <c r="C107" s="70" t="s">
        <v>392</v>
      </c>
      <c r="D107" s="70" t="s">
        <v>657</v>
      </c>
      <c r="E107" s="70" t="s">
        <v>658</v>
      </c>
      <c r="F107" s="70" t="s">
        <v>590</v>
      </c>
      <c r="G107" s="70" t="s">
        <v>2763</v>
      </c>
      <c r="H107" s="70" t="s">
        <v>1539</v>
      </c>
      <c r="I107" s="70" t="s">
        <v>67</v>
      </c>
      <c r="J107" s="70" t="s">
        <v>1208</v>
      </c>
      <c r="K107" s="71">
        <v>45825</v>
      </c>
      <c r="L107" s="71">
        <v>45993</v>
      </c>
      <c r="M107" s="72">
        <v>8000</v>
      </c>
      <c r="N107" s="72">
        <v>8427.26</v>
      </c>
      <c r="O107" s="73">
        <v>7</v>
      </c>
      <c r="P107" s="73">
        <v>12</v>
      </c>
      <c r="Q107" s="70" t="s">
        <v>496</v>
      </c>
      <c r="R107" s="72">
        <v>1042.6400000000001</v>
      </c>
      <c r="S107" s="72">
        <v>696</v>
      </c>
      <c r="T107" s="72">
        <v>0</v>
      </c>
      <c r="U107" s="72">
        <v>8</v>
      </c>
      <c r="V107" s="72">
        <v>0.2</v>
      </c>
      <c r="W107" s="72">
        <v>2968.2200000000003</v>
      </c>
      <c r="X107" s="72">
        <v>159.13330000000002</v>
      </c>
      <c r="Y107" s="72">
        <v>159.13</v>
      </c>
      <c r="Z107" s="72">
        <v>0</v>
      </c>
      <c r="AA107" s="72">
        <v>0</v>
      </c>
      <c r="AB107" s="72">
        <v>0</v>
      </c>
      <c r="AC107" s="72">
        <v>1050</v>
      </c>
      <c r="AD107" s="71">
        <v>45940</v>
      </c>
      <c r="AE107" s="70" t="s">
        <v>69</v>
      </c>
      <c r="AF107" s="70" t="s">
        <v>1540</v>
      </c>
      <c r="AG107" s="70" t="s">
        <v>1209</v>
      </c>
      <c r="AI107" s="70" t="s">
        <v>98</v>
      </c>
      <c r="AJ107" s="70" t="s">
        <v>99</v>
      </c>
      <c r="AM107" s="70" t="s">
        <v>1210</v>
      </c>
      <c r="AN107" s="70" t="s">
        <v>1541</v>
      </c>
      <c r="AO107" s="70" t="s">
        <v>1211</v>
      </c>
      <c r="AP107" s="70" t="s">
        <v>1542</v>
      </c>
      <c r="AQ107" s="70" t="s">
        <v>1212</v>
      </c>
      <c r="AR107" s="70" t="s">
        <v>1543</v>
      </c>
      <c r="AY107" s="72">
        <v>4097.6900000000005</v>
      </c>
      <c r="AZ107" s="72">
        <v>0</v>
      </c>
      <c r="BA107" s="70" t="s">
        <v>67</v>
      </c>
      <c r="BB107" s="70" t="s">
        <v>1044</v>
      </c>
      <c r="BC107" s="70" t="s">
        <v>2875</v>
      </c>
      <c r="BD107" s="70" t="s">
        <v>1214</v>
      </c>
      <c r="BE107" s="70" t="s">
        <v>74</v>
      </c>
      <c r="BF107" s="70" t="s">
        <v>670</v>
      </c>
      <c r="BG107" s="70" t="s">
        <v>1215</v>
      </c>
      <c r="BH107" s="60" t="str">
        <f t="shared" si="1"/>
        <v>Ver en Mapa</v>
      </c>
      <c r="BK107" s="70">
        <v>5</v>
      </c>
      <c r="BL107" s="70">
        <v>4</v>
      </c>
      <c r="BM107" s="70" t="s">
        <v>2847</v>
      </c>
    </row>
    <row r="108" spans="1:65" s="68" customFormat="1" ht="14.4" customHeight="1" x14ac:dyDescent="0.3">
      <c r="A108" s="70" t="str">
        <f>H108</f>
        <v>001242</v>
      </c>
      <c r="B108" s="70" t="s">
        <v>61</v>
      </c>
      <c r="C108" s="70" t="s">
        <v>62</v>
      </c>
      <c r="D108" s="70" t="s">
        <v>408</v>
      </c>
      <c r="E108" s="70" t="s">
        <v>409</v>
      </c>
      <c r="F108" s="70" t="s">
        <v>590</v>
      </c>
      <c r="G108" s="70" t="s">
        <v>2763</v>
      </c>
      <c r="H108" s="70" t="s">
        <v>1899</v>
      </c>
      <c r="I108" s="70" t="s">
        <v>67</v>
      </c>
      <c r="J108" s="70" t="s">
        <v>358</v>
      </c>
      <c r="K108" s="71">
        <v>45756</v>
      </c>
      <c r="L108" s="71">
        <v>46121</v>
      </c>
      <c r="M108" s="72">
        <v>30000</v>
      </c>
      <c r="N108" s="72">
        <v>31602.23</v>
      </c>
      <c r="O108" s="73">
        <v>5</v>
      </c>
      <c r="P108" s="73">
        <v>12</v>
      </c>
      <c r="Q108" s="70" t="s">
        <v>68</v>
      </c>
      <c r="R108" s="72">
        <v>4412.13</v>
      </c>
      <c r="S108" s="72">
        <v>696</v>
      </c>
      <c r="T108" s="72">
        <v>580</v>
      </c>
      <c r="U108" s="72">
        <v>0</v>
      </c>
      <c r="V108" s="72">
        <v>1</v>
      </c>
      <c r="W108" s="72">
        <v>18434.63</v>
      </c>
      <c r="X108" s="72">
        <v>4991.7750000000005</v>
      </c>
      <c r="Y108" s="72">
        <v>2633.52</v>
      </c>
      <c r="Z108" s="72">
        <v>1720.6100000000001</v>
      </c>
      <c r="AA108" s="72">
        <v>57.65</v>
      </c>
      <c r="AB108" s="72">
        <v>580</v>
      </c>
      <c r="AC108" s="72">
        <v>4989</v>
      </c>
      <c r="AD108" s="71">
        <v>45929</v>
      </c>
      <c r="AE108" s="70" t="s">
        <v>69</v>
      </c>
      <c r="AF108" s="70" t="s">
        <v>1900</v>
      </c>
      <c r="AG108" s="70" t="s">
        <v>2782</v>
      </c>
      <c r="AI108" s="70" t="s">
        <v>121</v>
      </c>
      <c r="AJ108" s="70" t="s">
        <v>1901</v>
      </c>
      <c r="AK108" s="70" t="s">
        <v>451</v>
      </c>
      <c r="AL108" s="70" t="s">
        <v>1900</v>
      </c>
      <c r="AM108" s="70" t="s">
        <v>748</v>
      </c>
      <c r="AN108" s="70" t="s">
        <v>1902</v>
      </c>
      <c r="AO108" s="70" t="s">
        <v>746</v>
      </c>
      <c r="AP108" s="70" t="s">
        <v>1903</v>
      </c>
      <c r="AQ108" s="70" t="s">
        <v>747</v>
      </c>
      <c r="AR108" s="70" t="s">
        <v>1904</v>
      </c>
      <c r="AS108" s="70" t="s">
        <v>122</v>
      </c>
      <c r="AT108" s="75" t="s">
        <v>359</v>
      </c>
      <c r="AU108" s="70" t="s">
        <v>360</v>
      </c>
      <c r="AY108" s="72">
        <v>31116.55</v>
      </c>
      <c r="AZ108" s="72">
        <v>0</v>
      </c>
      <c r="BA108" s="70" t="s">
        <v>67</v>
      </c>
      <c r="BB108" s="70" t="s">
        <v>1044</v>
      </c>
      <c r="BC108" s="70" t="s">
        <v>2955</v>
      </c>
      <c r="BD108" s="70" t="s">
        <v>452</v>
      </c>
      <c r="BE108" s="70" t="s">
        <v>74</v>
      </c>
      <c r="BF108" s="70" t="s">
        <v>75</v>
      </c>
      <c r="BH108" s="60" t="str">
        <f t="shared" si="1"/>
        <v>Ver en Mapa</v>
      </c>
      <c r="BK108" s="70">
        <v>2</v>
      </c>
      <c r="BL108" s="70">
        <v>2</v>
      </c>
      <c r="BM108" s="70" t="s">
        <v>2847</v>
      </c>
    </row>
    <row r="109" spans="1:65" s="68" customFormat="1" ht="14.4" customHeight="1" x14ac:dyDescent="0.3">
      <c r="A109" s="70" t="str">
        <f>H109</f>
        <v>001384</v>
      </c>
      <c r="B109" s="70" t="s">
        <v>61</v>
      </c>
      <c r="C109" s="70" t="s">
        <v>273</v>
      </c>
      <c r="D109" s="70" t="s">
        <v>1533</v>
      </c>
      <c r="E109" s="70" t="s">
        <v>599</v>
      </c>
      <c r="F109" s="70" t="s">
        <v>590</v>
      </c>
      <c r="G109" s="70" t="s">
        <v>2763</v>
      </c>
      <c r="H109" s="70" t="s">
        <v>2441</v>
      </c>
      <c r="I109" s="70" t="s">
        <v>67</v>
      </c>
      <c r="J109" s="70" t="s">
        <v>1124</v>
      </c>
      <c r="K109" s="71">
        <v>45817</v>
      </c>
      <c r="L109" s="71">
        <v>46182</v>
      </c>
      <c r="M109" s="72">
        <v>30000</v>
      </c>
      <c r="N109" s="72">
        <v>31602.23</v>
      </c>
      <c r="O109" s="73">
        <v>5</v>
      </c>
      <c r="P109" s="73">
        <v>12</v>
      </c>
      <c r="Q109" s="70" t="s">
        <v>68</v>
      </c>
      <c r="R109" s="72">
        <v>4992.07</v>
      </c>
      <c r="S109" s="72">
        <v>696</v>
      </c>
      <c r="T109" s="72">
        <v>580</v>
      </c>
      <c r="U109" s="72">
        <v>0</v>
      </c>
      <c r="V109" s="72">
        <v>1</v>
      </c>
      <c r="W109" s="72">
        <v>23701.670000000002</v>
      </c>
      <c r="X109" s="72">
        <v>5571.2966999999999</v>
      </c>
      <c r="Y109" s="72">
        <v>2633.52</v>
      </c>
      <c r="Z109" s="72">
        <v>2300.56</v>
      </c>
      <c r="AA109" s="72">
        <v>57.22</v>
      </c>
      <c r="AB109" s="72">
        <v>580</v>
      </c>
      <c r="AC109" s="72">
        <v>5571</v>
      </c>
      <c r="AD109" s="71">
        <v>45917</v>
      </c>
      <c r="AE109" s="70" t="s">
        <v>69</v>
      </c>
      <c r="AF109" s="70" t="s">
        <v>2442</v>
      </c>
      <c r="AG109" s="70" t="s">
        <v>1125</v>
      </c>
      <c r="AI109" s="70" t="s">
        <v>86</v>
      </c>
      <c r="AJ109" s="70" t="s">
        <v>87</v>
      </c>
      <c r="AK109" s="70" t="s">
        <v>1126</v>
      </c>
      <c r="AL109" s="70" t="s">
        <v>2442</v>
      </c>
      <c r="AM109" s="70" t="s">
        <v>1127</v>
      </c>
      <c r="AN109" s="70" t="s">
        <v>2443</v>
      </c>
      <c r="AO109" s="70" t="s">
        <v>1128</v>
      </c>
      <c r="AP109" s="70" t="s">
        <v>2444</v>
      </c>
      <c r="AQ109" s="70" t="s">
        <v>1129</v>
      </c>
      <c r="AR109" s="70" t="s">
        <v>2445</v>
      </c>
      <c r="AY109" s="72">
        <v>45043.88</v>
      </c>
      <c r="AZ109" s="72">
        <v>0</v>
      </c>
      <c r="BA109" s="70" t="s">
        <v>67</v>
      </c>
      <c r="BB109" s="70" t="s">
        <v>1044</v>
      </c>
      <c r="BC109" s="70" t="s">
        <v>2880</v>
      </c>
      <c r="BD109" s="70" t="s">
        <v>1029</v>
      </c>
      <c r="BE109" s="70" t="s">
        <v>74</v>
      </c>
      <c r="BF109" s="70" t="s">
        <v>204</v>
      </c>
      <c r="BG109" s="70" t="s">
        <v>1130</v>
      </c>
      <c r="BH109" s="60" t="str">
        <f t="shared" si="1"/>
        <v>Ver en Mapa</v>
      </c>
      <c r="BK109" s="70">
        <v>2</v>
      </c>
      <c r="BL109" s="70">
        <v>2</v>
      </c>
      <c r="BM109" s="70" t="s">
        <v>2847</v>
      </c>
    </row>
    <row r="110" spans="1:65" s="68" customFormat="1" ht="14.4" customHeight="1" x14ac:dyDescent="0.3">
      <c r="A110" s="70" t="str">
        <f>H110</f>
        <v>001371</v>
      </c>
      <c r="B110" s="70" t="s">
        <v>61</v>
      </c>
      <c r="C110" s="70" t="s">
        <v>273</v>
      </c>
      <c r="D110" s="70" t="s">
        <v>408</v>
      </c>
      <c r="E110" s="70" t="s">
        <v>409</v>
      </c>
      <c r="F110" s="70" t="s">
        <v>590</v>
      </c>
      <c r="G110" s="70" t="s">
        <v>2763</v>
      </c>
      <c r="H110" s="70" t="s">
        <v>2535</v>
      </c>
      <c r="I110" s="70" t="s">
        <v>67</v>
      </c>
      <c r="J110" s="70" t="s">
        <v>2536</v>
      </c>
      <c r="K110" s="71">
        <v>45817</v>
      </c>
      <c r="L110" s="71">
        <v>46182</v>
      </c>
      <c r="M110" s="72">
        <v>300000</v>
      </c>
      <c r="N110" s="72">
        <v>300000</v>
      </c>
      <c r="O110" s="73">
        <v>5</v>
      </c>
      <c r="P110" s="73">
        <v>12</v>
      </c>
      <c r="Q110" s="70" t="s">
        <v>68</v>
      </c>
      <c r="R110" s="72">
        <v>18000</v>
      </c>
      <c r="S110" s="72">
        <v>0</v>
      </c>
      <c r="T110" s="72">
        <v>0</v>
      </c>
      <c r="U110" s="72">
        <v>0</v>
      </c>
      <c r="V110" s="72">
        <v>1</v>
      </c>
      <c r="W110" s="72">
        <v>300000</v>
      </c>
      <c r="X110" s="72">
        <v>18000</v>
      </c>
      <c r="Y110" s="72">
        <v>0</v>
      </c>
      <c r="Z110" s="72">
        <v>18000</v>
      </c>
      <c r="AA110" s="72">
        <v>0</v>
      </c>
      <c r="AB110" s="72">
        <v>0</v>
      </c>
      <c r="AC110" s="72">
        <v>18000</v>
      </c>
      <c r="AD110" s="71">
        <v>45918</v>
      </c>
      <c r="AE110" s="70" t="s">
        <v>69</v>
      </c>
      <c r="AF110" s="70" t="s">
        <v>2537</v>
      </c>
      <c r="AG110" s="70" t="s">
        <v>2538</v>
      </c>
      <c r="AI110" s="70" t="s">
        <v>2539</v>
      </c>
      <c r="AJ110" s="70" t="s">
        <v>2540</v>
      </c>
      <c r="AK110" s="70" t="s">
        <v>2541</v>
      </c>
      <c r="AL110" s="70" t="s">
        <v>2542</v>
      </c>
      <c r="AM110" s="70" t="s">
        <v>2543</v>
      </c>
      <c r="AN110" s="70" t="s">
        <v>2544</v>
      </c>
      <c r="AO110" s="70" t="s">
        <v>2545</v>
      </c>
      <c r="AP110" s="70" t="s">
        <v>2546</v>
      </c>
      <c r="AQ110" s="70" t="s">
        <v>2547</v>
      </c>
      <c r="AR110" s="70" t="s">
        <v>2548</v>
      </c>
      <c r="AY110" s="72">
        <v>318000</v>
      </c>
      <c r="AZ110" s="72">
        <v>0</v>
      </c>
      <c r="BA110" s="70" t="s">
        <v>2549</v>
      </c>
      <c r="BB110" s="70" t="s">
        <v>2550</v>
      </c>
      <c r="BC110" s="70" t="s">
        <v>2551</v>
      </c>
      <c r="BD110" s="70" t="s">
        <v>2552</v>
      </c>
      <c r="BE110" s="70" t="s">
        <v>74</v>
      </c>
      <c r="BF110" s="70" t="s">
        <v>334</v>
      </c>
      <c r="BH110" s="60" t="str">
        <f t="shared" si="1"/>
        <v>Ver en Mapa</v>
      </c>
      <c r="BK110" s="70">
        <v>4</v>
      </c>
      <c r="BL110" s="70">
        <v>4</v>
      </c>
      <c r="BM110" s="70" t="s">
        <v>2847</v>
      </c>
    </row>
    <row r="111" spans="1:65" s="68" customFormat="1" ht="14.4" customHeight="1" x14ac:dyDescent="0.3">
      <c r="A111" s="70" t="str">
        <f>H111</f>
        <v>001294</v>
      </c>
      <c r="B111" s="70" t="s">
        <v>61</v>
      </c>
      <c r="C111" s="70" t="s">
        <v>62</v>
      </c>
      <c r="D111" s="70" t="s">
        <v>2836</v>
      </c>
      <c r="E111" s="70" t="s">
        <v>2837</v>
      </c>
      <c r="F111" s="70" t="s">
        <v>590</v>
      </c>
      <c r="G111" s="70" t="s">
        <v>2763</v>
      </c>
      <c r="H111" s="70" t="s">
        <v>1911</v>
      </c>
      <c r="I111" s="70" t="s">
        <v>76</v>
      </c>
      <c r="J111" s="70" t="s">
        <v>525</v>
      </c>
      <c r="K111" s="71">
        <v>45912</v>
      </c>
      <c r="L111" s="71">
        <v>46080</v>
      </c>
      <c r="M111" s="72">
        <v>7000</v>
      </c>
      <c r="N111" s="72">
        <v>7373.85</v>
      </c>
      <c r="O111" s="73">
        <v>4</v>
      </c>
      <c r="P111" s="73">
        <v>12</v>
      </c>
      <c r="Q111" s="70" t="s">
        <v>496</v>
      </c>
      <c r="R111" s="72">
        <v>919.56000000000006</v>
      </c>
      <c r="S111" s="72">
        <v>696</v>
      </c>
      <c r="T111" s="72">
        <v>580</v>
      </c>
      <c r="U111" s="72">
        <v>2</v>
      </c>
      <c r="V111" s="72">
        <v>1</v>
      </c>
      <c r="W111" s="72">
        <v>6759.3600000000006</v>
      </c>
      <c r="X111" s="72">
        <v>1499.5650000000001</v>
      </c>
      <c r="Y111" s="72">
        <v>614.49</v>
      </c>
      <c r="Z111" s="72">
        <v>247.08</v>
      </c>
      <c r="AA111" s="72">
        <v>58</v>
      </c>
      <c r="AB111" s="72">
        <v>580</v>
      </c>
      <c r="AC111" s="72">
        <v>919.56000000000006</v>
      </c>
      <c r="AD111" s="71">
        <v>45926</v>
      </c>
      <c r="AE111" s="70" t="s">
        <v>69</v>
      </c>
      <c r="AF111" s="70" t="s">
        <v>1912</v>
      </c>
      <c r="AG111" s="70" t="s">
        <v>2838</v>
      </c>
      <c r="AI111" s="70" t="s">
        <v>526</v>
      </c>
      <c r="AJ111" s="70" t="s">
        <v>527</v>
      </c>
      <c r="AK111" s="70" t="s">
        <v>2839</v>
      </c>
      <c r="AL111" s="70" t="s">
        <v>1912</v>
      </c>
      <c r="AM111" s="70" t="s">
        <v>757</v>
      </c>
      <c r="AN111" s="70" t="s">
        <v>1913</v>
      </c>
      <c r="AO111" s="70" t="s">
        <v>755</v>
      </c>
      <c r="AP111" s="70" t="s">
        <v>1914</v>
      </c>
      <c r="AQ111" s="70" t="s">
        <v>756</v>
      </c>
      <c r="AR111" s="70" t="s">
        <v>2840</v>
      </c>
      <c r="AY111" s="72">
        <v>10115.17</v>
      </c>
      <c r="AZ111" s="72">
        <v>0</v>
      </c>
      <c r="BA111" s="70" t="s">
        <v>67</v>
      </c>
      <c r="BB111" s="70" t="s">
        <v>1044</v>
      </c>
      <c r="BC111" s="70" t="s">
        <v>528</v>
      </c>
      <c r="BD111" s="70" t="s">
        <v>529</v>
      </c>
      <c r="BE111" s="70" t="s">
        <v>74</v>
      </c>
      <c r="BF111" s="70" t="s">
        <v>338</v>
      </c>
      <c r="BH111" s="60" t="str">
        <f t="shared" si="1"/>
        <v>Ver en Mapa</v>
      </c>
      <c r="BK111" s="70">
        <v>1</v>
      </c>
      <c r="BL111" s="70">
        <v>1</v>
      </c>
      <c r="BM111" s="70" t="s">
        <v>2847</v>
      </c>
    </row>
    <row r="112" spans="1:65" s="68" customFormat="1" ht="14.4" customHeight="1" x14ac:dyDescent="0.3">
      <c r="A112" s="70" t="str">
        <f>H112</f>
        <v>001562</v>
      </c>
      <c r="B112" s="70" t="s">
        <v>61</v>
      </c>
      <c r="C112" s="70" t="s">
        <v>62</v>
      </c>
      <c r="D112" s="70" t="s">
        <v>1429</v>
      </c>
      <c r="E112" s="70" t="s">
        <v>617</v>
      </c>
      <c r="F112" s="70" t="s">
        <v>590</v>
      </c>
      <c r="G112" s="70" t="s">
        <v>2763</v>
      </c>
      <c r="H112" s="70" t="s">
        <v>2058</v>
      </c>
      <c r="I112" s="70" t="s">
        <v>67</v>
      </c>
      <c r="J112" s="70" t="s">
        <v>1704</v>
      </c>
      <c r="K112" s="71">
        <v>45856</v>
      </c>
      <c r="L112" s="71">
        <v>45968</v>
      </c>
      <c r="M112" s="72">
        <v>10000</v>
      </c>
      <c r="N112" s="72">
        <v>10534.08</v>
      </c>
      <c r="O112" s="73">
        <v>4</v>
      </c>
      <c r="P112" s="73">
        <v>16</v>
      </c>
      <c r="Q112" s="70" t="s">
        <v>469</v>
      </c>
      <c r="R112" s="72">
        <v>892.86</v>
      </c>
      <c r="S112" s="72">
        <v>928</v>
      </c>
      <c r="T112" s="72">
        <v>580</v>
      </c>
      <c r="U112" s="72">
        <v>12</v>
      </c>
      <c r="V112" s="72">
        <v>1</v>
      </c>
      <c r="W112" s="72">
        <v>3291.9</v>
      </c>
      <c r="X112" s="72">
        <v>1471.4714432000001</v>
      </c>
      <c r="Y112" s="72">
        <v>658.38</v>
      </c>
      <c r="Z112" s="72">
        <v>176.48</v>
      </c>
      <c r="AA112" s="72">
        <v>56.61</v>
      </c>
      <c r="AB112" s="72">
        <v>580</v>
      </c>
      <c r="AC112" s="72">
        <v>893</v>
      </c>
      <c r="AD112" s="71">
        <v>45933</v>
      </c>
      <c r="AE112" s="70" t="s">
        <v>69</v>
      </c>
      <c r="AF112" s="70" t="s">
        <v>2059</v>
      </c>
      <c r="AG112" s="70" t="s">
        <v>1705</v>
      </c>
      <c r="AI112" s="70" t="s">
        <v>565</v>
      </c>
      <c r="AJ112" s="70" t="s">
        <v>1907</v>
      </c>
      <c r="AK112" s="70" t="s">
        <v>1706</v>
      </c>
      <c r="AL112" s="70" t="s">
        <v>2059</v>
      </c>
      <c r="AM112" s="70" t="s">
        <v>1707</v>
      </c>
      <c r="AN112" s="70" t="s">
        <v>2060</v>
      </c>
      <c r="AO112" s="70" t="s">
        <v>1708</v>
      </c>
      <c r="AP112" s="70" t="s">
        <v>2061</v>
      </c>
      <c r="AQ112" s="70" t="s">
        <v>1709</v>
      </c>
      <c r="AR112" s="70" t="s">
        <v>2062</v>
      </c>
      <c r="AY112" s="72">
        <v>4810.92</v>
      </c>
      <c r="AZ112" s="72">
        <v>0</v>
      </c>
      <c r="BA112" s="70" t="s">
        <v>67</v>
      </c>
      <c r="BB112" s="70" t="s">
        <v>1044</v>
      </c>
      <c r="BC112" s="70" t="s">
        <v>2991</v>
      </c>
      <c r="BD112" s="70" t="s">
        <v>1711</v>
      </c>
      <c r="BE112" s="70" t="s">
        <v>74</v>
      </c>
      <c r="BF112" s="70" t="s">
        <v>1402</v>
      </c>
      <c r="BG112" s="70" t="s">
        <v>1712</v>
      </c>
      <c r="BH112" s="60" t="str">
        <f t="shared" si="1"/>
        <v>Ver en Mapa</v>
      </c>
      <c r="BK112" s="70">
        <v>1</v>
      </c>
      <c r="BL112" s="70">
        <v>1</v>
      </c>
      <c r="BM112" s="70" t="s">
        <v>2847</v>
      </c>
    </row>
    <row r="113" spans="1:65" s="68" customFormat="1" ht="14.4" customHeight="1" x14ac:dyDescent="0.3">
      <c r="A113" s="70" t="str">
        <f>H113</f>
        <v>001098</v>
      </c>
      <c r="B113" s="70" t="s">
        <v>61</v>
      </c>
      <c r="C113" s="70" t="s">
        <v>62</v>
      </c>
      <c r="D113" s="70" t="s">
        <v>1853</v>
      </c>
      <c r="E113" s="70" t="s">
        <v>137</v>
      </c>
      <c r="F113" s="70" t="s">
        <v>590</v>
      </c>
      <c r="G113" s="70" t="s">
        <v>2763</v>
      </c>
      <c r="H113" s="70" t="s">
        <v>1854</v>
      </c>
      <c r="I113" s="70" t="s">
        <v>67</v>
      </c>
      <c r="J113" s="70" t="s">
        <v>166</v>
      </c>
      <c r="K113" s="71">
        <v>45576</v>
      </c>
      <c r="L113" s="71">
        <v>45941</v>
      </c>
      <c r="M113" s="72">
        <v>45000</v>
      </c>
      <c r="N113" s="72">
        <v>47403.35</v>
      </c>
      <c r="O113" s="73">
        <v>1</v>
      </c>
      <c r="P113" s="73">
        <v>12</v>
      </c>
      <c r="Q113" s="70" t="s">
        <v>68</v>
      </c>
      <c r="R113" s="72">
        <v>6711.3</v>
      </c>
      <c r="S113" s="72">
        <v>696</v>
      </c>
      <c r="T113" s="72">
        <v>580</v>
      </c>
      <c r="U113" s="72">
        <v>0</v>
      </c>
      <c r="V113" s="72">
        <v>1</v>
      </c>
      <c r="W113" s="72">
        <v>6098.25</v>
      </c>
      <c r="X113" s="72">
        <v>7290</v>
      </c>
      <c r="Y113" s="72">
        <v>6098.26</v>
      </c>
      <c r="Z113" s="72">
        <v>555.04</v>
      </c>
      <c r="AA113" s="72">
        <v>56.7</v>
      </c>
      <c r="AB113" s="72">
        <v>580</v>
      </c>
      <c r="AC113" s="72">
        <v>6711</v>
      </c>
      <c r="AD113" s="71">
        <v>45911</v>
      </c>
      <c r="AE113" s="70" t="s">
        <v>69</v>
      </c>
      <c r="AF113" s="70" t="s">
        <v>1855</v>
      </c>
      <c r="AG113" s="70" t="s">
        <v>167</v>
      </c>
      <c r="AI113" s="70" t="s">
        <v>168</v>
      </c>
      <c r="AJ113" s="70" t="s">
        <v>1856</v>
      </c>
      <c r="AK113" s="70" t="s">
        <v>169</v>
      </c>
      <c r="AM113" s="70" t="s">
        <v>702</v>
      </c>
      <c r="AN113" s="70" t="s">
        <v>1857</v>
      </c>
      <c r="AO113" s="70" t="s">
        <v>700</v>
      </c>
      <c r="AP113" s="70" t="s">
        <v>1858</v>
      </c>
      <c r="AQ113" s="70" t="s">
        <v>701</v>
      </c>
      <c r="AR113" s="70" t="s">
        <v>1859</v>
      </c>
      <c r="AS113" s="70" t="s">
        <v>122</v>
      </c>
      <c r="AT113" s="68" t="s">
        <v>170</v>
      </c>
      <c r="AU113" s="70" t="s">
        <v>171</v>
      </c>
      <c r="AY113" s="72">
        <v>7289.99</v>
      </c>
      <c r="AZ113" s="72">
        <v>0</v>
      </c>
      <c r="BA113" s="70" t="s">
        <v>135</v>
      </c>
      <c r="BB113" s="70" t="s">
        <v>136</v>
      </c>
      <c r="BC113" s="70" t="s">
        <v>3015</v>
      </c>
      <c r="BD113" s="70" t="s">
        <v>172</v>
      </c>
      <c r="BE113" s="70" t="s">
        <v>74</v>
      </c>
      <c r="BF113" s="70" t="s">
        <v>75</v>
      </c>
      <c r="BH113" s="60" t="str">
        <f t="shared" si="1"/>
        <v>Ver en Mapa</v>
      </c>
      <c r="BK113" s="70">
        <v>2</v>
      </c>
      <c r="BL113" s="70">
        <v>1</v>
      </c>
      <c r="BM113" s="70" t="s">
        <v>2847</v>
      </c>
    </row>
    <row r="114" spans="1:65" s="68" customFormat="1" ht="14.4" customHeight="1" x14ac:dyDescent="0.3">
      <c r="A114" s="70" t="str">
        <f>H114</f>
        <v>001393</v>
      </c>
      <c r="B114" s="70" t="s">
        <v>61</v>
      </c>
      <c r="C114" s="70" t="s">
        <v>194</v>
      </c>
      <c r="D114" s="70" t="s">
        <v>588</v>
      </c>
      <c r="E114" s="70" t="s">
        <v>589</v>
      </c>
      <c r="F114" s="70" t="s">
        <v>590</v>
      </c>
      <c r="G114" s="70" t="s">
        <v>2763</v>
      </c>
      <c r="H114" s="70" t="s">
        <v>2214</v>
      </c>
      <c r="I114" s="70" t="s">
        <v>67</v>
      </c>
      <c r="J114" s="70" t="s">
        <v>1149</v>
      </c>
      <c r="K114" s="71">
        <v>45820</v>
      </c>
      <c r="L114" s="71">
        <v>46003</v>
      </c>
      <c r="M114" s="72">
        <v>10000</v>
      </c>
      <c r="N114" s="72">
        <v>10534.08</v>
      </c>
      <c r="O114" s="73">
        <v>1</v>
      </c>
      <c r="P114" s="73">
        <v>6</v>
      </c>
      <c r="Q114" s="70" t="s">
        <v>68</v>
      </c>
      <c r="R114" s="72">
        <v>2582.63</v>
      </c>
      <c r="S114" s="72">
        <v>348</v>
      </c>
      <c r="T114" s="72">
        <v>580</v>
      </c>
      <c r="U114" s="72">
        <v>0</v>
      </c>
      <c r="V114" s="72">
        <v>1</v>
      </c>
      <c r="W114" s="72">
        <v>5267.04</v>
      </c>
      <c r="X114" s="72">
        <v>3161.9009056</v>
      </c>
      <c r="Y114" s="72">
        <v>1755.68</v>
      </c>
      <c r="Z114" s="72">
        <v>768.95</v>
      </c>
      <c r="AA114" s="72">
        <v>57.27</v>
      </c>
      <c r="AB114" s="72">
        <v>580</v>
      </c>
      <c r="AC114" s="72">
        <v>2583</v>
      </c>
      <c r="AD114" s="71">
        <v>45917</v>
      </c>
      <c r="AE114" s="70" t="s">
        <v>69</v>
      </c>
      <c r="AF114" s="70" t="s">
        <v>2215</v>
      </c>
      <c r="AG114" s="70" t="s">
        <v>1150</v>
      </c>
      <c r="AI114" s="70" t="s">
        <v>1151</v>
      </c>
      <c r="AJ114" s="70" t="s">
        <v>2216</v>
      </c>
      <c r="AK114" s="70" t="s">
        <v>1152</v>
      </c>
      <c r="AM114" s="70" t="s">
        <v>1153</v>
      </c>
      <c r="AN114" s="70" t="s">
        <v>2217</v>
      </c>
      <c r="AO114" s="70" t="s">
        <v>1154</v>
      </c>
      <c r="AP114" s="70" t="s">
        <v>2218</v>
      </c>
      <c r="AQ114" s="70" t="s">
        <v>1155</v>
      </c>
      <c r="AR114" s="70" t="s">
        <v>2219</v>
      </c>
      <c r="AY114" s="72">
        <v>8211.17</v>
      </c>
      <c r="AZ114" s="72">
        <v>0</v>
      </c>
      <c r="BA114" s="70" t="s">
        <v>67</v>
      </c>
      <c r="BB114" s="70" t="s">
        <v>1044</v>
      </c>
      <c r="BC114" s="70" t="s">
        <v>2971</v>
      </c>
      <c r="BD114" s="70" t="s">
        <v>651</v>
      </c>
      <c r="BE114" s="70" t="s">
        <v>74</v>
      </c>
      <c r="BF114" s="70" t="s">
        <v>646</v>
      </c>
      <c r="BG114" s="70" t="s">
        <v>1156</v>
      </c>
      <c r="BH114" s="60" t="str">
        <f t="shared" si="1"/>
        <v>Ver en Mapa</v>
      </c>
      <c r="BK114" s="70">
        <v>3</v>
      </c>
      <c r="BL114" s="70">
        <v>3</v>
      </c>
      <c r="BM114" s="70" t="s">
        <v>2847</v>
      </c>
    </row>
    <row r="115" spans="1:65" s="68" customFormat="1" ht="14.4" customHeight="1" x14ac:dyDescent="0.3">
      <c r="A115" s="70" t="str">
        <f>H115</f>
        <v>001756</v>
      </c>
      <c r="B115" s="70" t="s">
        <v>61</v>
      </c>
      <c r="C115" s="70" t="s">
        <v>194</v>
      </c>
      <c r="D115" s="70" t="s">
        <v>594</v>
      </c>
      <c r="E115" s="70" t="s">
        <v>595</v>
      </c>
      <c r="F115" s="70" t="s">
        <v>590</v>
      </c>
      <c r="G115" s="70" t="s">
        <v>2763</v>
      </c>
      <c r="H115" s="70" t="s">
        <v>2606</v>
      </c>
      <c r="I115" s="70" t="s">
        <v>67</v>
      </c>
      <c r="J115" s="70" t="s">
        <v>2607</v>
      </c>
      <c r="K115" s="71">
        <v>45880</v>
      </c>
      <c r="L115" s="71">
        <v>46245</v>
      </c>
      <c r="M115" s="72">
        <v>30000</v>
      </c>
      <c r="N115" s="72">
        <v>31602.23</v>
      </c>
      <c r="O115" s="73">
        <v>1</v>
      </c>
      <c r="P115" s="73">
        <v>12</v>
      </c>
      <c r="Q115" s="70" t="s">
        <v>68</v>
      </c>
      <c r="R115" s="72">
        <v>4992.07</v>
      </c>
      <c r="S115" s="72">
        <v>696</v>
      </c>
      <c r="T115" s="72">
        <v>580</v>
      </c>
      <c r="U115" s="72">
        <v>0</v>
      </c>
      <c r="V115" s="72">
        <v>1</v>
      </c>
      <c r="W115" s="72">
        <v>28968.71</v>
      </c>
      <c r="X115" s="72">
        <v>5572.0783000000001</v>
      </c>
      <c r="Y115" s="72">
        <v>2633.52</v>
      </c>
      <c r="Z115" s="72">
        <v>2300.56</v>
      </c>
      <c r="AA115" s="72">
        <v>58</v>
      </c>
      <c r="AB115" s="72">
        <v>580</v>
      </c>
      <c r="AC115" s="72">
        <v>4992.07</v>
      </c>
      <c r="AD115" s="71">
        <v>45911</v>
      </c>
      <c r="AE115" s="70" t="s">
        <v>69</v>
      </c>
      <c r="AF115" s="70" t="s">
        <v>2608</v>
      </c>
      <c r="AG115" s="70" t="s">
        <v>2609</v>
      </c>
      <c r="AI115" s="70" t="s">
        <v>336</v>
      </c>
      <c r="AJ115" s="70" t="s">
        <v>1850</v>
      </c>
      <c r="AK115" s="70" t="s">
        <v>2610</v>
      </c>
      <c r="AM115" s="70" t="s">
        <v>2611</v>
      </c>
      <c r="AN115" s="70" t="s">
        <v>2612</v>
      </c>
      <c r="AO115" s="70" t="s">
        <v>2613</v>
      </c>
      <c r="AP115" s="70" t="s">
        <v>2614</v>
      </c>
      <c r="AQ115" s="70" t="s">
        <v>2615</v>
      </c>
      <c r="AR115" s="70" t="s">
        <v>2616</v>
      </c>
      <c r="AY115" s="72">
        <v>54912.81</v>
      </c>
      <c r="AZ115" s="72">
        <v>0</v>
      </c>
      <c r="BA115" s="70" t="s">
        <v>67</v>
      </c>
      <c r="BB115" s="70" t="s">
        <v>1044</v>
      </c>
      <c r="BC115" s="70" t="s">
        <v>3014</v>
      </c>
      <c r="BD115" s="70" t="s">
        <v>2617</v>
      </c>
      <c r="BE115" s="70" t="s">
        <v>74</v>
      </c>
      <c r="BF115" s="70" t="s">
        <v>194</v>
      </c>
      <c r="BG115" s="70" t="s">
        <v>2618</v>
      </c>
      <c r="BH115" s="60" t="str">
        <f t="shared" si="1"/>
        <v>Ver en Mapa</v>
      </c>
      <c r="BK115" s="70">
        <v>1</v>
      </c>
      <c r="BL115" s="70">
        <v>1</v>
      </c>
      <c r="BM115" s="70" t="s">
        <v>2847</v>
      </c>
    </row>
    <row r="116" spans="1:65" s="68" customFormat="1" ht="14.4" customHeight="1" x14ac:dyDescent="0.3">
      <c r="A116" s="70" t="str">
        <f>H116</f>
        <v>001510</v>
      </c>
      <c r="B116" s="70" t="s">
        <v>61</v>
      </c>
      <c r="C116" s="70" t="s">
        <v>194</v>
      </c>
      <c r="D116" s="70" t="s">
        <v>588</v>
      </c>
      <c r="E116" s="70" t="s">
        <v>589</v>
      </c>
      <c r="F116" s="70" t="s">
        <v>590</v>
      </c>
      <c r="G116" s="70" t="s">
        <v>2763</v>
      </c>
      <c r="H116" s="70" t="s">
        <v>2234</v>
      </c>
      <c r="I116" s="70" t="s">
        <v>67</v>
      </c>
      <c r="J116" s="70" t="s">
        <v>1610</v>
      </c>
      <c r="K116" s="71">
        <v>45849</v>
      </c>
      <c r="L116" s="71">
        <v>46214</v>
      </c>
      <c r="M116" s="72">
        <v>15000</v>
      </c>
      <c r="N116" s="72">
        <v>15801.12</v>
      </c>
      <c r="O116" s="73">
        <v>1</v>
      </c>
      <c r="P116" s="73">
        <v>12</v>
      </c>
      <c r="Q116" s="70" t="s">
        <v>68</v>
      </c>
      <c r="R116" s="72">
        <v>2525.04</v>
      </c>
      <c r="S116" s="72">
        <v>696</v>
      </c>
      <c r="T116" s="72">
        <v>580</v>
      </c>
      <c r="U116" s="72">
        <v>0</v>
      </c>
      <c r="V116" s="72">
        <v>1</v>
      </c>
      <c r="W116" s="72">
        <v>13167.6</v>
      </c>
      <c r="X116" s="72">
        <v>3104.072932</v>
      </c>
      <c r="Y116" s="72">
        <v>1316.76</v>
      </c>
      <c r="Z116" s="72">
        <v>1150.27</v>
      </c>
      <c r="AA116" s="72">
        <v>57.04</v>
      </c>
      <c r="AB116" s="72">
        <v>580</v>
      </c>
      <c r="AC116" s="72">
        <v>3106</v>
      </c>
      <c r="AD116" s="71">
        <v>45913</v>
      </c>
      <c r="AE116" s="70" t="s">
        <v>69</v>
      </c>
      <c r="AF116" s="70" t="s">
        <v>2235</v>
      </c>
      <c r="AG116" s="70" t="s">
        <v>1611</v>
      </c>
      <c r="AI116" s="70" t="s">
        <v>86</v>
      </c>
      <c r="AJ116" s="70" t="s">
        <v>87</v>
      </c>
      <c r="AM116" s="70" t="s">
        <v>1612</v>
      </c>
      <c r="AN116" s="70" t="s">
        <v>2236</v>
      </c>
      <c r="AO116" s="70" t="s">
        <v>1613</v>
      </c>
      <c r="AP116" s="70" t="s">
        <v>2237</v>
      </c>
      <c r="AQ116" s="70" t="s">
        <v>1614</v>
      </c>
      <c r="AR116" s="70" t="s">
        <v>2238</v>
      </c>
      <c r="AY116" s="72">
        <v>25307.41</v>
      </c>
      <c r="AZ116" s="72">
        <v>0</v>
      </c>
      <c r="BA116" s="70" t="s">
        <v>67</v>
      </c>
      <c r="BB116" s="70" t="s">
        <v>1044</v>
      </c>
      <c r="BC116" s="70" t="s">
        <v>2888</v>
      </c>
      <c r="BD116" s="70" t="s">
        <v>503</v>
      </c>
      <c r="BE116" s="70" t="s">
        <v>74</v>
      </c>
      <c r="BF116" s="70" t="s">
        <v>503</v>
      </c>
      <c r="BG116" s="70" t="s">
        <v>1615</v>
      </c>
      <c r="BH116" s="60" t="str">
        <f t="shared" si="1"/>
        <v>Ver en Mapa</v>
      </c>
      <c r="BK116" s="70">
        <v>2</v>
      </c>
      <c r="BL116" s="70">
        <v>2</v>
      </c>
      <c r="BM116" s="70" t="s">
        <v>2847</v>
      </c>
    </row>
    <row r="117" spans="1:65" s="68" customFormat="1" ht="14.4" customHeight="1" x14ac:dyDescent="0.3">
      <c r="A117" s="70" t="str">
        <f>H117</f>
        <v>001511</v>
      </c>
      <c r="B117" s="70" t="s">
        <v>61</v>
      </c>
      <c r="C117" s="70" t="s">
        <v>194</v>
      </c>
      <c r="D117" s="70" t="s">
        <v>588</v>
      </c>
      <c r="E117" s="70" t="s">
        <v>589</v>
      </c>
      <c r="F117" s="70" t="s">
        <v>590</v>
      </c>
      <c r="G117" s="70" t="s">
        <v>2763</v>
      </c>
      <c r="H117" s="70" t="s">
        <v>2239</v>
      </c>
      <c r="I117" s="70" t="s">
        <v>67</v>
      </c>
      <c r="J117" s="70" t="s">
        <v>1616</v>
      </c>
      <c r="K117" s="71">
        <v>45849</v>
      </c>
      <c r="L117" s="71">
        <v>46214</v>
      </c>
      <c r="M117" s="72">
        <v>10000</v>
      </c>
      <c r="N117" s="72">
        <v>10534.08</v>
      </c>
      <c r="O117" s="73">
        <v>1</v>
      </c>
      <c r="P117" s="73">
        <v>12</v>
      </c>
      <c r="Q117" s="70" t="s">
        <v>68</v>
      </c>
      <c r="R117" s="72">
        <v>1702.69</v>
      </c>
      <c r="S117" s="72">
        <v>696</v>
      </c>
      <c r="T117" s="72">
        <v>580</v>
      </c>
      <c r="U117" s="72">
        <v>0</v>
      </c>
      <c r="V117" s="72">
        <v>1</v>
      </c>
      <c r="W117" s="72">
        <v>8778.4</v>
      </c>
      <c r="X117" s="72">
        <v>2282.08</v>
      </c>
      <c r="Y117" s="72">
        <v>877.84</v>
      </c>
      <c r="Z117" s="72">
        <v>766.86</v>
      </c>
      <c r="AA117" s="72">
        <v>57.38</v>
      </c>
      <c r="AB117" s="72">
        <v>580</v>
      </c>
      <c r="AC117" s="72">
        <v>2283</v>
      </c>
      <c r="AD117" s="71">
        <v>45922</v>
      </c>
      <c r="AE117" s="70" t="s">
        <v>69</v>
      </c>
      <c r="AF117" s="70" t="s">
        <v>2240</v>
      </c>
      <c r="AG117" s="70" t="s">
        <v>1617</v>
      </c>
      <c r="AI117" s="70" t="s">
        <v>86</v>
      </c>
      <c r="AJ117" s="70" t="s">
        <v>87</v>
      </c>
      <c r="AM117" s="70" t="s">
        <v>1618</v>
      </c>
      <c r="AN117" s="70" t="s">
        <v>2241</v>
      </c>
      <c r="AO117" s="70" t="s">
        <v>1619</v>
      </c>
      <c r="AP117" s="70" t="s">
        <v>2242</v>
      </c>
      <c r="AQ117" s="70" t="s">
        <v>1620</v>
      </c>
      <c r="AR117" s="70" t="s">
        <v>2243</v>
      </c>
      <c r="AY117" s="72">
        <v>17084.3</v>
      </c>
      <c r="AZ117" s="72">
        <v>0</v>
      </c>
      <c r="BA117" s="70" t="s">
        <v>67</v>
      </c>
      <c r="BB117" s="70" t="s">
        <v>1044</v>
      </c>
      <c r="BC117" s="70" t="s">
        <v>2889</v>
      </c>
      <c r="BD117" s="70" t="s">
        <v>1621</v>
      </c>
      <c r="BE117" s="70" t="s">
        <v>74</v>
      </c>
      <c r="BF117" s="70" t="s">
        <v>503</v>
      </c>
      <c r="BG117" s="70" t="s">
        <v>1622</v>
      </c>
      <c r="BH117" s="60" t="str">
        <f t="shared" si="1"/>
        <v>Ver en Mapa</v>
      </c>
      <c r="BK117" s="70">
        <v>2</v>
      </c>
      <c r="BL117" s="70">
        <v>2</v>
      </c>
      <c r="BM117" s="70" t="s">
        <v>2847</v>
      </c>
    </row>
    <row r="118" spans="1:65" s="68" customFormat="1" ht="14.4" customHeight="1" x14ac:dyDescent="0.3">
      <c r="A118" s="70" t="str">
        <f>H118</f>
        <v>001350</v>
      </c>
      <c r="B118" s="70" t="s">
        <v>61</v>
      </c>
      <c r="C118" s="70" t="s">
        <v>194</v>
      </c>
      <c r="D118" s="70" t="s">
        <v>594</v>
      </c>
      <c r="E118" s="70" t="s">
        <v>595</v>
      </c>
      <c r="F118" s="70" t="s">
        <v>590</v>
      </c>
      <c r="G118" s="70" t="s">
        <v>2763</v>
      </c>
      <c r="H118" s="70" t="s">
        <v>2199</v>
      </c>
      <c r="I118" s="70" t="s">
        <v>76</v>
      </c>
      <c r="J118" s="70" t="s">
        <v>679</v>
      </c>
      <c r="K118" s="71">
        <v>45915</v>
      </c>
      <c r="L118" s="71">
        <v>46083</v>
      </c>
      <c r="M118" s="72">
        <v>10000</v>
      </c>
      <c r="N118" s="72">
        <v>10534.08</v>
      </c>
      <c r="O118" s="73">
        <v>1</v>
      </c>
      <c r="P118" s="73">
        <v>12</v>
      </c>
      <c r="Q118" s="70" t="s">
        <v>496</v>
      </c>
      <c r="R118" s="72">
        <v>1288.8</v>
      </c>
      <c r="S118" s="72">
        <v>696</v>
      </c>
      <c r="T118" s="72">
        <v>580</v>
      </c>
      <c r="U118" s="72">
        <v>2</v>
      </c>
      <c r="V118" s="72">
        <v>1</v>
      </c>
      <c r="W118" s="72">
        <v>9656.24</v>
      </c>
      <c r="X118" s="72">
        <v>1868.6038143999999</v>
      </c>
      <c r="Y118" s="72">
        <v>877.84</v>
      </c>
      <c r="Z118" s="72">
        <v>352.96</v>
      </c>
      <c r="AA118" s="72">
        <v>57.800000000000004</v>
      </c>
      <c r="AB118" s="72">
        <v>580</v>
      </c>
      <c r="AC118" s="72">
        <v>1289</v>
      </c>
      <c r="AD118" s="71">
        <v>45929</v>
      </c>
      <c r="AE118" s="70" t="s">
        <v>69</v>
      </c>
      <c r="AF118" s="70" t="s">
        <v>2200</v>
      </c>
      <c r="AG118" s="70" t="s">
        <v>680</v>
      </c>
      <c r="AI118" s="70" t="s">
        <v>283</v>
      </c>
      <c r="AJ118" s="70" t="s">
        <v>284</v>
      </c>
      <c r="AM118" s="70" t="s">
        <v>851</v>
      </c>
      <c r="AN118" s="70" t="s">
        <v>2841</v>
      </c>
      <c r="AO118" s="70" t="s">
        <v>849</v>
      </c>
      <c r="AP118" s="70" t="s">
        <v>2201</v>
      </c>
      <c r="AQ118" s="70" t="s">
        <v>850</v>
      </c>
      <c r="AR118" s="70" t="s">
        <v>2202</v>
      </c>
      <c r="AY118" s="72">
        <v>14176.62</v>
      </c>
      <c r="AZ118" s="72">
        <v>0</v>
      </c>
      <c r="BA118" s="70" t="s">
        <v>67</v>
      </c>
      <c r="BB118" s="70" t="s">
        <v>1044</v>
      </c>
      <c r="BC118" s="70" t="s">
        <v>2938</v>
      </c>
      <c r="BD118" s="70" t="s">
        <v>681</v>
      </c>
      <c r="BE118" s="70" t="s">
        <v>74</v>
      </c>
      <c r="BF118" s="70" t="s">
        <v>194</v>
      </c>
      <c r="BH118" s="60" t="str">
        <f t="shared" si="1"/>
        <v>Ver en Mapa</v>
      </c>
      <c r="BK118" s="70">
        <v>1</v>
      </c>
      <c r="BL118" s="70">
        <v>1</v>
      </c>
      <c r="BM118" s="70" t="s">
        <v>2847</v>
      </c>
    </row>
    <row r="119" spans="1:65" s="68" customFormat="1" ht="14.4" customHeight="1" x14ac:dyDescent="0.3">
      <c r="A119" s="70" t="str">
        <f>H119</f>
        <v>001395</v>
      </c>
      <c r="B119" s="70" t="s">
        <v>61</v>
      </c>
      <c r="C119" s="70" t="s">
        <v>273</v>
      </c>
      <c r="D119" s="70" t="s">
        <v>1533</v>
      </c>
      <c r="E119" s="70" t="s">
        <v>599</v>
      </c>
      <c r="F119" s="70" t="s">
        <v>590</v>
      </c>
      <c r="G119" s="70" t="s">
        <v>2763</v>
      </c>
      <c r="H119" s="70" t="s">
        <v>2481</v>
      </c>
      <c r="I119" s="70" t="s">
        <v>67</v>
      </c>
      <c r="J119" s="70" t="s">
        <v>1175</v>
      </c>
      <c r="K119" s="71">
        <v>45824</v>
      </c>
      <c r="L119" s="71">
        <v>45992</v>
      </c>
      <c r="M119" s="72">
        <v>5000</v>
      </c>
      <c r="N119" s="72">
        <v>5267.04</v>
      </c>
      <c r="O119" s="73">
        <v>1</v>
      </c>
      <c r="P119" s="73">
        <v>24</v>
      </c>
      <c r="Q119" s="70" t="s">
        <v>469</v>
      </c>
      <c r="R119" s="72">
        <v>365.7</v>
      </c>
      <c r="S119" s="72">
        <v>1392</v>
      </c>
      <c r="T119" s="72">
        <v>580</v>
      </c>
      <c r="U119" s="72">
        <v>17</v>
      </c>
      <c r="V119" s="72">
        <v>1</v>
      </c>
      <c r="W119" s="72">
        <v>1755.68</v>
      </c>
      <c r="X119" s="72">
        <v>940.91</v>
      </c>
      <c r="Y119" s="72">
        <v>219.46</v>
      </c>
      <c r="Z119" s="72">
        <v>88.24</v>
      </c>
      <c r="AA119" s="72">
        <v>53.21</v>
      </c>
      <c r="AB119" s="72">
        <v>580</v>
      </c>
      <c r="AC119" s="72">
        <v>366</v>
      </c>
      <c r="AD119" s="71">
        <v>45936</v>
      </c>
      <c r="AE119" s="70" t="s">
        <v>69</v>
      </c>
      <c r="AF119" s="70" t="s">
        <v>2482</v>
      </c>
      <c r="AG119" s="70" t="s">
        <v>1176</v>
      </c>
      <c r="AI119" s="70" t="s">
        <v>283</v>
      </c>
      <c r="AJ119" s="70" t="s">
        <v>284</v>
      </c>
      <c r="AK119" s="70" t="s">
        <v>1177</v>
      </c>
      <c r="AL119" s="70" t="s">
        <v>2483</v>
      </c>
      <c r="AM119" s="70" t="s">
        <v>1178</v>
      </c>
      <c r="AN119" s="70" t="s">
        <v>2484</v>
      </c>
      <c r="AO119" s="70" t="s">
        <v>1179</v>
      </c>
      <c r="AP119" s="70" t="s">
        <v>2485</v>
      </c>
      <c r="AQ119" s="70" t="s">
        <v>1180</v>
      </c>
      <c r="AR119" s="70" t="s">
        <v>2486</v>
      </c>
      <c r="AY119" s="72">
        <v>3094.81</v>
      </c>
      <c r="AZ119" s="72">
        <v>0</v>
      </c>
      <c r="BA119" s="70" t="s">
        <v>67</v>
      </c>
      <c r="BB119" s="70" t="s">
        <v>1044</v>
      </c>
      <c r="BC119" s="70" t="s">
        <v>1181</v>
      </c>
      <c r="BD119" s="70" t="s">
        <v>1182</v>
      </c>
      <c r="BE119" s="70" t="s">
        <v>74</v>
      </c>
      <c r="BF119" s="70" t="s">
        <v>204</v>
      </c>
      <c r="BG119" s="70" t="s">
        <v>1183</v>
      </c>
      <c r="BH119" s="60" t="str">
        <f t="shared" si="1"/>
        <v>Ver en Mapa</v>
      </c>
      <c r="BK119" s="70">
        <v>1</v>
      </c>
      <c r="BL119" s="70">
        <v>1</v>
      </c>
      <c r="BM119" s="70" t="s">
        <v>2847</v>
      </c>
    </row>
    <row r="120" spans="1:65" s="68" customFormat="1" ht="14.4" customHeight="1" x14ac:dyDescent="0.3">
      <c r="A120" s="70" t="str">
        <f>H120</f>
        <v>001415</v>
      </c>
      <c r="B120" s="70" t="s">
        <v>61</v>
      </c>
      <c r="C120" s="70" t="s">
        <v>62</v>
      </c>
      <c r="D120" s="70" t="s">
        <v>183</v>
      </c>
      <c r="E120" s="70" t="s">
        <v>184</v>
      </c>
      <c r="F120" s="70" t="s">
        <v>590</v>
      </c>
      <c r="G120" s="70" t="s">
        <v>2763</v>
      </c>
      <c r="H120" s="70" t="s">
        <v>1939</v>
      </c>
      <c r="I120" s="70" t="s">
        <v>67</v>
      </c>
      <c r="J120" s="70" t="s">
        <v>1222</v>
      </c>
      <c r="K120" s="71">
        <v>45827</v>
      </c>
      <c r="L120" s="71">
        <v>46163</v>
      </c>
      <c r="M120" s="72">
        <v>30000</v>
      </c>
      <c r="N120" s="72">
        <v>31602.23</v>
      </c>
      <c r="O120" s="73">
        <v>0</v>
      </c>
      <c r="P120" s="73">
        <v>48</v>
      </c>
      <c r="Q120" s="70" t="s">
        <v>469</v>
      </c>
      <c r="R120" s="72">
        <v>1245.82</v>
      </c>
      <c r="S120" s="72">
        <v>2784</v>
      </c>
      <c r="T120" s="72">
        <v>0</v>
      </c>
      <c r="U120" s="72">
        <v>16</v>
      </c>
      <c r="V120" s="72">
        <v>0</v>
      </c>
      <c r="W120" s="72">
        <v>19751.39</v>
      </c>
      <c r="X120" s="72">
        <v>0</v>
      </c>
      <c r="Y120" s="74">
        <v>0</v>
      </c>
      <c r="Z120" s="74">
        <v>0</v>
      </c>
      <c r="AA120" s="74">
        <v>0</v>
      </c>
      <c r="AB120" s="72">
        <v>0</v>
      </c>
      <c r="AC120" s="72">
        <v>1500</v>
      </c>
      <c r="AD120" s="71">
        <v>45939</v>
      </c>
      <c r="AE120" s="70" t="s">
        <v>69</v>
      </c>
      <c r="AF120" s="70" t="s">
        <v>1940</v>
      </c>
      <c r="AG120" s="70" t="s">
        <v>1940</v>
      </c>
      <c r="AI120" s="70" t="s">
        <v>1223</v>
      </c>
      <c r="AJ120" s="70" t="s">
        <v>1941</v>
      </c>
      <c r="AM120" s="70" t="s">
        <v>1224</v>
      </c>
      <c r="AN120" s="70" t="s">
        <v>1942</v>
      </c>
      <c r="AO120" s="70" t="s">
        <v>1225</v>
      </c>
      <c r="AP120" s="70" t="s">
        <v>1943</v>
      </c>
      <c r="AQ120" s="70" t="s">
        <v>1226</v>
      </c>
      <c r="AR120" s="70" t="s">
        <v>1944</v>
      </c>
      <c r="AY120" s="72">
        <v>35443.480000000003</v>
      </c>
      <c r="AZ120" s="72">
        <v>2566.8433</v>
      </c>
      <c r="BA120" s="70" t="s">
        <v>67</v>
      </c>
      <c r="BB120" s="70" t="s">
        <v>1044</v>
      </c>
      <c r="BC120" s="70" t="s">
        <v>3020</v>
      </c>
      <c r="BD120" s="70" t="s">
        <v>88</v>
      </c>
      <c r="BE120" s="70" t="s">
        <v>74</v>
      </c>
      <c r="BF120" s="70" t="s">
        <v>75</v>
      </c>
      <c r="BG120" s="70" t="s">
        <v>1227</v>
      </c>
      <c r="BH120" s="60" t="str">
        <f t="shared" si="1"/>
        <v>Ver en Mapa</v>
      </c>
      <c r="BK120" s="70">
        <v>0</v>
      </c>
      <c r="BL120" s="70">
        <v>0</v>
      </c>
      <c r="BM120" s="70" t="s">
        <v>2847</v>
      </c>
    </row>
    <row r="121" spans="1:65" s="68" customFormat="1" ht="14.4" customHeight="1" x14ac:dyDescent="0.3">
      <c r="A121" s="70" t="str">
        <f>H121</f>
        <v>001416</v>
      </c>
      <c r="B121" s="70" t="s">
        <v>61</v>
      </c>
      <c r="C121" s="70" t="s">
        <v>62</v>
      </c>
      <c r="D121" s="70" t="s">
        <v>183</v>
      </c>
      <c r="E121" s="70" t="s">
        <v>184</v>
      </c>
      <c r="F121" s="70" t="s">
        <v>590</v>
      </c>
      <c r="G121" s="70" t="s">
        <v>2763</v>
      </c>
      <c r="H121" s="70" t="s">
        <v>1945</v>
      </c>
      <c r="I121" s="70" t="s">
        <v>67</v>
      </c>
      <c r="J121" s="70" t="s">
        <v>1228</v>
      </c>
      <c r="K121" s="71">
        <v>45827</v>
      </c>
      <c r="L121" s="71">
        <v>46192</v>
      </c>
      <c r="M121" s="72">
        <v>10000</v>
      </c>
      <c r="N121" s="72">
        <v>10534.08</v>
      </c>
      <c r="O121" s="73">
        <v>0</v>
      </c>
      <c r="P121" s="73">
        <v>12</v>
      </c>
      <c r="Q121" s="70" t="s">
        <v>68</v>
      </c>
      <c r="R121" s="72">
        <v>1702.69</v>
      </c>
      <c r="S121" s="72">
        <v>696</v>
      </c>
      <c r="T121" s="72">
        <v>0</v>
      </c>
      <c r="U121" s="72">
        <v>0</v>
      </c>
      <c r="V121" s="72">
        <v>0</v>
      </c>
      <c r="W121" s="72">
        <v>7900.56</v>
      </c>
      <c r="X121" s="72">
        <v>0</v>
      </c>
      <c r="Y121" s="72">
        <v>0</v>
      </c>
      <c r="Z121" s="72">
        <v>0</v>
      </c>
      <c r="AA121" s="74">
        <v>0</v>
      </c>
      <c r="AB121" s="72">
        <v>0</v>
      </c>
      <c r="AC121" s="72">
        <v>1703</v>
      </c>
      <c r="AD121" s="71">
        <v>45919</v>
      </c>
      <c r="AE121" s="70" t="s">
        <v>69</v>
      </c>
      <c r="AF121" s="70" t="s">
        <v>1946</v>
      </c>
      <c r="AG121" s="70" t="s">
        <v>1229</v>
      </c>
      <c r="AI121" s="70" t="s">
        <v>526</v>
      </c>
      <c r="AJ121" s="70" t="s">
        <v>527</v>
      </c>
      <c r="AK121" s="70" t="s">
        <v>1230</v>
      </c>
      <c r="AL121" s="70" t="s">
        <v>1946</v>
      </c>
      <c r="AM121" s="70" t="s">
        <v>1231</v>
      </c>
      <c r="AN121" s="70" t="s">
        <v>1947</v>
      </c>
      <c r="AO121" s="70" t="s">
        <v>1232</v>
      </c>
      <c r="AP121" s="70" t="s">
        <v>1948</v>
      </c>
      <c r="AQ121" s="70" t="s">
        <v>1233</v>
      </c>
      <c r="AR121" s="70" t="s">
        <v>1949</v>
      </c>
      <c r="AY121" s="72">
        <v>14801.61</v>
      </c>
      <c r="AZ121" s="72">
        <v>0.61471200000000004</v>
      </c>
      <c r="BA121" s="70" t="s">
        <v>67</v>
      </c>
      <c r="BB121" s="70" t="s">
        <v>1044</v>
      </c>
      <c r="BC121" s="70" t="s">
        <v>2983</v>
      </c>
      <c r="BD121" s="70" t="s">
        <v>340</v>
      </c>
      <c r="BE121" s="70" t="s">
        <v>74</v>
      </c>
      <c r="BF121" s="70" t="s">
        <v>75</v>
      </c>
      <c r="BG121" s="70" t="s">
        <v>1234</v>
      </c>
      <c r="BH121" s="60" t="str">
        <f t="shared" si="1"/>
        <v>Ver en Mapa</v>
      </c>
      <c r="BK121" s="70">
        <v>0</v>
      </c>
      <c r="BL121" s="70">
        <v>0</v>
      </c>
      <c r="BM121" s="70" t="s">
        <v>2847</v>
      </c>
    </row>
    <row r="122" spans="1:65" s="68" customFormat="1" ht="14.4" customHeight="1" x14ac:dyDescent="0.3">
      <c r="A122" s="70" t="str">
        <f>H122</f>
        <v>001308</v>
      </c>
      <c r="B122" s="70" t="s">
        <v>61</v>
      </c>
      <c r="C122" s="70" t="s">
        <v>62</v>
      </c>
      <c r="D122" s="70" t="s">
        <v>408</v>
      </c>
      <c r="E122" s="70" t="s">
        <v>409</v>
      </c>
      <c r="F122" s="70" t="s">
        <v>590</v>
      </c>
      <c r="G122" s="70" t="s">
        <v>2763</v>
      </c>
      <c r="H122" s="70" t="s">
        <v>1883</v>
      </c>
      <c r="I122" s="70" t="s">
        <v>67</v>
      </c>
      <c r="J122" s="70" t="s">
        <v>558</v>
      </c>
      <c r="K122" s="71">
        <v>45789</v>
      </c>
      <c r="L122" s="71">
        <v>46154</v>
      </c>
      <c r="M122" s="72">
        <v>10000</v>
      </c>
      <c r="N122" s="72">
        <v>10534.08</v>
      </c>
      <c r="O122" s="73">
        <v>0</v>
      </c>
      <c r="P122" s="73">
        <v>12</v>
      </c>
      <c r="Q122" s="70" t="s">
        <v>68</v>
      </c>
      <c r="R122" s="72">
        <v>1702.69</v>
      </c>
      <c r="S122" s="72">
        <v>696</v>
      </c>
      <c r="T122" s="72">
        <v>0</v>
      </c>
      <c r="U122" s="72">
        <v>0</v>
      </c>
      <c r="V122" s="72">
        <v>0</v>
      </c>
      <c r="W122" s="72">
        <v>6144.89</v>
      </c>
      <c r="X122" s="72">
        <v>0.01</v>
      </c>
      <c r="Y122" s="72">
        <v>0.01</v>
      </c>
      <c r="Z122" s="72">
        <v>0</v>
      </c>
      <c r="AA122" s="72">
        <v>0</v>
      </c>
      <c r="AB122" s="72">
        <v>0</v>
      </c>
      <c r="AC122" s="72">
        <v>1702.69</v>
      </c>
      <c r="AD122" s="71">
        <v>45943</v>
      </c>
      <c r="AE122" s="70" t="s">
        <v>69</v>
      </c>
      <c r="AF122" s="70" t="s">
        <v>1884</v>
      </c>
      <c r="AG122" s="70" t="s">
        <v>559</v>
      </c>
      <c r="AI122" s="70" t="s">
        <v>523</v>
      </c>
      <c r="AJ122" s="70" t="s">
        <v>1879</v>
      </c>
      <c r="AM122" s="70" t="s">
        <v>739</v>
      </c>
      <c r="AN122" s="70" t="s">
        <v>1885</v>
      </c>
      <c r="AO122" s="70" t="s">
        <v>737</v>
      </c>
      <c r="AP122" s="70" t="s">
        <v>1886</v>
      </c>
      <c r="AQ122" s="70" t="s">
        <v>738</v>
      </c>
      <c r="AR122" s="70" t="s">
        <v>1887</v>
      </c>
      <c r="AY122" s="72">
        <v>11512.85</v>
      </c>
      <c r="AZ122" s="72">
        <v>0</v>
      </c>
      <c r="BA122" s="70" t="s">
        <v>67</v>
      </c>
      <c r="BB122" s="70" t="s">
        <v>1044</v>
      </c>
      <c r="BC122" s="70" t="s">
        <v>3007</v>
      </c>
      <c r="BD122" s="70" t="s">
        <v>88</v>
      </c>
      <c r="BE122" s="70" t="s">
        <v>74</v>
      </c>
      <c r="BF122" s="70" t="s">
        <v>75</v>
      </c>
      <c r="BH122" s="60" t="str">
        <f t="shared" si="1"/>
        <v>Ver en Mapa</v>
      </c>
      <c r="BK122" s="70">
        <v>1</v>
      </c>
      <c r="BL122" s="70">
        <v>1</v>
      </c>
      <c r="BM122" s="70" t="s">
        <v>2847</v>
      </c>
    </row>
    <row r="123" spans="1:65" s="68" customFormat="1" ht="14.4" customHeight="1" x14ac:dyDescent="0.3">
      <c r="A123" s="70" t="str">
        <f>H123</f>
        <v>001429</v>
      </c>
      <c r="B123" s="70" t="s">
        <v>61</v>
      </c>
      <c r="C123" s="70" t="s">
        <v>62</v>
      </c>
      <c r="D123" s="70" t="s">
        <v>1429</v>
      </c>
      <c r="E123" s="70" t="s">
        <v>617</v>
      </c>
      <c r="F123" s="70" t="s">
        <v>590</v>
      </c>
      <c r="G123" s="70" t="s">
        <v>2763</v>
      </c>
      <c r="H123" s="70" t="s">
        <v>1961</v>
      </c>
      <c r="I123" s="70" t="s">
        <v>67</v>
      </c>
      <c r="J123" s="70" t="s">
        <v>1322</v>
      </c>
      <c r="K123" s="71">
        <v>45832</v>
      </c>
      <c r="L123" s="71">
        <v>46015</v>
      </c>
      <c r="M123" s="72">
        <v>8000</v>
      </c>
      <c r="N123" s="72">
        <v>8427.26</v>
      </c>
      <c r="O123" s="73">
        <v>0</v>
      </c>
      <c r="P123" s="73">
        <v>6</v>
      </c>
      <c r="Q123" s="70" t="s">
        <v>68</v>
      </c>
      <c r="R123" s="72">
        <v>2077.71</v>
      </c>
      <c r="S123" s="72">
        <v>348</v>
      </c>
      <c r="T123" s="72">
        <v>0</v>
      </c>
      <c r="U123" s="72">
        <v>0</v>
      </c>
      <c r="V123" s="72">
        <v>0</v>
      </c>
      <c r="W123" s="72">
        <v>4213.63</v>
      </c>
      <c r="X123" s="72">
        <v>0</v>
      </c>
      <c r="Y123" s="72">
        <v>0</v>
      </c>
      <c r="Z123" s="74">
        <v>0</v>
      </c>
      <c r="AA123" s="74">
        <v>0</v>
      </c>
      <c r="AB123" s="72">
        <v>0</v>
      </c>
      <c r="AC123" s="72">
        <v>2200</v>
      </c>
      <c r="AD123" s="71">
        <v>45922</v>
      </c>
      <c r="AE123" s="70" t="s">
        <v>69</v>
      </c>
      <c r="AF123" s="70" t="s">
        <v>1962</v>
      </c>
      <c r="AG123" s="70" t="s">
        <v>1323</v>
      </c>
      <c r="AI123" s="70" t="s">
        <v>1324</v>
      </c>
      <c r="AJ123" s="70" t="s">
        <v>1963</v>
      </c>
      <c r="AK123" s="70" t="s">
        <v>1325</v>
      </c>
      <c r="AL123" s="70" t="s">
        <v>1962</v>
      </c>
      <c r="AM123" s="70" t="s">
        <v>1326</v>
      </c>
      <c r="AN123" s="70" t="s">
        <v>1964</v>
      </c>
      <c r="AO123" s="70" t="s">
        <v>1327</v>
      </c>
      <c r="AP123" s="70" t="s">
        <v>1965</v>
      </c>
      <c r="AQ123" s="70" t="s">
        <v>1328</v>
      </c>
      <c r="AR123" s="70" t="s">
        <v>1966</v>
      </c>
      <c r="AY123" s="72">
        <v>5692.2300000000005</v>
      </c>
      <c r="AZ123" s="72">
        <v>366.88433259999999</v>
      </c>
      <c r="BA123" s="70" t="s">
        <v>67</v>
      </c>
      <c r="BB123" s="70" t="s">
        <v>1044</v>
      </c>
      <c r="BC123" s="70" t="s">
        <v>2961</v>
      </c>
      <c r="BD123" s="70" t="s">
        <v>1107</v>
      </c>
      <c r="BE123" s="70" t="s">
        <v>74</v>
      </c>
      <c r="BF123" s="70" t="s">
        <v>338</v>
      </c>
      <c r="BG123" s="70" t="s">
        <v>2591</v>
      </c>
      <c r="BH123" s="60" t="str">
        <f t="shared" si="1"/>
        <v>Ver en Mapa</v>
      </c>
      <c r="BK123" s="70">
        <v>0</v>
      </c>
      <c r="BL123" s="70">
        <v>0</v>
      </c>
      <c r="BM123" s="70" t="s">
        <v>2847</v>
      </c>
    </row>
    <row r="124" spans="1:65" s="68" customFormat="1" ht="14.4" customHeight="1" x14ac:dyDescent="0.3">
      <c r="A124" s="70" t="str">
        <f>H124</f>
        <v>001188</v>
      </c>
      <c r="B124" s="70" t="s">
        <v>61</v>
      </c>
      <c r="C124" s="70" t="s">
        <v>62</v>
      </c>
      <c r="D124" s="70" t="s">
        <v>183</v>
      </c>
      <c r="E124" s="70" t="s">
        <v>184</v>
      </c>
      <c r="F124" s="70" t="s">
        <v>590</v>
      </c>
      <c r="G124" s="70" t="s">
        <v>2763</v>
      </c>
      <c r="H124" s="70" t="s">
        <v>1411</v>
      </c>
      <c r="I124" s="70" t="s">
        <v>67</v>
      </c>
      <c r="J124" s="70" t="s">
        <v>152</v>
      </c>
      <c r="K124" s="71">
        <v>45707</v>
      </c>
      <c r="L124" s="71">
        <v>46072</v>
      </c>
      <c r="M124" s="72">
        <v>20000</v>
      </c>
      <c r="N124" s="72">
        <v>21068.16</v>
      </c>
      <c r="O124" s="73">
        <v>0</v>
      </c>
      <c r="P124" s="73">
        <v>12</v>
      </c>
      <c r="Q124" s="70" t="s">
        <v>68</v>
      </c>
      <c r="R124" s="72">
        <v>3015.02</v>
      </c>
      <c r="S124" s="72">
        <v>696</v>
      </c>
      <c r="T124" s="72">
        <v>0</v>
      </c>
      <c r="U124" s="72">
        <v>0</v>
      </c>
      <c r="V124" s="72">
        <v>0</v>
      </c>
      <c r="W124" s="72">
        <v>11472.01</v>
      </c>
      <c r="X124" s="72">
        <v>0</v>
      </c>
      <c r="Y124" s="72">
        <v>0</v>
      </c>
      <c r="Z124" s="72">
        <v>0</v>
      </c>
      <c r="AA124" s="74">
        <v>0</v>
      </c>
      <c r="AB124" s="72">
        <v>0</v>
      </c>
      <c r="AC124" s="72">
        <v>3016</v>
      </c>
      <c r="AD124" s="71">
        <v>45919</v>
      </c>
      <c r="AE124" s="70" t="s">
        <v>69</v>
      </c>
      <c r="AF124" s="70" t="s">
        <v>1412</v>
      </c>
      <c r="AG124" s="70" t="s">
        <v>153</v>
      </c>
      <c r="AI124" s="70" t="s">
        <v>154</v>
      </c>
      <c r="AJ124" s="70" t="s">
        <v>1413</v>
      </c>
      <c r="AM124" s="70" t="s">
        <v>716</v>
      </c>
      <c r="AN124" s="70" t="s">
        <v>1414</v>
      </c>
      <c r="AO124" s="70" t="s">
        <v>714</v>
      </c>
      <c r="AP124" s="70" t="s">
        <v>1415</v>
      </c>
      <c r="AQ124" s="70" t="s">
        <v>715</v>
      </c>
      <c r="AR124" s="70" t="s">
        <v>1416</v>
      </c>
      <c r="AS124" s="70" t="s">
        <v>122</v>
      </c>
      <c r="AT124" s="68" t="s">
        <v>155</v>
      </c>
      <c r="AU124" s="70" t="s">
        <v>156</v>
      </c>
      <c r="AV124" s="70" t="s">
        <v>157</v>
      </c>
      <c r="AW124" s="75" t="s">
        <v>158</v>
      </c>
      <c r="AX124" s="70" t="s">
        <v>159</v>
      </c>
      <c r="AY124" s="72">
        <v>11449.15</v>
      </c>
      <c r="AZ124" s="72">
        <v>22.86</v>
      </c>
      <c r="BA124" s="70" t="s">
        <v>135</v>
      </c>
      <c r="BB124" s="70" t="s">
        <v>136</v>
      </c>
      <c r="BC124" s="70" t="s">
        <v>2900</v>
      </c>
      <c r="BD124" s="70" t="s">
        <v>88</v>
      </c>
      <c r="BE124" s="70" t="s">
        <v>74</v>
      </c>
      <c r="BF124" s="70" t="s">
        <v>75</v>
      </c>
      <c r="BH124" s="60" t="str">
        <f t="shared" si="1"/>
        <v>Ver en Mapa</v>
      </c>
      <c r="BK124" s="70">
        <v>0</v>
      </c>
      <c r="BL124" s="70">
        <v>0</v>
      </c>
      <c r="BM124" s="70" t="s">
        <v>2847</v>
      </c>
    </row>
    <row r="125" spans="1:65" s="68" customFormat="1" ht="14.4" customHeight="1" x14ac:dyDescent="0.3">
      <c r="A125" s="70" t="str">
        <f>H125</f>
        <v>001347</v>
      </c>
      <c r="B125" s="70" t="s">
        <v>61</v>
      </c>
      <c r="C125" s="70" t="s">
        <v>62</v>
      </c>
      <c r="D125" s="70" t="s">
        <v>1429</v>
      </c>
      <c r="E125" s="70" t="s">
        <v>617</v>
      </c>
      <c r="F125" s="70" t="s">
        <v>590</v>
      </c>
      <c r="G125" s="70" t="s">
        <v>2763</v>
      </c>
      <c r="H125" s="70" t="s">
        <v>1967</v>
      </c>
      <c r="I125" s="70" t="s">
        <v>67</v>
      </c>
      <c r="J125" s="70" t="s">
        <v>676</v>
      </c>
      <c r="K125" s="71">
        <v>45805</v>
      </c>
      <c r="L125" s="71">
        <v>45989</v>
      </c>
      <c r="M125" s="72">
        <v>5000</v>
      </c>
      <c r="N125" s="72">
        <v>5267.04</v>
      </c>
      <c r="O125" s="73">
        <v>0</v>
      </c>
      <c r="P125" s="73">
        <v>6</v>
      </c>
      <c r="Q125" s="70" t="s">
        <v>68</v>
      </c>
      <c r="R125" s="72">
        <v>1322.42</v>
      </c>
      <c r="S125" s="72">
        <v>348</v>
      </c>
      <c r="T125" s="72">
        <v>40.67</v>
      </c>
      <c r="U125" s="72">
        <v>0</v>
      </c>
      <c r="V125" s="72">
        <v>0</v>
      </c>
      <c r="W125" s="72">
        <v>1755.68</v>
      </c>
      <c r="X125" s="72">
        <v>0</v>
      </c>
      <c r="Y125" s="72">
        <v>0</v>
      </c>
      <c r="Z125" s="72">
        <v>0</v>
      </c>
      <c r="AA125" s="74">
        <v>0</v>
      </c>
      <c r="AB125" s="72">
        <v>40.67</v>
      </c>
      <c r="AC125" s="72">
        <v>500</v>
      </c>
      <c r="AD125" s="71">
        <v>45938</v>
      </c>
      <c r="AE125" s="70" t="s">
        <v>69</v>
      </c>
      <c r="AF125" s="70" t="s">
        <v>1968</v>
      </c>
      <c r="AG125" s="70" t="s">
        <v>677</v>
      </c>
      <c r="AI125" s="70" t="s">
        <v>526</v>
      </c>
      <c r="AJ125" s="70" t="s">
        <v>527</v>
      </c>
      <c r="AM125" s="70" t="s">
        <v>777</v>
      </c>
      <c r="AN125" s="70" t="s">
        <v>1969</v>
      </c>
      <c r="AO125" s="70" t="s">
        <v>776</v>
      </c>
      <c r="AP125" s="70" t="s">
        <v>1970</v>
      </c>
      <c r="AQ125" s="70" t="s">
        <v>873</v>
      </c>
      <c r="AR125" s="70" t="s">
        <v>1971</v>
      </c>
      <c r="AY125" s="72">
        <v>2511.5</v>
      </c>
      <c r="AZ125" s="72">
        <v>17.330692266666659</v>
      </c>
      <c r="BA125" s="70" t="s">
        <v>67</v>
      </c>
      <c r="BB125" s="70" t="s">
        <v>1044</v>
      </c>
      <c r="BC125" s="70" t="s">
        <v>2985</v>
      </c>
      <c r="BD125" s="70" t="s">
        <v>97</v>
      </c>
      <c r="BE125" s="70" t="s">
        <v>74</v>
      </c>
      <c r="BF125" s="70" t="s">
        <v>75</v>
      </c>
      <c r="BH125" s="60" t="str">
        <f t="shared" si="1"/>
        <v>Ver en Mapa</v>
      </c>
      <c r="BK125" s="70">
        <v>2</v>
      </c>
      <c r="BL125" s="70">
        <v>2</v>
      </c>
      <c r="BM125" s="70" t="s">
        <v>2847</v>
      </c>
    </row>
    <row r="126" spans="1:65" s="68" customFormat="1" ht="14.4" customHeight="1" x14ac:dyDescent="0.3">
      <c r="A126" s="70" t="str">
        <f>H126</f>
        <v>001203</v>
      </c>
      <c r="B126" s="70" t="s">
        <v>61</v>
      </c>
      <c r="C126" s="70" t="s">
        <v>62</v>
      </c>
      <c r="D126" s="70" t="s">
        <v>183</v>
      </c>
      <c r="E126" s="70" t="s">
        <v>184</v>
      </c>
      <c r="F126" s="70" t="s">
        <v>590</v>
      </c>
      <c r="G126" s="70" t="s">
        <v>2763</v>
      </c>
      <c r="H126" s="70" t="s">
        <v>1860</v>
      </c>
      <c r="I126" s="70" t="s">
        <v>67</v>
      </c>
      <c r="J126" s="70" t="s">
        <v>185</v>
      </c>
      <c r="K126" s="71">
        <v>45716</v>
      </c>
      <c r="L126" s="71">
        <v>46081</v>
      </c>
      <c r="M126" s="72">
        <v>65000</v>
      </c>
      <c r="N126" s="72">
        <v>68471.509999999995</v>
      </c>
      <c r="O126" s="73">
        <v>0</v>
      </c>
      <c r="P126" s="73">
        <v>12</v>
      </c>
      <c r="Q126" s="70" t="s">
        <v>68</v>
      </c>
      <c r="R126" s="72">
        <v>12081.41</v>
      </c>
      <c r="S126" s="72">
        <v>696</v>
      </c>
      <c r="T126" s="72">
        <v>0</v>
      </c>
      <c r="U126" s="72">
        <v>0</v>
      </c>
      <c r="V126" s="72">
        <v>0</v>
      </c>
      <c r="W126" s="72">
        <v>28530.170000000002</v>
      </c>
      <c r="X126" s="72">
        <v>0.388701527777778</v>
      </c>
      <c r="Y126" s="72">
        <v>0.37</v>
      </c>
      <c r="Z126" s="72">
        <v>0</v>
      </c>
      <c r="AA126" s="72">
        <v>0.01</v>
      </c>
      <c r="AB126" s="72">
        <v>0</v>
      </c>
      <c r="AC126" s="72">
        <v>12081.41</v>
      </c>
      <c r="AD126" s="71">
        <v>45929</v>
      </c>
      <c r="AE126" s="70" t="s">
        <v>69</v>
      </c>
      <c r="AF126" s="70" t="s">
        <v>1861</v>
      </c>
      <c r="AG126" s="70" t="s">
        <v>186</v>
      </c>
      <c r="AI126" s="70" t="s">
        <v>187</v>
      </c>
      <c r="AJ126" s="70" t="s">
        <v>1417</v>
      </c>
      <c r="AK126" s="70" t="s">
        <v>188</v>
      </c>
      <c r="AM126" s="70" t="s">
        <v>719</v>
      </c>
      <c r="AN126" s="70" t="s">
        <v>1862</v>
      </c>
      <c r="AO126" s="70" t="s">
        <v>717</v>
      </c>
      <c r="AP126" s="70" t="s">
        <v>1863</v>
      </c>
      <c r="AQ126" s="70" t="s">
        <v>718</v>
      </c>
      <c r="AR126" s="70" t="s">
        <v>1864</v>
      </c>
      <c r="AS126" s="70" t="s">
        <v>122</v>
      </c>
      <c r="AT126" s="68" t="s">
        <v>189</v>
      </c>
      <c r="AU126" s="70" t="s">
        <v>190</v>
      </c>
      <c r="AY126" s="72">
        <v>60117.42</v>
      </c>
      <c r="AZ126" s="72">
        <v>0</v>
      </c>
      <c r="BA126" s="70" t="s">
        <v>67</v>
      </c>
      <c r="BB126" s="70" t="s">
        <v>1044</v>
      </c>
      <c r="BC126" s="70" t="s">
        <v>2965</v>
      </c>
      <c r="BD126" s="70" t="s">
        <v>191</v>
      </c>
      <c r="BE126" s="70" t="s">
        <v>74</v>
      </c>
      <c r="BF126" s="70" t="s">
        <v>75</v>
      </c>
      <c r="BH126" s="60" t="str">
        <f t="shared" si="1"/>
        <v>Ver en Mapa</v>
      </c>
      <c r="BK126" s="70">
        <v>1</v>
      </c>
      <c r="BL126" s="70">
        <v>1</v>
      </c>
      <c r="BM126" s="70" t="s">
        <v>2847</v>
      </c>
    </row>
    <row r="127" spans="1:65" s="68" customFormat="1" ht="14.4" customHeight="1" x14ac:dyDescent="0.3">
      <c r="A127" s="70" t="str">
        <f>H127</f>
        <v>001260</v>
      </c>
      <c r="B127" s="70" t="s">
        <v>61</v>
      </c>
      <c r="C127" s="70" t="s">
        <v>62</v>
      </c>
      <c r="D127" s="70" t="s">
        <v>408</v>
      </c>
      <c r="E127" s="70" t="s">
        <v>409</v>
      </c>
      <c r="F127" s="70" t="s">
        <v>590</v>
      </c>
      <c r="G127" s="70" t="s">
        <v>2763</v>
      </c>
      <c r="H127" s="70" t="s">
        <v>1893</v>
      </c>
      <c r="I127" s="70" t="s">
        <v>67</v>
      </c>
      <c r="J127" s="70" t="s">
        <v>404</v>
      </c>
      <c r="K127" s="71">
        <v>45768</v>
      </c>
      <c r="L127" s="71">
        <v>46133</v>
      </c>
      <c r="M127" s="72">
        <v>20000</v>
      </c>
      <c r="N127" s="72">
        <v>21068.16</v>
      </c>
      <c r="O127" s="73">
        <v>0</v>
      </c>
      <c r="P127" s="73">
        <v>12</v>
      </c>
      <c r="Q127" s="70" t="s">
        <v>68</v>
      </c>
      <c r="R127" s="72">
        <v>2960.75</v>
      </c>
      <c r="S127" s="72">
        <v>696</v>
      </c>
      <c r="T127" s="72">
        <v>0</v>
      </c>
      <c r="U127" s="72">
        <v>0</v>
      </c>
      <c r="V127" s="72">
        <v>0</v>
      </c>
      <c r="W127" s="72">
        <v>12289.76</v>
      </c>
      <c r="X127" s="72">
        <v>0</v>
      </c>
      <c r="Y127" s="72">
        <v>0</v>
      </c>
      <c r="Z127" s="72">
        <v>0</v>
      </c>
      <c r="AA127" s="74">
        <v>0</v>
      </c>
      <c r="AB127" s="72">
        <v>0</v>
      </c>
      <c r="AC127" s="72">
        <v>2970</v>
      </c>
      <c r="AD127" s="71">
        <v>45920</v>
      </c>
      <c r="AE127" s="70" t="s">
        <v>69</v>
      </c>
      <c r="AF127" s="70" t="s">
        <v>1894</v>
      </c>
      <c r="AG127" s="70" t="s">
        <v>405</v>
      </c>
      <c r="AI127" s="70" t="s">
        <v>406</v>
      </c>
      <c r="AJ127" s="70" t="s">
        <v>1895</v>
      </c>
      <c r="AM127" s="70" t="s">
        <v>745</v>
      </c>
      <c r="AN127" s="70" t="s">
        <v>1896</v>
      </c>
      <c r="AO127" s="70" t="s">
        <v>743</v>
      </c>
      <c r="AP127" s="70" t="s">
        <v>1897</v>
      </c>
      <c r="AQ127" s="70" t="s">
        <v>744</v>
      </c>
      <c r="AR127" s="70" t="s">
        <v>1898</v>
      </c>
      <c r="AY127" s="72">
        <v>20282.04</v>
      </c>
      <c r="AZ127" s="72">
        <v>37.23236</v>
      </c>
      <c r="BA127" s="70" t="s">
        <v>67</v>
      </c>
      <c r="BB127" s="70" t="s">
        <v>1044</v>
      </c>
      <c r="BC127" s="70" t="s">
        <v>2943</v>
      </c>
      <c r="BD127" s="70" t="s">
        <v>407</v>
      </c>
      <c r="BE127" s="70" t="s">
        <v>74</v>
      </c>
      <c r="BF127" s="70" t="s">
        <v>338</v>
      </c>
      <c r="BH127" s="60" t="str">
        <f t="shared" si="1"/>
        <v>Ver en Mapa</v>
      </c>
      <c r="BK127" s="70">
        <v>0</v>
      </c>
      <c r="BL127" s="70">
        <v>0</v>
      </c>
      <c r="BM127" s="70" t="s">
        <v>2847</v>
      </c>
    </row>
    <row r="128" spans="1:65" s="68" customFormat="1" ht="14.4" customHeight="1" x14ac:dyDescent="0.3">
      <c r="A128" s="70" t="str">
        <f>H128</f>
        <v>001380</v>
      </c>
      <c r="B128" s="70" t="s">
        <v>61</v>
      </c>
      <c r="C128" s="70" t="s">
        <v>62</v>
      </c>
      <c r="D128" s="70" t="s">
        <v>183</v>
      </c>
      <c r="E128" s="70" t="s">
        <v>184</v>
      </c>
      <c r="F128" s="70" t="s">
        <v>590</v>
      </c>
      <c r="G128" s="70" t="s">
        <v>2763</v>
      </c>
      <c r="H128" s="70" t="s">
        <v>1972</v>
      </c>
      <c r="I128" s="70" t="s">
        <v>67</v>
      </c>
      <c r="J128" s="70" t="s">
        <v>1095</v>
      </c>
      <c r="K128" s="71">
        <v>45814</v>
      </c>
      <c r="L128" s="71">
        <v>45997</v>
      </c>
      <c r="M128" s="72">
        <v>10000</v>
      </c>
      <c r="N128" s="72">
        <v>10534.08</v>
      </c>
      <c r="O128" s="73">
        <v>0</v>
      </c>
      <c r="P128" s="73">
        <v>6</v>
      </c>
      <c r="Q128" s="70" t="s">
        <v>68</v>
      </c>
      <c r="R128" s="72">
        <v>2582.63</v>
      </c>
      <c r="S128" s="72">
        <v>348</v>
      </c>
      <c r="T128" s="72">
        <v>0</v>
      </c>
      <c r="U128" s="72">
        <v>0</v>
      </c>
      <c r="V128" s="72">
        <v>0</v>
      </c>
      <c r="W128" s="72">
        <v>3511.36</v>
      </c>
      <c r="X128" s="72">
        <v>0</v>
      </c>
      <c r="Y128" s="72">
        <v>0</v>
      </c>
      <c r="Z128" s="72">
        <v>0</v>
      </c>
      <c r="AA128" s="74">
        <v>0</v>
      </c>
      <c r="AB128" s="72">
        <v>0</v>
      </c>
      <c r="AC128" s="72">
        <v>2582.63</v>
      </c>
      <c r="AD128" s="71">
        <v>45936</v>
      </c>
      <c r="AE128" s="70" t="s">
        <v>69</v>
      </c>
      <c r="AF128" s="70" t="s">
        <v>1973</v>
      </c>
      <c r="AG128" s="70" t="s">
        <v>1096</v>
      </c>
      <c r="AI128" s="70" t="s">
        <v>1174</v>
      </c>
      <c r="AJ128" s="70" t="s">
        <v>1974</v>
      </c>
      <c r="AM128" s="70" t="s">
        <v>1097</v>
      </c>
      <c r="AN128" s="70" t="s">
        <v>1975</v>
      </c>
      <c r="AO128" s="70" t="s">
        <v>1098</v>
      </c>
      <c r="AP128" s="70" t="s">
        <v>1976</v>
      </c>
      <c r="AQ128" s="70" t="s">
        <v>1099</v>
      </c>
      <c r="AR128" s="70" t="s">
        <v>1977</v>
      </c>
      <c r="AY128" s="72">
        <v>5031.91</v>
      </c>
      <c r="AZ128" s="72">
        <v>17.36</v>
      </c>
      <c r="BA128" s="70" t="s">
        <v>67</v>
      </c>
      <c r="BB128" s="70" t="s">
        <v>1044</v>
      </c>
      <c r="BC128" s="70" t="s">
        <v>2901</v>
      </c>
      <c r="BD128" s="70" t="s">
        <v>88</v>
      </c>
      <c r="BE128" s="70" t="s">
        <v>74</v>
      </c>
      <c r="BF128" s="70" t="s">
        <v>75</v>
      </c>
      <c r="BG128" s="70" t="s">
        <v>1100</v>
      </c>
      <c r="BH128" s="60" t="str">
        <f t="shared" si="1"/>
        <v>Ver en Mapa</v>
      </c>
      <c r="BK128" s="70">
        <v>0</v>
      </c>
      <c r="BL128" s="70">
        <v>0</v>
      </c>
      <c r="BM128" s="70" t="s">
        <v>2847</v>
      </c>
    </row>
    <row r="129" spans="1:65" s="68" customFormat="1" ht="14.4" customHeight="1" x14ac:dyDescent="0.3">
      <c r="A129" s="70" t="str">
        <f>H129</f>
        <v>001376</v>
      </c>
      <c r="B129" s="70" t="s">
        <v>61</v>
      </c>
      <c r="C129" s="70" t="s">
        <v>62</v>
      </c>
      <c r="D129" s="70" t="s">
        <v>1429</v>
      </c>
      <c r="E129" s="70" t="s">
        <v>617</v>
      </c>
      <c r="F129" s="70" t="s">
        <v>590</v>
      </c>
      <c r="G129" s="70" t="s">
        <v>2763</v>
      </c>
      <c r="H129" s="70" t="s">
        <v>1978</v>
      </c>
      <c r="I129" s="70" t="s">
        <v>67</v>
      </c>
      <c r="J129" s="70" t="s">
        <v>1101</v>
      </c>
      <c r="K129" s="71">
        <v>45814</v>
      </c>
      <c r="L129" s="71">
        <v>45997</v>
      </c>
      <c r="M129" s="72">
        <v>15000</v>
      </c>
      <c r="N129" s="72">
        <v>15801.12</v>
      </c>
      <c r="O129" s="73">
        <v>0</v>
      </c>
      <c r="P129" s="73">
        <v>6</v>
      </c>
      <c r="Q129" s="70" t="s">
        <v>68</v>
      </c>
      <c r="R129" s="72">
        <v>3844.9500000000003</v>
      </c>
      <c r="S129" s="72">
        <v>348</v>
      </c>
      <c r="T129" s="72">
        <v>0</v>
      </c>
      <c r="U129" s="72">
        <v>0</v>
      </c>
      <c r="V129" s="72">
        <v>0</v>
      </c>
      <c r="W129" s="72">
        <v>5267.04</v>
      </c>
      <c r="X129" s="72">
        <v>0</v>
      </c>
      <c r="Y129" s="72">
        <v>0</v>
      </c>
      <c r="Z129" s="72">
        <v>0.01</v>
      </c>
      <c r="AA129" s="74">
        <v>0</v>
      </c>
      <c r="AB129" s="72">
        <v>0</v>
      </c>
      <c r="AC129" s="72">
        <v>3850</v>
      </c>
      <c r="AD129" s="71">
        <v>45936</v>
      </c>
      <c r="AE129" s="70" t="s">
        <v>69</v>
      </c>
      <c r="AF129" s="70" t="s">
        <v>1979</v>
      </c>
      <c r="AG129" s="70" t="s">
        <v>1102</v>
      </c>
      <c r="AI129" s="70" t="s">
        <v>336</v>
      </c>
      <c r="AJ129" s="70" t="s">
        <v>1850</v>
      </c>
      <c r="AK129" s="70" t="s">
        <v>1103</v>
      </c>
      <c r="AL129" s="70" t="s">
        <v>1979</v>
      </c>
      <c r="AM129" s="70" t="s">
        <v>1104</v>
      </c>
      <c r="AN129" s="70" t="s">
        <v>1980</v>
      </c>
      <c r="AO129" s="70" t="s">
        <v>1105</v>
      </c>
      <c r="AP129" s="70" t="s">
        <v>1981</v>
      </c>
      <c r="AQ129" s="70" t="s">
        <v>1106</v>
      </c>
      <c r="AR129" s="70" t="s">
        <v>1982</v>
      </c>
      <c r="AY129" s="72">
        <v>7569.74</v>
      </c>
      <c r="AZ129" s="72">
        <v>4.1536416000000003</v>
      </c>
      <c r="BA129" s="70" t="s">
        <v>67</v>
      </c>
      <c r="BB129" s="70" t="s">
        <v>1044</v>
      </c>
      <c r="BC129" s="70" t="s">
        <v>3013</v>
      </c>
      <c r="BD129" s="70" t="s">
        <v>1107</v>
      </c>
      <c r="BE129" s="70" t="s">
        <v>74</v>
      </c>
      <c r="BF129" s="70" t="s">
        <v>338</v>
      </c>
      <c r="BG129" s="70" t="s">
        <v>1108</v>
      </c>
      <c r="BH129" s="60" t="str">
        <f t="shared" si="1"/>
        <v>Ver en Mapa</v>
      </c>
      <c r="BK129" s="70">
        <v>1</v>
      </c>
      <c r="BL129" s="70">
        <v>1</v>
      </c>
      <c r="BM129" s="70" t="s">
        <v>2847</v>
      </c>
    </row>
    <row r="130" spans="1:65" s="68" customFormat="1" ht="14.4" customHeight="1" x14ac:dyDescent="0.3">
      <c r="A130" s="70" t="str">
        <f>H130</f>
        <v>001558</v>
      </c>
      <c r="B130" s="70" t="s">
        <v>61</v>
      </c>
      <c r="C130" s="70" t="s">
        <v>62</v>
      </c>
      <c r="D130" s="70" t="s">
        <v>1988</v>
      </c>
      <c r="E130" s="70" t="s">
        <v>1797</v>
      </c>
      <c r="F130" s="70" t="s">
        <v>590</v>
      </c>
      <c r="G130" s="70" t="s">
        <v>2763</v>
      </c>
      <c r="H130" s="70" t="s">
        <v>1989</v>
      </c>
      <c r="I130" s="70" t="s">
        <v>67</v>
      </c>
      <c r="J130" s="70" t="s">
        <v>2534</v>
      </c>
      <c r="K130" s="71">
        <v>45863</v>
      </c>
      <c r="L130" s="71">
        <v>46228</v>
      </c>
      <c r="M130" s="72">
        <v>10000</v>
      </c>
      <c r="N130" s="72">
        <v>10534.08</v>
      </c>
      <c r="O130" s="73">
        <v>0</v>
      </c>
      <c r="P130" s="73">
        <v>12</v>
      </c>
      <c r="Q130" s="70" t="s">
        <v>68</v>
      </c>
      <c r="R130" s="72">
        <v>1702.69</v>
      </c>
      <c r="S130" s="72">
        <v>696</v>
      </c>
      <c r="T130" s="72">
        <v>0</v>
      </c>
      <c r="U130" s="72">
        <v>0</v>
      </c>
      <c r="V130" s="72">
        <v>0</v>
      </c>
      <c r="W130" s="72">
        <v>8778.4</v>
      </c>
      <c r="X130" s="72">
        <v>0</v>
      </c>
      <c r="Y130" s="72">
        <v>0</v>
      </c>
      <c r="Z130" s="72">
        <v>0</v>
      </c>
      <c r="AA130" s="74">
        <v>0</v>
      </c>
      <c r="AB130" s="72">
        <v>0</v>
      </c>
      <c r="AC130" s="72">
        <v>1750</v>
      </c>
      <c r="AD130" s="71">
        <v>45925</v>
      </c>
      <c r="AE130" s="70" t="s">
        <v>69</v>
      </c>
      <c r="AF130" s="70" t="s">
        <v>1990</v>
      </c>
      <c r="AG130" s="70" t="s">
        <v>1798</v>
      </c>
      <c r="AI130" s="70" t="s">
        <v>86</v>
      </c>
      <c r="AJ130" s="70" t="s">
        <v>87</v>
      </c>
      <c r="AM130" s="70" t="s">
        <v>1799</v>
      </c>
      <c r="AN130" s="70" t="s">
        <v>1991</v>
      </c>
      <c r="AO130" s="70" t="s">
        <v>1800</v>
      </c>
      <c r="AP130" s="70" t="s">
        <v>1992</v>
      </c>
      <c r="AQ130" s="70" t="s">
        <v>1801</v>
      </c>
      <c r="AR130" s="70" t="s">
        <v>1993</v>
      </c>
      <c r="AY130" s="72">
        <v>16392.3</v>
      </c>
      <c r="AZ130" s="72">
        <v>54.620000000000005</v>
      </c>
      <c r="BA130" s="70" t="s">
        <v>67</v>
      </c>
      <c r="BB130" s="70" t="s">
        <v>1044</v>
      </c>
      <c r="BC130" s="70" t="s">
        <v>2878</v>
      </c>
      <c r="BD130" s="70" t="s">
        <v>339</v>
      </c>
      <c r="BE130" s="70" t="s">
        <v>74</v>
      </c>
      <c r="BF130" s="70" t="s">
        <v>75</v>
      </c>
      <c r="BG130" s="70" t="s">
        <v>1802</v>
      </c>
      <c r="BH130" s="60" t="str">
        <f t="shared" si="1"/>
        <v>Ver en Mapa</v>
      </c>
      <c r="BK130" s="70">
        <v>0</v>
      </c>
      <c r="BL130" s="70">
        <v>0</v>
      </c>
      <c r="BM130" s="70" t="s">
        <v>2847</v>
      </c>
    </row>
    <row r="131" spans="1:65" s="68" customFormat="1" ht="14.4" customHeight="1" x14ac:dyDescent="0.3">
      <c r="A131" s="70" t="str">
        <f>H131</f>
        <v>001590</v>
      </c>
      <c r="B131" s="70" t="s">
        <v>61</v>
      </c>
      <c r="C131" s="70" t="s">
        <v>62</v>
      </c>
      <c r="D131" s="70" t="s">
        <v>183</v>
      </c>
      <c r="E131" s="70" t="s">
        <v>184</v>
      </c>
      <c r="F131" s="70" t="s">
        <v>590</v>
      </c>
      <c r="G131" s="70" t="s">
        <v>2763</v>
      </c>
      <c r="H131" s="70" t="s">
        <v>1994</v>
      </c>
      <c r="I131" s="70" t="s">
        <v>67</v>
      </c>
      <c r="J131" s="70" t="s">
        <v>1803</v>
      </c>
      <c r="K131" s="71">
        <v>45866</v>
      </c>
      <c r="L131" s="71">
        <v>46235</v>
      </c>
      <c r="M131" s="72">
        <v>20000</v>
      </c>
      <c r="N131" s="72">
        <v>21068.16</v>
      </c>
      <c r="O131" s="73">
        <v>0</v>
      </c>
      <c r="P131" s="73">
        <v>12</v>
      </c>
      <c r="Q131" s="70" t="s">
        <v>68</v>
      </c>
      <c r="R131" s="72">
        <v>3364.19</v>
      </c>
      <c r="S131" s="72">
        <v>696</v>
      </c>
      <c r="T131" s="72">
        <v>0</v>
      </c>
      <c r="U131" s="72">
        <v>0</v>
      </c>
      <c r="V131" s="72">
        <v>0</v>
      </c>
      <c r="W131" s="72">
        <v>17556.8</v>
      </c>
      <c r="X131" s="72">
        <v>0</v>
      </c>
      <c r="Y131" s="72">
        <v>0</v>
      </c>
      <c r="Z131" s="72">
        <v>0</v>
      </c>
      <c r="AA131" s="74">
        <v>0</v>
      </c>
      <c r="AB131" s="72">
        <v>0</v>
      </c>
      <c r="AC131" s="72">
        <v>3364.19</v>
      </c>
      <c r="AD131" s="71">
        <v>45931</v>
      </c>
      <c r="AE131" s="70" t="s">
        <v>69</v>
      </c>
      <c r="AF131" s="70" t="s">
        <v>1995</v>
      </c>
      <c r="AG131" s="70" t="s">
        <v>1804</v>
      </c>
      <c r="AI131" s="70" t="s">
        <v>151</v>
      </c>
      <c r="AJ131" s="70" t="s">
        <v>1408</v>
      </c>
      <c r="AK131" s="70" t="s">
        <v>1805</v>
      </c>
      <c r="AL131" s="70" t="s">
        <v>1995</v>
      </c>
      <c r="AM131" s="70" t="s">
        <v>1806</v>
      </c>
      <c r="AN131" s="70" t="s">
        <v>1996</v>
      </c>
      <c r="AO131" s="70" t="s">
        <v>1807</v>
      </c>
      <c r="AP131" s="70" t="s">
        <v>1997</v>
      </c>
      <c r="AQ131" s="70" t="s">
        <v>1808</v>
      </c>
      <c r="AR131" s="70" t="s">
        <v>1998</v>
      </c>
      <c r="AY131" s="72">
        <v>33061.1</v>
      </c>
      <c r="AZ131" s="72">
        <v>0.81</v>
      </c>
      <c r="BA131" s="70" t="s">
        <v>67</v>
      </c>
      <c r="BB131" s="70" t="s">
        <v>1044</v>
      </c>
      <c r="BC131" s="70" t="s">
        <v>1809</v>
      </c>
      <c r="BD131" s="70" t="s">
        <v>339</v>
      </c>
      <c r="BE131" s="70" t="s">
        <v>74</v>
      </c>
      <c r="BF131" s="70" t="s">
        <v>75</v>
      </c>
      <c r="BG131" s="70" t="s">
        <v>1810</v>
      </c>
      <c r="BH131" s="60" t="str">
        <f t="shared" si="1"/>
        <v>Ver en Mapa</v>
      </c>
      <c r="BK131" s="70">
        <v>0</v>
      </c>
      <c r="BL131" s="70">
        <v>0</v>
      </c>
      <c r="BM131" s="70" t="s">
        <v>2847</v>
      </c>
    </row>
    <row r="132" spans="1:65" s="68" customFormat="1" ht="14.4" customHeight="1" x14ac:dyDescent="0.3">
      <c r="A132" s="70" t="str">
        <f>H132</f>
        <v>001361</v>
      </c>
      <c r="B132" s="70" t="s">
        <v>61</v>
      </c>
      <c r="C132" s="70" t="s">
        <v>62</v>
      </c>
      <c r="D132" s="70" t="s">
        <v>183</v>
      </c>
      <c r="E132" s="70" t="s">
        <v>184</v>
      </c>
      <c r="F132" s="70" t="s">
        <v>590</v>
      </c>
      <c r="G132" s="70" t="s">
        <v>2763</v>
      </c>
      <c r="H132" s="70" t="s">
        <v>2004</v>
      </c>
      <c r="I132" s="70" t="s">
        <v>67</v>
      </c>
      <c r="J132" s="70" t="s">
        <v>1038</v>
      </c>
      <c r="K132" s="71">
        <v>45810</v>
      </c>
      <c r="L132" s="71">
        <v>45993</v>
      </c>
      <c r="M132" s="72">
        <v>7000</v>
      </c>
      <c r="N132" s="72">
        <v>7373.85</v>
      </c>
      <c r="O132" s="73">
        <v>0</v>
      </c>
      <c r="P132" s="73">
        <v>6</v>
      </c>
      <c r="Q132" s="70" t="s">
        <v>68</v>
      </c>
      <c r="R132" s="72">
        <v>1825.24</v>
      </c>
      <c r="S132" s="72">
        <v>348</v>
      </c>
      <c r="T132" s="72">
        <v>0</v>
      </c>
      <c r="U132" s="72">
        <v>0</v>
      </c>
      <c r="V132" s="72">
        <v>0</v>
      </c>
      <c r="W132" s="72">
        <v>2457.96</v>
      </c>
      <c r="X132" s="72">
        <v>0.01</v>
      </c>
      <c r="Y132" s="72">
        <v>0.01</v>
      </c>
      <c r="Z132" s="72">
        <v>0</v>
      </c>
      <c r="AA132" s="72">
        <v>0</v>
      </c>
      <c r="AB132" s="72">
        <v>0</v>
      </c>
      <c r="AC132" s="72">
        <v>1825.24</v>
      </c>
      <c r="AD132" s="71">
        <v>45932</v>
      </c>
      <c r="AE132" s="70" t="s">
        <v>69</v>
      </c>
      <c r="AF132" s="70" t="s">
        <v>2005</v>
      </c>
      <c r="AG132" s="70" t="s">
        <v>1039</v>
      </c>
      <c r="AI132" s="70" t="s">
        <v>86</v>
      </c>
      <c r="AJ132" s="70" t="s">
        <v>87</v>
      </c>
      <c r="AK132" s="70" t="s">
        <v>1040</v>
      </c>
      <c r="AL132" s="70" t="s">
        <v>2006</v>
      </c>
      <c r="AM132" s="70" t="s">
        <v>1041</v>
      </c>
      <c r="AN132" s="70" t="s">
        <v>2007</v>
      </c>
      <c r="AO132" s="70" t="s">
        <v>1042</v>
      </c>
      <c r="AP132" s="70" t="s">
        <v>2008</v>
      </c>
      <c r="AQ132" s="70" t="s">
        <v>1043</v>
      </c>
      <c r="AR132" s="70" t="s">
        <v>2009</v>
      </c>
      <c r="AY132" s="72">
        <v>3534.4900000000002</v>
      </c>
      <c r="AZ132" s="72">
        <v>0</v>
      </c>
      <c r="BA132" s="70" t="s">
        <v>67</v>
      </c>
      <c r="BB132" s="70" t="s">
        <v>1044</v>
      </c>
      <c r="BC132" s="70" t="s">
        <v>2879</v>
      </c>
      <c r="BD132" s="70" t="s">
        <v>341</v>
      </c>
      <c r="BE132" s="70" t="s">
        <v>74</v>
      </c>
      <c r="BF132" s="70" t="s">
        <v>75</v>
      </c>
      <c r="BH132" s="60" t="str">
        <f t="shared" si="1"/>
        <v>Ver en Mapa</v>
      </c>
      <c r="BK132" s="70">
        <v>0</v>
      </c>
      <c r="BL132" s="70">
        <v>0</v>
      </c>
      <c r="BM132" s="70" t="s">
        <v>2847</v>
      </c>
    </row>
    <row r="133" spans="1:65" s="68" customFormat="1" ht="14.4" customHeight="1" x14ac:dyDescent="0.3">
      <c r="A133" s="70" t="str">
        <f>H133</f>
        <v>001464</v>
      </c>
      <c r="B133" s="70" t="s">
        <v>61</v>
      </c>
      <c r="C133" s="70" t="s">
        <v>62</v>
      </c>
      <c r="D133" s="70" t="s">
        <v>183</v>
      </c>
      <c r="E133" s="70" t="s">
        <v>184</v>
      </c>
      <c r="F133" s="70" t="s">
        <v>590</v>
      </c>
      <c r="G133" s="70" t="s">
        <v>2763</v>
      </c>
      <c r="H133" s="70" t="s">
        <v>2010</v>
      </c>
      <c r="I133" s="70" t="s">
        <v>67</v>
      </c>
      <c r="J133" s="70" t="s">
        <v>1571</v>
      </c>
      <c r="K133" s="71">
        <v>45840</v>
      </c>
      <c r="L133" s="71">
        <v>46008</v>
      </c>
      <c r="M133" s="72">
        <v>5000</v>
      </c>
      <c r="N133" s="72">
        <v>5267.04</v>
      </c>
      <c r="O133" s="73">
        <v>0</v>
      </c>
      <c r="P133" s="73">
        <v>12</v>
      </c>
      <c r="Q133" s="70" t="s">
        <v>496</v>
      </c>
      <c r="R133" s="72">
        <v>673.4</v>
      </c>
      <c r="S133" s="72">
        <v>696</v>
      </c>
      <c r="T133" s="72">
        <v>0</v>
      </c>
      <c r="U133" s="72">
        <v>7</v>
      </c>
      <c r="V133" s="72">
        <v>0</v>
      </c>
      <c r="W133" s="72">
        <v>2194.61</v>
      </c>
      <c r="X133" s="72">
        <v>0.01</v>
      </c>
      <c r="Y133" s="72">
        <v>0.01</v>
      </c>
      <c r="Z133" s="72">
        <v>0</v>
      </c>
      <c r="AA133" s="72">
        <v>0</v>
      </c>
      <c r="AB133" s="72">
        <v>0</v>
      </c>
      <c r="AC133" s="72">
        <v>673.4</v>
      </c>
      <c r="AD133" s="71">
        <v>45938</v>
      </c>
      <c r="AE133" s="70" t="s">
        <v>69</v>
      </c>
      <c r="AF133" s="70" t="s">
        <v>2011</v>
      </c>
      <c r="AG133" s="70" t="s">
        <v>3059</v>
      </c>
      <c r="AI133" s="70" t="s">
        <v>192</v>
      </c>
      <c r="AJ133" s="70" t="s">
        <v>193</v>
      </c>
      <c r="AK133" s="70" t="s">
        <v>1572</v>
      </c>
      <c r="AL133" s="70" t="s">
        <v>2011</v>
      </c>
      <c r="AM133" s="70" t="s">
        <v>1573</v>
      </c>
      <c r="AN133" s="70" t="s">
        <v>2012</v>
      </c>
      <c r="AO133" s="70" t="s">
        <v>1574</v>
      </c>
      <c r="AP133" s="70" t="s">
        <v>2013</v>
      </c>
      <c r="AQ133" s="70" t="s">
        <v>1575</v>
      </c>
      <c r="AR133" s="70" t="s">
        <v>2014</v>
      </c>
      <c r="AY133" s="72">
        <v>3077.01</v>
      </c>
      <c r="AZ133" s="72">
        <v>0</v>
      </c>
      <c r="BA133" s="70" t="s">
        <v>67</v>
      </c>
      <c r="BB133" s="70" t="s">
        <v>1044</v>
      </c>
      <c r="BC133" s="70" t="s">
        <v>2949</v>
      </c>
      <c r="BD133" s="70" t="s">
        <v>125</v>
      </c>
      <c r="BE133" s="70" t="s">
        <v>74</v>
      </c>
      <c r="BF133" s="70" t="s">
        <v>75</v>
      </c>
      <c r="BG133" s="70" t="s">
        <v>2592</v>
      </c>
      <c r="BH133" s="60" t="str">
        <f t="shared" si="1"/>
        <v>Ver en Mapa</v>
      </c>
      <c r="BK133" s="70">
        <v>0</v>
      </c>
      <c r="BL133" s="70">
        <v>0</v>
      </c>
      <c r="BM133" s="70" t="s">
        <v>2847</v>
      </c>
    </row>
    <row r="134" spans="1:65" s="68" customFormat="1" ht="14.4" customHeight="1" x14ac:dyDescent="0.3">
      <c r="A134" s="70" t="str">
        <f>H134</f>
        <v>001625</v>
      </c>
      <c r="B134" s="70" t="s">
        <v>61</v>
      </c>
      <c r="C134" s="70" t="s">
        <v>62</v>
      </c>
      <c r="D134" s="70" t="s">
        <v>183</v>
      </c>
      <c r="E134" s="70" t="s">
        <v>184</v>
      </c>
      <c r="F134" s="70" t="s">
        <v>590</v>
      </c>
      <c r="G134" s="70" t="s">
        <v>2763</v>
      </c>
      <c r="H134" s="70" t="s">
        <v>2553</v>
      </c>
      <c r="I134" s="70" t="s">
        <v>67</v>
      </c>
      <c r="J134" s="70" t="s">
        <v>2554</v>
      </c>
      <c r="K134" s="71">
        <v>45873</v>
      </c>
      <c r="L134" s="71">
        <v>46238</v>
      </c>
      <c r="M134" s="72">
        <v>20000</v>
      </c>
      <c r="N134" s="72">
        <v>21068.16</v>
      </c>
      <c r="O134" s="73">
        <v>0</v>
      </c>
      <c r="P134" s="73">
        <v>12</v>
      </c>
      <c r="Q134" s="70" t="s">
        <v>68</v>
      </c>
      <c r="R134" s="72">
        <v>3347.38</v>
      </c>
      <c r="S134" s="72">
        <v>696</v>
      </c>
      <c r="T134" s="72">
        <v>0</v>
      </c>
      <c r="U134" s="72">
        <v>0</v>
      </c>
      <c r="V134" s="72">
        <v>0</v>
      </c>
      <c r="W134" s="72">
        <v>17556.810000000001</v>
      </c>
      <c r="X134" s="72">
        <v>0.01</v>
      </c>
      <c r="Y134" s="72">
        <v>0.01</v>
      </c>
      <c r="Z134" s="72">
        <v>0</v>
      </c>
      <c r="AA134" s="72">
        <v>0</v>
      </c>
      <c r="AB134" s="72">
        <v>0</v>
      </c>
      <c r="AC134" s="72">
        <v>3347.38</v>
      </c>
      <c r="AD134" s="71">
        <v>45933</v>
      </c>
      <c r="AE134" s="70" t="s">
        <v>69</v>
      </c>
      <c r="AF134" s="70" t="s">
        <v>2555</v>
      </c>
      <c r="AG134" s="70" t="s">
        <v>2556</v>
      </c>
      <c r="AI134" s="70" t="s">
        <v>2557</v>
      </c>
      <c r="AJ134" s="70" t="s">
        <v>2558</v>
      </c>
      <c r="AM134" s="70" t="s">
        <v>2559</v>
      </c>
      <c r="AN134" s="70" t="s">
        <v>2560</v>
      </c>
      <c r="AO134" s="70" t="s">
        <v>2561</v>
      </c>
      <c r="AP134" s="70" t="s">
        <v>2562</v>
      </c>
      <c r="AQ134" s="70" t="s">
        <v>2563</v>
      </c>
      <c r="AR134" s="70" t="s">
        <v>2564</v>
      </c>
      <c r="AY134" s="72">
        <v>32893.840000000004</v>
      </c>
      <c r="AZ134" s="72">
        <v>0</v>
      </c>
      <c r="BA134" s="70" t="s">
        <v>67</v>
      </c>
      <c r="BB134" s="70" t="s">
        <v>1044</v>
      </c>
      <c r="BC134" s="70" t="s">
        <v>2953</v>
      </c>
      <c r="BD134" s="70" t="s">
        <v>88</v>
      </c>
      <c r="BE134" s="70" t="s">
        <v>74</v>
      </c>
      <c r="BF134" s="70" t="s">
        <v>75</v>
      </c>
      <c r="BG134" s="70" t="s">
        <v>2565</v>
      </c>
      <c r="BH134" s="60" t="str">
        <f t="shared" ref="BH134:BH197" si="2">HYPERLINK("https://www.google.com/maps/search/?api=1&amp;query=" &amp; SUBSTITUTE(SUBSTITUTE(BG134, "°", "%20"), """", ""), "Ver en Mapa")</f>
        <v>Ver en Mapa</v>
      </c>
      <c r="BK134" s="70">
        <v>0</v>
      </c>
      <c r="BL134" s="70">
        <v>0</v>
      </c>
      <c r="BM134" s="70" t="s">
        <v>2847</v>
      </c>
    </row>
    <row r="135" spans="1:65" s="68" customFormat="1" ht="14.4" customHeight="1" x14ac:dyDescent="0.3">
      <c r="A135" s="70" t="str">
        <f>H135</f>
        <v>001459</v>
      </c>
      <c r="B135" s="70" t="s">
        <v>61</v>
      </c>
      <c r="C135" s="70" t="s">
        <v>62</v>
      </c>
      <c r="D135" s="70" t="s">
        <v>1429</v>
      </c>
      <c r="E135" s="70" t="s">
        <v>617</v>
      </c>
      <c r="F135" s="70" t="s">
        <v>590</v>
      </c>
      <c r="G135" s="70" t="s">
        <v>2763</v>
      </c>
      <c r="H135" s="70" t="s">
        <v>2020</v>
      </c>
      <c r="I135" s="70" t="s">
        <v>67</v>
      </c>
      <c r="J135" s="70" t="s">
        <v>1451</v>
      </c>
      <c r="K135" s="71">
        <v>45839</v>
      </c>
      <c r="L135" s="71">
        <v>45962</v>
      </c>
      <c r="M135" s="72">
        <v>15000</v>
      </c>
      <c r="N135" s="72">
        <v>15801.12</v>
      </c>
      <c r="O135" s="73">
        <v>0</v>
      </c>
      <c r="P135" s="73">
        <v>4</v>
      </c>
      <c r="Q135" s="70" t="s">
        <v>68</v>
      </c>
      <c r="R135" s="72">
        <v>5171.16</v>
      </c>
      <c r="S135" s="72">
        <v>232</v>
      </c>
      <c r="T135" s="72">
        <v>0</v>
      </c>
      <c r="U135" s="72">
        <v>0</v>
      </c>
      <c r="V135" s="72">
        <v>0</v>
      </c>
      <c r="W135" s="72">
        <v>3950.28</v>
      </c>
      <c r="X135" s="72">
        <v>0</v>
      </c>
      <c r="Y135" s="72">
        <v>0</v>
      </c>
      <c r="Z135" s="74">
        <v>0</v>
      </c>
      <c r="AA135" s="74">
        <v>0</v>
      </c>
      <c r="AB135" s="72">
        <v>0</v>
      </c>
      <c r="AC135" s="72">
        <v>5200</v>
      </c>
      <c r="AD135" s="71">
        <v>45931</v>
      </c>
      <c r="AE135" s="70" t="s">
        <v>69</v>
      </c>
      <c r="AF135" s="70" t="s">
        <v>2021</v>
      </c>
      <c r="AG135" s="70" t="s">
        <v>1452</v>
      </c>
      <c r="AI135" s="70" t="s">
        <v>464</v>
      </c>
      <c r="AJ135" s="70" t="s">
        <v>465</v>
      </c>
      <c r="AM135" s="70" t="s">
        <v>1453</v>
      </c>
      <c r="AN135" s="70" t="s">
        <v>2022</v>
      </c>
      <c r="AO135" s="70" t="s">
        <v>1454</v>
      </c>
      <c r="AP135" s="70" t="s">
        <v>2023</v>
      </c>
      <c r="AQ135" s="70" t="s">
        <v>1455</v>
      </c>
      <c r="AR135" s="70" t="s">
        <v>2024</v>
      </c>
      <c r="AY135" s="72">
        <v>5026.6500000000005</v>
      </c>
      <c r="AZ135" s="72">
        <v>86.51</v>
      </c>
      <c r="BA135" s="70" t="s">
        <v>67</v>
      </c>
      <c r="BB135" s="70" t="s">
        <v>1044</v>
      </c>
      <c r="BC135" s="70" t="s">
        <v>2945</v>
      </c>
      <c r="BD135" s="70" t="s">
        <v>88</v>
      </c>
      <c r="BE135" s="70" t="s">
        <v>74</v>
      </c>
      <c r="BF135" s="70" t="s">
        <v>75</v>
      </c>
      <c r="BG135" s="70" t="s">
        <v>1456</v>
      </c>
      <c r="BH135" s="60" t="str">
        <f t="shared" si="2"/>
        <v>Ver en Mapa</v>
      </c>
      <c r="BK135" s="70">
        <v>0</v>
      </c>
      <c r="BL135" s="70">
        <v>0</v>
      </c>
      <c r="BM135" s="70" t="s">
        <v>2847</v>
      </c>
    </row>
    <row r="136" spans="1:65" s="68" customFormat="1" ht="14.4" customHeight="1" x14ac:dyDescent="0.3">
      <c r="A136" s="70" t="str">
        <f>H136</f>
        <v>001452</v>
      </c>
      <c r="B136" s="70" t="s">
        <v>61</v>
      </c>
      <c r="C136" s="70" t="s">
        <v>62</v>
      </c>
      <c r="D136" s="70" t="s">
        <v>1429</v>
      </c>
      <c r="E136" s="70" t="s">
        <v>617</v>
      </c>
      <c r="F136" s="70" t="s">
        <v>590</v>
      </c>
      <c r="G136" s="70" t="s">
        <v>2763</v>
      </c>
      <c r="H136" s="70" t="s">
        <v>2025</v>
      </c>
      <c r="I136" s="70" t="s">
        <v>67</v>
      </c>
      <c r="J136" s="70" t="s">
        <v>1379</v>
      </c>
      <c r="K136" s="71">
        <v>45839</v>
      </c>
      <c r="L136" s="71">
        <v>46023</v>
      </c>
      <c r="M136" s="72">
        <v>5000</v>
      </c>
      <c r="N136" s="72">
        <v>5267.04</v>
      </c>
      <c r="O136" s="73">
        <v>0</v>
      </c>
      <c r="P136" s="73">
        <v>6</v>
      </c>
      <c r="Q136" s="70" t="s">
        <v>68</v>
      </c>
      <c r="R136" s="72">
        <v>1322.42</v>
      </c>
      <c r="S136" s="72">
        <v>348</v>
      </c>
      <c r="T136" s="72">
        <v>0</v>
      </c>
      <c r="U136" s="72">
        <v>0</v>
      </c>
      <c r="V136" s="72">
        <v>0</v>
      </c>
      <c r="W136" s="72">
        <v>2633.52</v>
      </c>
      <c r="X136" s="72">
        <v>0</v>
      </c>
      <c r="Y136" s="72">
        <v>0</v>
      </c>
      <c r="Z136" s="72">
        <v>0</v>
      </c>
      <c r="AA136" s="74">
        <v>0</v>
      </c>
      <c r="AB136" s="72">
        <v>0</v>
      </c>
      <c r="AC136" s="72">
        <v>1322.42</v>
      </c>
      <c r="AD136" s="71">
        <v>45931</v>
      </c>
      <c r="AE136" s="70" t="s">
        <v>69</v>
      </c>
      <c r="AF136" s="70" t="s">
        <v>2026</v>
      </c>
      <c r="AG136" s="70" t="s">
        <v>1380</v>
      </c>
      <c r="AI136" s="70" t="s">
        <v>1381</v>
      </c>
      <c r="AJ136" s="70" t="s">
        <v>2027</v>
      </c>
      <c r="AK136" s="70" t="s">
        <v>1382</v>
      </c>
      <c r="AL136" s="70" t="s">
        <v>2026</v>
      </c>
      <c r="AM136" s="70" t="s">
        <v>1383</v>
      </c>
      <c r="AN136" s="70" t="s">
        <v>2028</v>
      </c>
      <c r="AO136" s="70" t="s">
        <v>1384</v>
      </c>
      <c r="AP136" s="70" t="s">
        <v>2029</v>
      </c>
      <c r="AQ136" s="70" t="s">
        <v>1385</v>
      </c>
      <c r="AR136" s="70" t="s">
        <v>2030</v>
      </c>
      <c r="AY136" s="72">
        <v>3765.66</v>
      </c>
      <c r="AZ136" s="72">
        <v>27.59</v>
      </c>
      <c r="BA136" s="70" t="s">
        <v>67</v>
      </c>
      <c r="BB136" s="70" t="s">
        <v>1044</v>
      </c>
      <c r="BC136" s="70" t="s">
        <v>3004</v>
      </c>
      <c r="BD136" s="70" t="s">
        <v>1583</v>
      </c>
      <c r="BE136" s="70" t="s">
        <v>74</v>
      </c>
      <c r="BF136" s="70" t="s">
        <v>338</v>
      </c>
      <c r="BG136" s="70" t="s">
        <v>1386</v>
      </c>
      <c r="BH136" s="60" t="str">
        <f t="shared" si="2"/>
        <v>Ver en Mapa</v>
      </c>
      <c r="BK136" s="70">
        <v>0</v>
      </c>
      <c r="BL136" s="70">
        <v>0</v>
      </c>
      <c r="BM136" s="70" t="s">
        <v>2847</v>
      </c>
    </row>
    <row r="137" spans="1:65" s="68" customFormat="1" ht="14.4" customHeight="1" x14ac:dyDescent="0.3">
      <c r="A137" s="70" t="str">
        <f>H137</f>
        <v>001309</v>
      </c>
      <c r="B137" s="70" t="s">
        <v>61</v>
      </c>
      <c r="C137" s="70" t="s">
        <v>62</v>
      </c>
      <c r="D137" s="70" t="s">
        <v>408</v>
      </c>
      <c r="E137" s="70" t="s">
        <v>409</v>
      </c>
      <c r="F137" s="70" t="s">
        <v>590</v>
      </c>
      <c r="G137" s="70" t="s">
        <v>2763</v>
      </c>
      <c r="H137" s="70" t="s">
        <v>1905</v>
      </c>
      <c r="I137" s="70" t="s">
        <v>67</v>
      </c>
      <c r="J137" s="70" t="s">
        <v>553</v>
      </c>
      <c r="K137" s="71">
        <v>45786</v>
      </c>
      <c r="L137" s="71">
        <v>45970</v>
      </c>
      <c r="M137" s="72">
        <v>7000</v>
      </c>
      <c r="N137" s="72">
        <v>7373.85</v>
      </c>
      <c r="O137" s="73">
        <v>0</v>
      </c>
      <c r="P137" s="73">
        <v>6</v>
      </c>
      <c r="Q137" s="70" t="s">
        <v>68</v>
      </c>
      <c r="R137" s="72">
        <v>1828.18</v>
      </c>
      <c r="S137" s="72">
        <v>348</v>
      </c>
      <c r="T137" s="72">
        <v>0</v>
      </c>
      <c r="U137" s="72">
        <v>0</v>
      </c>
      <c r="V137" s="72">
        <v>0</v>
      </c>
      <c r="W137" s="72">
        <v>1228.97</v>
      </c>
      <c r="X137" s="72">
        <v>0</v>
      </c>
      <c r="Y137" s="74">
        <v>0</v>
      </c>
      <c r="Z137" s="72">
        <v>0</v>
      </c>
      <c r="AA137" s="74">
        <v>0</v>
      </c>
      <c r="AB137" s="72">
        <v>0</v>
      </c>
      <c r="AC137" s="72">
        <v>1830</v>
      </c>
      <c r="AD137" s="71">
        <v>45939</v>
      </c>
      <c r="AE137" s="70" t="s">
        <v>69</v>
      </c>
      <c r="AF137" s="70" t="s">
        <v>1906</v>
      </c>
      <c r="AG137" s="70" t="s">
        <v>554</v>
      </c>
      <c r="AI137" s="70" t="s">
        <v>565</v>
      </c>
      <c r="AJ137" s="70" t="s">
        <v>1907</v>
      </c>
      <c r="AM137" s="70" t="s">
        <v>754</v>
      </c>
      <c r="AN137" s="70" t="s">
        <v>1908</v>
      </c>
      <c r="AO137" s="70" t="s">
        <v>752</v>
      </c>
      <c r="AP137" s="70" t="s">
        <v>1909</v>
      </c>
      <c r="AQ137" s="70" t="s">
        <v>753</v>
      </c>
      <c r="AR137" s="70" t="s">
        <v>1910</v>
      </c>
      <c r="AY137" s="72">
        <v>1761.1000000000001</v>
      </c>
      <c r="AZ137" s="72">
        <v>9.0859133333333304</v>
      </c>
      <c r="BA137" s="70" t="s">
        <v>67</v>
      </c>
      <c r="BB137" s="70" t="s">
        <v>1044</v>
      </c>
      <c r="BC137" s="70" t="s">
        <v>2990</v>
      </c>
      <c r="BD137" s="70" t="s">
        <v>337</v>
      </c>
      <c r="BE137" s="70" t="s">
        <v>74</v>
      </c>
      <c r="BF137" s="70" t="s">
        <v>338</v>
      </c>
      <c r="BH137" s="60" t="str">
        <f t="shared" si="2"/>
        <v>Ver en Mapa</v>
      </c>
      <c r="BK137" s="70">
        <v>0</v>
      </c>
      <c r="BL137" s="70">
        <v>0</v>
      </c>
      <c r="BM137" s="70" t="s">
        <v>2847</v>
      </c>
    </row>
    <row r="138" spans="1:65" s="68" customFormat="1" ht="14.4" customHeight="1" x14ac:dyDescent="0.3">
      <c r="A138" s="70" t="str">
        <f>H138</f>
        <v>001335</v>
      </c>
      <c r="B138" s="70" t="s">
        <v>61</v>
      </c>
      <c r="C138" s="70" t="s">
        <v>62</v>
      </c>
      <c r="D138" s="70" t="s">
        <v>1429</v>
      </c>
      <c r="E138" s="70" t="s">
        <v>617</v>
      </c>
      <c r="F138" s="70" t="s">
        <v>590</v>
      </c>
      <c r="G138" s="70" t="s">
        <v>2763</v>
      </c>
      <c r="H138" s="70" t="s">
        <v>2031</v>
      </c>
      <c r="I138" s="70" t="s">
        <v>67</v>
      </c>
      <c r="J138" s="70" t="s">
        <v>620</v>
      </c>
      <c r="K138" s="71">
        <v>45800</v>
      </c>
      <c r="L138" s="71">
        <v>46165</v>
      </c>
      <c r="M138" s="72">
        <v>10000</v>
      </c>
      <c r="N138" s="72">
        <v>10534.08</v>
      </c>
      <c r="O138" s="73">
        <v>0</v>
      </c>
      <c r="P138" s="73">
        <v>12</v>
      </c>
      <c r="Q138" s="70" t="s">
        <v>68</v>
      </c>
      <c r="R138" s="72">
        <v>1702.69</v>
      </c>
      <c r="S138" s="72">
        <v>696</v>
      </c>
      <c r="T138" s="72">
        <v>0</v>
      </c>
      <c r="U138" s="72">
        <v>0</v>
      </c>
      <c r="V138" s="72">
        <v>0</v>
      </c>
      <c r="W138" s="72">
        <v>7022.7300000000005</v>
      </c>
      <c r="X138" s="72">
        <v>0.01</v>
      </c>
      <c r="Y138" s="72">
        <v>0.01</v>
      </c>
      <c r="Z138" s="72">
        <v>0</v>
      </c>
      <c r="AA138" s="72">
        <v>0</v>
      </c>
      <c r="AB138" s="72">
        <v>0</v>
      </c>
      <c r="AC138" s="72">
        <v>1702.69</v>
      </c>
      <c r="AD138" s="71">
        <v>45923</v>
      </c>
      <c r="AE138" s="70" t="s">
        <v>69</v>
      </c>
      <c r="AF138" s="70" t="s">
        <v>2032</v>
      </c>
      <c r="AG138" s="70" t="s">
        <v>621</v>
      </c>
      <c r="AI138" s="70" t="s">
        <v>622</v>
      </c>
      <c r="AJ138" s="70" t="s">
        <v>2033</v>
      </c>
      <c r="AM138" s="70" t="s">
        <v>780</v>
      </c>
      <c r="AN138" s="70" t="s">
        <v>2034</v>
      </c>
      <c r="AO138" s="70" t="s">
        <v>778</v>
      </c>
      <c r="AP138" s="70" t="s">
        <v>2035</v>
      </c>
      <c r="AQ138" s="70" t="s">
        <v>779</v>
      </c>
      <c r="AR138" s="70" t="s">
        <v>2036</v>
      </c>
      <c r="AY138" s="72">
        <v>13157.54</v>
      </c>
      <c r="AZ138" s="72">
        <v>0</v>
      </c>
      <c r="BA138" s="70" t="s">
        <v>67</v>
      </c>
      <c r="BB138" s="70" t="s">
        <v>1044</v>
      </c>
      <c r="BC138" s="70" t="s">
        <v>2975</v>
      </c>
      <c r="BD138" s="70" t="s">
        <v>85</v>
      </c>
      <c r="BE138" s="70" t="s">
        <v>74</v>
      </c>
      <c r="BF138" s="70" t="s">
        <v>75</v>
      </c>
      <c r="BH138" s="60" t="str">
        <f t="shared" si="2"/>
        <v>Ver en Mapa</v>
      </c>
      <c r="BK138" s="70">
        <v>0</v>
      </c>
      <c r="BL138" s="70">
        <v>0</v>
      </c>
      <c r="BM138" s="70" t="s">
        <v>2847</v>
      </c>
    </row>
    <row r="139" spans="1:65" s="68" customFormat="1" ht="14.4" customHeight="1" x14ac:dyDescent="0.3">
      <c r="A139" s="70" t="str">
        <f>H139</f>
        <v>001296</v>
      </c>
      <c r="B139" s="70" t="s">
        <v>61</v>
      </c>
      <c r="C139" s="70" t="s">
        <v>62</v>
      </c>
      <c r="D139" s="70" t="s">
        <v>408</v>
      </c>
      <c r="E139" s="70" t="s">
        <v>409</v>
      </c>
      <c r="F139" s="70" t="s">
        <v>590</v>
      </c>
      <c r="G139" s="70" t="s">
        <v>2763</v>
      </c>
      <c r="H139" s="70" t="s">
        <v>1915</v>
      </c>
      <c r="I139" s="70" t="s">
        <v>67</v>
      </c>
      <c r="J139" s="70" t="s">
        <v>530</v>
      </c>
      <c r="K139" s="71">
        <v>45784</v>
      </c>
      <c r="L139" s="71">
        <v>46149</v>
      </c>
      <c r="M139" s="72">
        <v>10000</v>
      </c>
      <c r="N139" s="72">
        <v>10534.08</v>
      </c>
      <c r="O139" s="73">
        <v>0</v>
      </c>
      <c r="P139" s="73">
        <v>12</v>
      </c>
      <c r="Q139" s="70" t="s">
        <v>68</v>
      </c>
      <c r="R139" s="72">
        <v>1702.69</v>
      </c>
      <c r="S139" s="72">
        <v>696</v>
      </c>
      <c r="T139" s="72">
        <v>0</v>
      </c>
      <c r="U139" s="72">
        <v>0</v>
      </c>
      <c r="V139" s="72">
        <v>0</v>
      </c>
      <c r="W139" s="72">
        <v>6144.88</v>
      </c>
      <c r="X139" s="72">
        <v>0</v>
      </c>
      <c r="Y139" s="72">
        <v>0</v>
      </c>
      <c r="Z139" s="72">
        <v>0</v>
      </c>
      <c r="AA139" s="74">
        <v>0</v>
      </c>
      <c r="AB139" s="72">
        <v>0</v>
      </c>
      <c r="AC139" s="72">
        <v>1702.69</v>
      </c>
      <c r="AD139" s="71">
        <v>45936</v>
      </c>
      <c r="AE139" s="70" t="s">
        <v>69</v>
      </c>
      <c r="AF139" s="70" t="s">
        <v>1916</v>
      </c>
      <c r="AG139" s="70" t="s">
        <v>1916</v>
      </c>
      <c r="AI139" s="70" t="s">
        <v>555</v>
      </c>
      <c r="AJ139" s="70" t="s">
        <v>1917</v>
      </c>
      <c r="AM139" s="70" t="s">
        <v>760</v>
      </c>
      <c r="AN139" s="70" t="s">
        <v>1918</v>
      </c>
      <c r="AO139" s="70" t="s">
        <v>758</v>
      </c>
      <c r="AP139" s="70" t="s">
        <v>1919</v>
      </c>
      <c r="AQ139" s="70" t="s">
        <v>759</v>
      </c>
      <c r="AR139" s="70" t="s">
        <v>1920</v>
      </c>
      <c r="AY139" s="72">
        <v>11512.53</v>
      </c>
      <c r="AZ139" s="72">
        <v>0.311186666666667</v>
      </c>
      <c r="BA139" s="70" t="s">
        <v>67</v>
      </c>
      <c r="BB139" s="70" t="s">
        <v>1044</v>
      </c>
      <c r="BC139" s="70" t="s">
        <v>2941</v>
      </c>
      <c r="BD139" s="70" t="s">
        <v>88</v>
      </c>
      <c r="BE139" s="70" t="s">
        <v>74</v>
      </c>
      <c r="BF139" s="70" t="s">
        <v>75</v>
      </c>
      <c r="BH139" s="60" t="str">
        <f t="shared" si="2"/>
        <v>Ver en Mapa</v>
      </c>
      <c r="BK139" s="70">
        <v>2</v>
      </c>
      <c r="BL139" s="70">
        <v>2</v>
      </c>
      <c r="BM139" s="70" t="s">
        <v>2847</v>
      </c>
    </row>
    <row r="140" spans="1:65" s="68" customFormat="1" ht="14.4" customHeight="1" x14ac:dyDescent="0.3">
      <c r="A140" s="70" t="str">
        <f>H140</f>
        <v>001251</v>
      </c>
      <c r="B140" s="70" t="s">
        <v>61</v>
      </c>
      <c r="C140" s="70" t="s">
        <v>62</v>
      </c>
      <c r="D140" s="70" t="s">
        <v>408</v>
      </c>
      <c r="E140" s="70" t="s">
        <v>409</v>
      </c>
      <c r="F140" s="70" t="s">
        <v>590</v>
      </c>
      <c r="G140" s="70" t="s">
        <v>2763</v>
      </c>
      <c r="H140" s="70" t="s">
        <v>1423</v>
      </c>
      <c r="I140" s="70" t="s">
        <v>67</v>
      </c>
      <c r="J140" s="70" t="s">
        <v>395</v>
      </c>
      <c r="K140" s="71">
        <v>45763</v>
      </c>
      <c r="L140" s="71">
        <v>46128</v>
      </c>
      <c r="M140" s="72">
        <v>12000</v>
      </c>
      <c r="N140" s="72">
        <v>12640.89</v>
      </c>
      <c r="O140" s="73">
        <v>0</v>
      </c>
      <c r="P140" s="73">
        <v>12</v>
      </c>
      <c r="Q140" s="70" t="s">
        <v>68</v>
      </c>
      <c r="R140" s="72">
        <v>2031.63</v>
      </c>
      <c r="S140" s="72">
        <v>696</v>
      </c>
      <c r="T140" s="72">
        <v>0</v>
      </c>
      <c r="U140" s="72">
        <v>0</v>
      </c>
      <c r="V140" s="72">
        <v>0</v>
      </c>
      <c r="W140" s="72">
        <v>7373.85</v>
      </c>
      <c r="X140" s="72">
        <v>0</v>
      </c>
      <c r="Y140" s="72">
        <v>0</v>
      </c>
      <c r="Z140" s="72">
        <v>0</v>
      </c>
      <c r="AA140" s="74">
        <v>0</v>
      </c>
      <c r="AB140" s="72">
        <v>0</v>
      </c>
      <c r="AC140" s="72">
        <v>2612</v>
      </c>
      <c r="AD140" s="71">
        <v>45930</v>
      </c>
      <c r="AE140" s="70" t="s">
        <v>69</v>
      </c>
      <c r="AF140" s="70" t="s">
        <v>1424</v>
      </c>
      <c r="AG140" s="70" t="s">
        <v>396</v>
      </c>
      <c r="AI140" s="70" t="s">
        <v>397</v>
      </c>
      <c r="AJ140" s="70" t="s">
        <v>1425</v>
      </c>
      <c r="AM140" s="70" t="s">
        <v>766</v>
      </c>
      <c r="AN140" s="70" t="s">
        <v>1426</v>
      </c>
      <c r="AO140" s="70" t="s">
        <v>764</v>
      </c>
      <c r="AP140" s="70" t="s">
        <v>1427</v>
      </c>
      <c r="AQ140" s="70" t="s">
        <v>765</v>
      </c>
      <c r="AR140" s="70" t="s">
        <v>1428</v>
      </c>
      <c r="AY140" s="72">
        <v>13811.550000000001</v>
      </c>
      <c r="AZ140" s="72">
        <v>3.8541079166666701</v>
      </c>
      <c r="BA140" s="70" t="s">
        <v>67</v>
      </c>
      <c r="BB140" s="70" t="s">
        <v>1044</v>
      </c>
      <c r="BC140" s="70" t="s">
        <v>2905</v>
      </c>
      <c r="BD140" s="70" t="s">
        <v>97</v>
      </c>
      <c r="BE140" s="70" t="s">
        <v>74</v>
      </c>
      <c r="BF140" s="70" t="s">
        <v>75</v>
      </c>
      <c r="BH140" s="60" t="str">
        <f t="shared" si="2"/>
        <v>Ver en Mapa</v>
      </c>
      <c r="BK140" s="70">
        <v>5</v>
      </c>
      <c r="BL140" s="70">
        <v>5</v>
      </c>
      <c r="BM140" s="70" t="s">
        <v>2847</v>
      </c>
    </row>
    <row r="141" spans="1:65" s="68" customFormat="1" ht="14.4" customHeight="1" x14ac:dyDescent="0.3">
      <c r="A141" s="70" t="str">
        <f>H141</f>
        <v>001258</v>
      </c>
      <c r="B141" s="70" t="s">
        <v>61</v>
      </c>
      <c r="C141" s="70" t="s">
        <v>62</v>
      </c>
      <c r="D141" s="70" t="s">
        <v>408</v>
      </c>
      <c r="E141" s="70" t="s">
        <v>409</v>
      </c>
      <c r="F141" s="70" t="s">
        <v>590</v>
      </c>
      <c r="G141" s="70" t="s">
        <v>2763</v>
      </c>
      <c r="H141" s="70" t="s">
        <v>1927</v>
      </c>
      <c r="I141" s="70" t="s">
        <v>67</v>
      </c>
      <c r="J141" s="70" t="s">
        <v>421</v>
      </c>
      <c r="K141" s="71">
        <v>45772</v>
      </c>
      <c r="L141" s="71">
        <v>46137</v>
      </c>
      <c r="M141" s="72">
        <v>10000</v>
      </c>
      <c r="N141" s="72">
        <v>10534.08</v>
      </c>
      <c r="O141" s="73">
        <v>0</v>
      </c>
      <c r="P141" s="73">
        <v>12</v>
      </c>
      <c r="Q141" s="70" t="s">
        <v>68</v>
      </c>
      <c r="R141" s="72">
        <v>1702.69</v>
      </c>
      <c r="S141" s="72">
        <v>696</v>
      </c>
      <c r="T141" s="72">
        <v>0</v>
      </c>
      <c r="U141" s="72">
        <v>0</v>
      </c>
      <c r="V141" s="72">
        <v>0</v>
      </c>
      <c r="W141" s="72">
        <v>6144.89</v>
      </c>
      <c r="X141" s="72">
        <v>0.01</v>
      </c>
      <c r="Y141" s="72">
        <v>0.01</v>
      </c>
      <c r="Z141" s="72">
        <v>0</v>
      </c>
      <c r="AA141" s="72">
        <v>0</v>
      </c>
      <c r="AB141" s="72">
        <v>0</v>
      </c>
      <c r="AC141" s="72">
        <v>1702.69</v>
      </c>
      <c r="AD141" s="71">
        <v>45925</v>
      </c>
      <c r="AE141" s="70" t="s">
        <v>69</v>
      </c>
      <c r="AF141" s="70" t="s">
        <v>1928</v>
      </c>
      <c r="AG141" s="70" t="s">
        <v>422</v>
      </c>
      <c r="AI141" s="70" t="s">
        <v>454</v>
      </c>
      <c r="AJ141" s="70" t="s">
        <v>1929</v>
      </c>
      <c r="AK141" s="70" t="s">
        <v>423</v>
      </c>
      <c r="AL141" s="70" t="s">
        <v>1930</v>
      </c>
      <c r="AM141" s="70" t="s">
        <v>769</v>
      </c>
      <c r="AN141" s="70" t="s">
        <v>1931</v>
      </c>
      <c r="AO141" s="70" t="s">
        <v>767</v>
      </c>
      <c r="AP141" s="70" t="s">
        <v>1932</v>
      </c>
      <c r="AQ141" s="70" t="s">
        <v>768</v>
      </c>
      <c r="AR141" s="70" t="s">
        <v>1933</v>
      </c>
      <c r="AY141" s="72">
        <v>11512.85</v>
      </c>
      <c r="AZ141" s="72">
        <v>0</v>
      </c>
      <c r="BA141" s="70" t="s">
        <v>67</v>
      </c>
      <c r="BB141" s="70" t="s">
        <v>1044</v>
      </c>
      <c r="BC141" s="70" t="s">
        <v>2977</v>
      </c>
      <c r="BD141" s="70" t="s">
        <v>424</v>
      </c>
      <c r="BE141" s="70" t="s">
        <v>74</v>
      </c>
      <c r="BF141" s="70" t="s">
        <v>338</v>
      </c>
      <c r="BH141" s="60" t="str">
        <f t="shared" si="2"/>
        <v>Ver en Mapa</v>
      </c>
      <c r="BK141" s="70">
        <v>0</v>
      </c>
      <c r="BL141" s="70">
        <v>0</v>
      </c>
      <c r="BM141" s="70" t="s">
        <v>2847</v>
      </c>
    </row>
    <row r="142" spans="1:65" s="68" customFormat="1" ht="14.4" customHeight="1" x14ac:dyDescent="0.3">
      <c r="A142" s="70" t="str">
        <f>H142</f>
        <v>001480</v>
      </c>
      <c r="B142" s="70" t="s">
        <v>61</v>
      </c>
      <c r="C142" s="70" t="s">
        <v>62</v>
      </c>
      <c r="D142" s="70" t="s">
        <v>1429</v>
      </c>
      <c r="E142" s="70" t="s">
        <v>617</v>
      </c>
      <c r="F142" s="70" t="s">
        <v>590</v>
      </c>
      <c r="G142" s="70" t="s">
        <v>2763</v>
      </c>
      <c r="H142" s="70" t="s">
        <v>2047</v>
      </c>
      <c r="I142" s="70" t="s">
        <v>67</v>
      </c>
      <c r="J142" s="70" t="s">
        <v>1690</v>
      </c>
      <c r="K142" s="71">
        <v>45856</v>
      </c>
      <c r="L142" s="71">
        <v>46024</v>
      </c>
      <c r="M142" s="72">
        <v>5000</v>
      </c>
      <c r="N142" s="72">
        <v>5267.04</v>
      </c>
      <c r="O142" s="73">
        <v>0</v>
      </c>
      <c r="P142" s="73">
        <v>12</v>
      </c>
      <c r="Q142" s="70" t="s">
        <v>496</v>
      </c>
      <c r="R142" s="72">
        <v>673.4</v>
      </c>
      <c r="S142" s="72">
        <v>696</v>
      </c>
      <c r="T142" s="72">
        <v>0</v>
      </c>
      <c r="U142" s="72">
        <v>6</v>
      </c>
      <c r="V142" s="72">
        <v>0</v>
      </c>
      <c r="W142" s="72">
        <v>2633.53</v>
      </c>
      <c r="X142" s="72">
        <v>0.01</v>
      </c>
      <c r="Y142" s="72">
        <v>0.01</v>
      </c>
      <c r="Z142" s="72">
        <v>0</v>
      </c>
      <c r="AA142" s="72">
        <v>0</v>
      </c>
      <c r="AB142" s="72">
        <v>0</v>
      </c>
      <c r="AC142" s="72">
        <v>673.4</v>
      </c>
      <c r="AD142" s="71">
        <v>45940</v>
      </c>
      <c r="AE142" s="70" t="s">
        <v>69</v>
      </c>
      <c r="AF142" s="70" t="s">
        <v>2048</v>
      </c>
      <c r="AG142" s="70" t="s">
        <v>1691</v>
      </c>
      <c r="AI142" s="70" t="s">
        <v>1201</v>
      </c>
      <c r="AJ142" s="70" t="s">
        <v>2049</v>
      </c>
      <c r="AK142" s="70" t="s">
        <v>1692</v>
      </c>
      <c r="AL142" s="70" t="s">
        <v>2048</v>
      </c>
      <c r="AM142" s="70" t="s">
        <v>1693</v>
      </c>
      <c r="AN142" s="70" t="s">
        <v>2050</v>
      </c>
      <c r="AO142" s="70" t="s">
        <v>1694</v>
      </c>
      <c r="AP142" s="70" t="s">
        <v>2051</v>
      </c>
      <c r="AQ142" s="70" t="s">
        <v>1695</v>
      </c>
      <c r="AR142" s="70" t="s">
        <v>2052</v>
      </c>
      <c r="AY142" s="72">
        <v>3692.41</v>
      </c>
      <c r="AZ142" s="72">
        <v>0</v>
      </c>
      <c r="BA142" s="70" t="s">
        <v>67</v>
      </c>
      <c r="BB142" s="70" t="s">
        <v>1044</v>
      </c>
      <c r="BC142" s="70" t="s">
        <v>2902</v>
      </c>
      <c r="BD142" s="70" t="s">
        <v>1696</v>
      </c>
      <c r="BE142" s="70" t="s">
        <v>74</v>
      </c>
      <c r="BF142" s="70" t="s">
        <v>75</v>
      </c>
      <c r="BG142" s="70" t="s">
        <v>1334</v>
      </c>
      <c r="BH142" s="60" t="str">
        <f t="shared" si="2"/>
        <v>Ver en Mapa</v>
      </c>
      <c r="BK142" s="70">
        <v>0</v>
      </c>
      <c r="BL142" s="70">
        <v>0</v>
      </c>
      <c r="BM142" s="70" t="s">
        <v>2847</v>
      </c>
    </row>
    <row r="143" spans="1:65" s="68" customFormat="1" ht="14.4" customHeight="1" x14ac:dyDescent="0.3">
      <c r="A143" s="70" t="str">
        <f>H143</f>
        <v>001551</v>
      </c>
      <c r="B143" s="70" t="s">
        <v>61</v>
      </c>
      <c r="C143" s="70" t="s">
        <v>62</v>
      </c>
      <c r="D143" s="70" t="s">
        <v>183</v>
      </c>
      <c r="E143" s="70" t="s">
        <v>184</v>
      </c>
      <c r="F143" s="70" t="s">
        <v>590</v>
      </c>
      <c r="G143" s="70" t="s">
        <v>2763</v>
      </c>
      <c r="H143" s="70" t="s">
        <v>2053</v>
      </c>
      <c r="I143" s="70" t="s">
        <v>67</v>
      </c>
      <c r="J143" s="70" t="s">
        <v>1697</v>
      </c>
      <c r="K143" s="71">
        <v>45856</v>
      </c>
      <c r="L143" s="71">
        <v>46221</v>
      </c>
      <c r="M143" s="72">
        <v>10000</v>
      </c>
      <c r="N143" s="72">
        <v>10534.08</v>
      </c>
      <c r="O143" s="73">
        <v>0</v>
      </c>
      <c r="P143" s="73">
        <v>12</v>
      </c>
      <c r="Q143" s="70" t="s">
        <v>68</v>
      </c>
      <c r="R143" s="72">
        <v>1702.69</v>
      </c>
      <c r="S143" s="72">
        <v>696</v>
      </c>
      <c r="T143" s="72">
        <v>0</v>
      </c>
      <c r="U143" s="72">
        <v>0</v>
      </c>
      <c r="V143" s="72">
        <v>0</v>
      </c>
      <c r="W143" s="72">
        <v>8778.4</v>
      </c>
      <c r="X143" s="72">
        <v>0</v>
      </c>
      <c r="Y143" s="72">
        <v>0</v>
      </c>
      <c r="Z143" s="72">
        <v>0</v>
      </c>
      <c r="AA143" s="74">
        <v>0</v>
      </c>
      <c r="AB143" s="72">
        <v>0</v>
      </c>
      <c r="AC143" s="72">
        <v>1702.69</v>
      </c>
      <c r="AD143" s="71">
        <v>45918</v>
      </c>
      <c r="AE143" s="70" t="s">
        <v>69</v>
      </c>
      <c r="AF143" s="70" t="s">
        <v>2054</v>
      </c>
      <c r="AG143" s="70" t="s">
        <v>1698</v>
      </c>
      <c r="AI143" s="70" t="s">
        <v>283</v>
      </c>
      <c r="AJ143" s="70" t="s">
        <v>284</v>
      </c>
      <c r="AK143" s="70" t="s">
        <v>1699</v>
      </c>
      <c r="AL143" s="70" t="s">
        <v>2054</v>
      </c>
      <c r="AM143" s="70" t="s">
        <v>1700</v>
      </c>
      <c r="AN143" s="70" t="s">
        <v>2055</v>
      </c>
      <c r="AO143" s="70" t="s">
        <v>1701</v>
      </c>
      <c r="AP143" s="70" t="s">
        <v>2056</v>
      </c>
      <c r="AQ143" s="70" t="s">
        <v>1702</v>
      </c>
      <c r="AR143" s="70" t="s">
        <v>2057</v>
      </c>
      <c r="AY143" s="72">
        <v>16446.61</v>
      </c>
      <c r="AZ143" s="72">
        <v>0.31</v>
      </c>
      <c r="BA143" s="70" t="s">
        <v>67</v>
      </c>
      <c r="BB143" s="70" t="s">
        <v>1044</v>
      </c>
      <c r="BC143" s="70" t="s">
        <v>2910</v>
      </c>
      <c r="BD143" s="70" t="s">
        <v>88</v>
      </c>
      <c r="BE143" s="70" t="s">
        <v>74</v>
      </c>
      <c r="BF143" s="70" t="s">
        <v>75</v>
      </c>
      <c r="BG143" s="70" t="s">
        <v>1703</v>
      </c>
      <c r="BH143" s="60" t="str">
        <f t="shared" si="2"/>
        <v>Ver en Mapa</v>
      </c>
      <c r="BK143" s="70">
        <v>0</v>
      </c>
      <c r="BL143" s="70">
        <v>0</v>
      </c>
      <c r="BM143" s="70" t="s">
        <v>2847</v>
      </c>
    </row>
    <row r="144" spans="1:65" s="68" customFormat="1" ht="14.4" customHeight="1" x14ac:dyDescent="0.3">
      <c r="A144" s="70" t="str">
        <f>H144</f>
        <v>001224</v>
      </c>
      <c r="B144" s="70" t="s">
        <v>61</v>
      </c>
      <c r="C144" s="70" t="s">
        <v>62</v>
      </c>
      <c r="D144" s="70" t="s">
        <v>183</v>
      </c>
      <c r="E144" s="70" t="s">
        <v>184</v>
      </c>
      <c r="F144" s="70" t="s">
        <v>2848</v>
      </c>
      <c r="G144" s="70" t="s">
        <v>2849</v>
      </c>
      <c r="H144" s="70" t="s">
        <v>351</v>
      </c>
      <c r="I144" s="70" t="s">
        <v>67</v>
      </c>
      <c r="J144" s="70" t="s">
        <v>352</v>
      </c>
      <c r="K144" s="71">
        <v>45740</v>
      </c>
      <c r="L144" s="71">
        <v>46105</v>
      </c>
      <c r="M144" s="72">
        <v>30000</v>
      </c>
      <c r="N144" s="72">
        <v>31602.23</v>
      </c>
      <c r="O144" s="73">
        <v>0</v>
      </c>
      <c r="P144" s="73">
        <v>12</v>
      </c>
      <c r="Q144" s="70" t="s">
        <v>68</v>
      </c>
      <c r="R144" s="72">
        <v>4412.13</v>
      </c>
      <c r="S144" s="72">
        <v>696</v>
      </c>
      <c r="T144" s="72">
        <v>0.01</v>
      </c>
      <c r="U144" s="72">
        <v>0</v>
      </c>
      <c r="V144" s="72">
        <v>0</v>
      </c>
      <c r="W144" s="72">
        <v>15801.11</v>
      </c>
      <c r="X144" s="72">
        <v>0</v>
      </c>
      <c r="Y144" s="74">
        <v>0</v>
      </c>
      <c r="Z144" s="72">
        <v>0</v>
      </c>
      <c r="AA144" s="74">
        <v>0</v>
      </c>
      <c r="AB144" s="72">
        <v>0.01</v>
      </c>
      <c r="AC144" s="72">
        <v>4992</v>
      </c>
      <c r="AD144" s="71">
        <v>45936</v>
      </c>
      <c r="AE144" s="70" t="s">
        <v>69</v>
      </c>
      <c r="AF144" s="70" t="s">
        <v>353</v>
      </c>
      <c r="AG144" s="70" t="s">
        <v>354</v>
      </c>
      <c r="AI144" s="70" t="s">
        <v>89</v>
      </c>
      <c r="AJ144" s="70" t="s">
        <v>90</v>
      </c>
      <c r="AK144" s="70" t="s">
        <v>355</v>
      </c>
      <c r="AM144" s="70" t="s">
        <v>710</v>
      </c>
      <c r="AN144" s="70" t="s">
        <v>1247</v>
      </c>
      <c r="AO144" s="70" t="s">
        <v>707</v>
      </c>
      <c r="AP144" s="70" t="s">
        <v>708</v>
      </c>
      <c r="AQ144" s="70" t="s">
        <v>709</v>
      </c>
      <c r="AR144" s="70" t="s">
        <v>1248</v>
      </c>
      <c r="AS144" s="70" t="s">
        <v>122</v>
      </c>
      <c r="AT144" s="68" t="s">
        <v>356</v>
      </c>
      <c r="AU144" s="70" t="s">
        <v>357</v>
      </c>
      <c r="AY144" s="72">
        <v>26124.55</v>
      </c>
      <c r="AZ144" s="72">
        <v>0.22651474999999999</v>
      </c>
      <c r="BA144" s="70" t="s">
        <v>67</v>
      </c>
      <c r="BB144" s="70" t="s">
        <v>1044</v>
      </c>
      <c r="BC144" s="70" t="s">
        <v>2992</v>
      </c>
      <c r="BD144" s="70" t="s">
        <v>88</v>
      </c>
      <c r="BE144" s="70" t="s">
        <v>74</v>
      </c>
      <c r="BF144" s="70" t="s">
        <v>75</v>
      </c>
      <c r="BH144" s="60" t="str">
        <f t="shared" si="2"/>
        <v>Ver en Mapa</v>
      </c>
      <c r="BK144" s="70">
        <v>4</v>
      </c>
      <c r="BL144" s="70">
        <v>4</v>
      </c>
      <c r="BM144" s="70" t="s">
        <v>2847</v>
      </c>
    </row>
    <row r="145" spans="1:65" s="68" customFormat="1" ht="14.4" customHeight="1" x14ac:dyDescent="0.3">
      <c r="A145" s="70" t="str">
        <f>H145</f>
        <v>001466</v>
      </c>
      <c r="B145" s="70" t="s">
        <v>61</v>
      </c>
      <c r="C145" s="70" t="s">
        <v>62</v>
      </c>
      <c r="D145" s="70" t="s">
        <v>1429</v>
      </c>
      <c r="E145" s="70" t="s">
        <v>617</v>
      </c>
      <c r="F145" s="70" t="s">
        <v>2848</v>
      </c>
      <c r="G145" s="70" t="s">
        <v>2849</v>
      </c>
      <c r="H145" s="70" t="s">
        <v>2015</v>
      </c>
      <c r="I145" s="70" t="s">
        <v>67</v>
      </c>
      <c r="J145" s="70" t="s">
        <v>1576</v>
      </c>
      <c r="K145" s="71">
        <v>45840</v>
      </c>
      <c r="L145" s="71">
        <v>46008</v>
      </c>
      <c r="M145" s="72">
        <v>5000</v>
      </c>
      <c r="N145" s="72">
        <v>5267.04</v>
      </c>
      <c r="O145" s="73">
        <v>0</v>
      </c>
      <c r="P145" s="73">
        <v>12</v>
      </c>
      <c r="Q145" s="70" t="s">
        <v>496</v>
      </c>
      <c r="R145" s="72">
        <v>673.4</v>
      </c>
      <c r="S145" s="72">
        <v>696</v>
      </c>
      <c r="T145" s="72">
        <v>0</v>
      </c>
      <c r="U145" s="72">
        <v>7</v>
      </c>
      <c r="V145" s="72">
        <v>0</v>
      </c>
      <c r="W145" s="72">
        <v>1755.68</v>
      </c>
      <c r="X145" s="72">
        <v>0</v>
      </c>
      <c r="Y145" s="74">
        <v>0</v>
      </c>
      <c r="Z145" s="74">
        <v>0</v>
      </c>
      <c r="AA145" s="74">
        <v>0</v>
      </c>
      <c r="AB145" s="72">
        <v>0</v>
      </c>
      <c r="AC145" s="72">
        <v>6000</v>
      </c>
      <c r="AD145" s="71">
        <v>45924</v>
      </c>
      <c r="AE145" s="70" t="s">
        <v>69</v>
      </c>
      <c r="AF145" s="70" t="s">
        <v>2016</v>
      </c>
      <c r="AG145" s="70" t="s">
        <v>2016</v>
      </c>
      <c r="AI145" s="70" t="s">
        <v>454</v>
      </c>
      <c r="AJ145" s="70" t="s">
        <v>1929</v>
      </c>
      <c r="AK145" s="70" t="s">
        <v>1577</v>
      </c>
      <c r="AL145" s="70" t="s">
        <v>2016</v>
      </c>
      <c r="AM145" s="70" t="s">
        <v>1578</v>
      </c>
      <c r="AN145" s="70" t="s">
        <v>2017</v>
      </c>
      <c r="AO145" s="70" t="s">
        <v>1579</v>
      </c>
      <c r="AP145" s="70" t="s">
        <v>2018</v>
      </c>
      <c r="AQ145" s="70" t="s">
        <v>1580</v>
      </c>
      <c r="AR145" s="70" t="s">
        <v>2019</v>
      </c>
      <c r="AY145" s="72">
        <v>2183.81</v>
      </c>
      <c r="AZ145" s="72">
        <v>893.19332480000003</v>
      </c>
      <c r="BA145" s="70" t="s">
        <v>67</v>
      </c>
      <c r="BB145" s="70" t="s">
        <v>1044</v>
      </c>
      <c r="BC145" s="70" t="s">
        <v>2976</v>
      </c>
      <c r="BD145" s="70" t="s">
        <v>1581</v>
      </c>
      <c r="BE145" s="70" t="s">
        <v>74</v>
      </c>
      <c r="BF145" s="70" t="s">
        <v>75</v>
      </c>
      <c r="BG145" s="70" t="s">
        <v>1582</v>
      </c>
      <c r="BH145" s="60" t="str">
        <f t="shared" si="2"/>
        <v>Ver en Mapa</v>
      </c>
      <c r="BK145" s="70">
        <v>3</v>
      </c>
      <c r="BL145" s="70">
        <v>3</v>
      </c>
      <c r="BM145" s="70" t="s">
        <v>2847</v>
      </c>
    </row>
    <row r="146" spans="1:65" s="68" customFormat="1" ht="14.4" customHeight="1" x14ac:dyDescent="0.3">
      <c r="A146" s="70" t="str">
        <f>H146</f>
        <v>001621</v>
      </c>
      <c r="B146" s="70" t="s">
        <v>61</v>
      </c>
      <c r="C146" s="70" t="s">
        <v>194</v>
      </c>
      <c r="D146" s="70" t="s">
        <v>594</v>
      </c>
      <c r="E146" s="70" t="s">
        <v>595</v>
      </c>
      <c r="F146" s="70" t="s">
        <v>590</v>
      </c>
      <c r="G146" s="70" t="s">
        <v>2763</v>
      </c>
      <c r="H146" s="70" t="s">
        <v>2117</v>
      </c>
      <c r="I146" s="70" t="s">
        <v>67</v>
      </c>
      <c r="J146" s="70" t="s">
        <v>1821</v>
      </c>
      <c r="K146" s="71">
        <v>45867</v>
      </c>
      <c r="L146" s="71">
        <v>46035</v>
      </c>
      <c r="M146" s="72">
        <v>7000</v>
      </c>
      <c r="N146" s="72">
        <v>7373.85</v>
      </c>
      <c r="O146" s="73">
        <v>0</v>
      </c>
      <c r="P146" s="73">
        <v>12</v>
      </c>
      <c r="Q146" s="70" t="s">
        <v>496</v>
      </c>
      <c r="R146" s="72">
        <v>919.56000000000006</v>
      </c>
      <c r="S146" s="72">
        <v>696</v>
      </c>
      <c r="T146" s="72">
        <v>0</v>
      </c>
      <c r="U146" s="72">
        <v>5</v>
      </c>
      <c r="V146" s="72">
        <v>0</v>
      </c>
      <c r="W146" s="72">
        <v>4301.41</v>
      </c>
      <c r="X146" s="72">
        <v>0</v>
      </c>
      <c r="Y146" s="72">
        <v>0</v>
      </c>
      <c r="Z146" s="72">
        <v>0</v>
      </c>
      <c r="AA146" s="74">
        <v>0</v>
      </c>
      <c r="AB146" s="72">
        <v>0</v>
      </c>
      <c r="AC146" s="72">
        <v>919.56000000000006</v>
      </c>
      <c r="AD146" s="71">
        <v>45937</v>
      </c>
      <c r="AE146" s="70" t="s">
        <v>69</v>
      </c>
      <c r="AF146" s="70" t="s">
        <v>2118</v>
      </c>
      <c r="AG146" s="70" t="s">
        <v>1822</v>
      </c>
      <c r="AI146" s="70" t="s">
        <v>674</v>
      </c>
      <c r="AJ146" s="70" t="s">
        <v>2119</v>
      </c>
      <c r="AK146" s="70" t="s">
        <v>1823</v>
      </c>
      <c r="AM146" s="70" t="s">
        <v>1824</v>
      </c>
      <c r="AN146" s="70" t="s">
        <v>2120</v>
      </c>
      <c r="AO146" s="70" t="s">
        <v>1825</v>
      </c>
      <c r="AP146" s="70" t="s">
        <v>2121</v>
      </c>
      <c r="AQ146" s="70" t="s">
        <v>1826</v>
      </c>
      <c r="AR146" s="70" t="s">
        <v>2122</v>
      </c>
      <c r="AY146" s="72">
        <v>6030.55</v>
      </c>
      <c r="AZ146" s="72">
        <v>0.37683</v>
      </c>
      <c r="BA146" s="70" t="s">
        <v>67</v>
      </c>
      <c r="BB146" s="70" t="s">
        <v>1044</v>
      </c>
      <c r="BC146" s="70" t="s">
        <v>2973</v>
      </c>
      <c r="BD146" s="70" t="s">
        <v>1827</v>
      </c>
      <c r="BE146" s="70" t="s">
        <v>74</v>
      </c>
      <c r="BF146" s="70" t="s">
        <v>194</v>
      </c>
      <c r="BG146" s="70" t="s">
        <v>1828</v>
      </c>
      <c r="BH146" s="60" t="str">
        <f t="shared" si="2"/>
        <v>Ver en Mapa</v>
      </c>
      <c r="BK146" s="70">
        <v>0</v>
      </c>
      <c r="BL146" s="70">
        <v>0</v>
      </c>
      <c r="BM146" s="70" t="s">
        <v>2847</v>
      </c>
    </row>
    <row r="147" spans="1:65" s="68" customFormat="1" ht="14.4" customHeight="1" x14ac:dyDescent="0.3">
      <c r="A147" s="70" t="str">
        <f>H147</f>
        <v>001575</v>
      </c>
      <c r="B147" s="70" t="s">
        <v>61</v>
      </c>
      <c r="C147" s="70" t="s">
        <v>194</v>
      </c>
      <c r="D147" s="70" t="s">
        <v>588</v>
      </c>
      <c r="E147" s="70" t="s">
        <v>589</v>
      </c>
      <c r="F147" s="70" t="s">
        <v>590</v>
      </c>
      <c r="G147" s="70" t="s">
        <v>2763</v>
      </c>
      <c r="H147" s="70" t="s">
        <v>2129</v>
      </c>
      <c r="I147" s="70" t="s">
        <v>67</v>
      </c>
      <c r="J147" s="70" t="s">
        <v>1811</v>
      </c>
      <c r="K147" s="71">
        <v>45866</v>
      </c>
      <c r="L147" s="71">
        <v>46054</v>
      </c>
      <c r="M147" s="72">
        <v>10000</v>
      </c>
      <c r="N147" s="72">
        <v>10534.08</v>
      </c>
      <c r="O147" s="73">
        <v>0</v>
      </c>
      <c r="P147" s="73">
        <v>6</v>
      </c>
      <c r="Q147" s="70" t="s">
        <v>68</v>
      </c>
      <c r="R147" s="72">
        <v>2603.64</v>
      </c>
      <c r="S147" s="72">
        <v>348</v>
      </c>
      <c r="T147" s="72">
        <v>0</v>
      </c>
      <c r="U147" s="72">
        <v>0</v>
      </c>
      <c r="V147" s="72">
        <v>0</v>
      </c>
      <c r="W147" s="72">
        <v>7022.72</v>
      </c>
      <c r="X147" s="72">
        <v>0</v>
      </c>
      <c r="Y147" s="72">
        <v>0</v>
      </c>
      <c r="Z147" s="72">
        <v>0</v>
      </c>
      <c r="AA147" s="74">
        <v>0</v>
      </c>
      <c r="AB147" s="72">
        <v>0</v>
      </c>
      <c r="AC147" s="72">
        <v>2610</v>
      </c>
      <c r="AD147" s="71">
        <v>45931</v>
      </c>
      <c r="AE147" s="70" t="s">
        <v>69</v>
      </c>
      <c r="AF147" s="70" t="s">
        <v>2130</v>
      </c>
      <c r="AG147" s="70" t="s">
        <v>1812</v>
      </c>
      <c r="AI147" s="70" t="s">
        <v>1813</v>
      </c>
      <c r="AJ147" s="70" t="s">
        <v>2131</v>
      </c>
      <c r="AM147" s="70" t="s">
        <v>1814</v>
      </c>
      <c r="AN147" s="70" t="s">
        <v>2132</v>
      </c>
      <c r="AO147" s="70" t="s">
        <v>1815</v>
      </c>
      <c r="AP147" s="70" t="s">
        <v>2133</v>
      </c>
      <c r="AQ147" s="70" t="s">
        <v>1816</v>
      </c>
      <c r="AR147" s="70" t="s">
        <v>2134</v>
      </c>
      <c r="AY147" s="72">
        <v>10176.219999999999</v>
      </c>
      <c r="AZ147" s="72">
        <v>6.3540255999999999</v>
      </c>
      <c r="BA147" s="70" t="s">
        <v>67</v>
      </c>
      <c r="BB147" s="70" t="s">
        <v>1044</v>
      </c>
      <c r="BC147" s="70" t="s">
        <v>2969</v>
      </c>
      <c r="BD147" s="70" t="s">
        <v>503</v>
      </c>
      <c r="BE147" s="70" t="s">
        <v>74</v>
      </c>
      <c r="BF147" s="70" t="s">
        <v>503</v>
      </c>
      <c r="BG147" s="70" t="s">
        <v>1817</v>
      </c>
      <c r="BH147" s="60" t="str">
        <f t="shared" si="2"/>
        <v>Ver en Mapa</v>
      </c>
      <c r="BK147" s="70">
        <v>0</v>
      </c>
      <c r="BL147" s="70">
        <v>0</v>
      </c>
      <c r="BM147" s="70" t="s">
        <v>2847</v>
      </c>
    </row>
    <row r="148" spans="1:65" s="68" customFormat="1" ht="14.4" customHeight="1" x14ac:dyDescent="0.3">
      <c r="A148" s="70" t="str">
        <f>H148</f>
        <v>001595</v>
      </c>
      <c r="B148" s="70" t="s">
        <v>61</v>
      </c>
      <c r="C148" s="70" t="s">
        <v>194</v>
      </c>
      <c r="D148" s="70" t="s">
        <v>588</v>
      </c>
      <c r="E148" s="70" t="s">
        <v>589</v>
      </c>
      <c r="F148" s="70" t="s">
        <v>590</v>
      </c>
      <c r="G148" s="70" t="s">
        <v>2763</v>
      </c>
      <c r="H148" s="70" t="s">
        <v>2135</v>
      </c>
      <c r="I148" s="70" t="s">
        <v>67</v>
      </c>
      <c r="J148" s="70" t="s">
        <v>1837</v>
      </c>
      <c r="K148" s="71">
        <v>45866</v>
      </c>
      <c r="L148" s="71">
        <v>46235</v>
      </c>
      <c r="M148" s="72">
        <v>10000</v>
      </c>
      <c r="N148" s="72">
        <v>10534.08</v>
      </c>
      <c r="O148" s="73">
        <v>0</v>
      </c>
      <c r="P148" s="73">
        <v>12</v>
      </c>
      <c r="Q148" s="70" t="s">
        <v>68</v>
      </c>
      <c r="R148" s="72">
        <v>1711.1000000000001</v>
      </c>
      <c r="S148" s="72">
        <v>696</v>
      </c>
      <c r="T148" s="72">
        <v>0</v>
      </c>
      <c r="U148" s="72">
        <v>0</v>
      </c>
      <c r="V148" s="72">
        <v>0</v>
      </c>
      <c r="W148" s="72">
        <v>8778.4</v>
      </c>
      <c r="X148" s="72">
        <v>1.858666666667E-3</v>
      </c>
      <c r="Y148" s="72">
        <v>0</v>
      </c>
      <c r="Z148" s="72">
        <v>0</v>
      </c>
      <c r="AA148" s="72">
        <v>0</v>
      </c>
      <c r="AB148" s="72">
        <v>0</v>
      </c>
      <c r="AC148" s="72">
        <v>2291.09</v>
      </c>
      <c r="AD148" s="71">
        <v>45933</v>
      </c>
      <c r="AE148" s="70" t="s">
        <v>69</v>
      </c>
      <c r="AF148" s="70" t="s">
        <v>2136</v>
      </c>
      <c r="AG148" s="70" t="s">
        <v>1838</v>
      </c>
      <c r="AI148" s="70" t="s">
        <v>464</v>
      </c>
      <c r="AJ148" s="70" t="s">
        <v>465</v>
      </c>
      <c r="AK148" s="70" t="s">
        <v>1839</v>
      </c>
      <c r="AM148" s="70" t="s">
        <v>1840</v>
      </c>
      <c r="AN148" s="70" t="s">
        <v>2137</v>
      </c>
      <c r="AO148" s="70" t="s">
        <v>1841</v>
      </c>
      <c r="AP148" s="70" t="s">
        <v>2138</v>
      </c>
      <c r="AQ148" s="70" t="s">
        <v>1842</v>
      </c>
      <c r="AR148" s="70" t="s">
        <v>2139</v>
      </c>
      <c r="AY148" s="72">
        <v>16530.96</v>
      </c>
      <c r="AZ148" s="72">
        <v>0</v>
      </c>
      <c r="BA148" s="70" t="s">
        <v>67</v>
      </c>
      <c r="BB148" s="70" t="s">
        <v>1044</v>
      </c>
      <c r="BC148" s="70" t="s">
        <v>2946</v>
      </c>
      <c r="BD148" s="70" t="s">
        <v>1400</v>
      </c>
      <c r="BE148" s="70" t="s">
        <v>74</v>
      </c>
      <c r="BF148" s="70" t="s">
        <v>503</v>
      </c>
      <c r="BG148" s="70" t="s">
        <v>1843</v>
      </c>
      <c r="BH148" s="60" t="str">
        <f t="shared" si="2"/>
        <v>Ver en Mapa</v>
      </c>
      <c r="BK148" s="70">
        <v>1</v>
      </c>
      <c r="BL148" s="70">
        <v>1</v>
      </c>
      <c r="BM148" s="70" t="s">
        <v>2847</v>
      </c>
    </row>
    <row r="149" spans="1:65" s="68" customFormat="1" ht="14.4" customHeight="1" x14ac:dyDescent="0.3">
      <c r="A149" s="70" t="str">
        <f>H149</f>
        <v>001505</v>
      </c>
      <c r="B149" s="70" t="s">
        <v>61</v>
      </c>
      <c r="C149" s="70" t="s">
        <v>194</v>
      </c>
      <c r="D149" s="70" t="s">
        <v>588</v>
      </c>
      <c r="E149" s="70" t="s">
        <v>589</v>
      </c>
      <c r="F149" s="70" t="s">
        <v>590</v>
      </c>
      <c r="G149" s="70" t="s">
        <v>2763</v>
      </c>
      <c r="H149" s="70" t="s">
        <v>2143</v>
      </c>
      <c r="I149" s="70" t="s">
        <v>67</v>
      </c>
      <c r="J149" s="70" t="s">
        <v>1764</v>
      </c>
      <c r="K149" s="71">
        <v>45862</v>
      </c>
      <c r="L149" s="71">
        <v>46046</v>
      </c>
      <c r="M149" s="72">
        <v>10000</v>
      </c>
      <c r="N149" s="72">
        <v>10534.08</v>
      </c>
      <c r="O149" s="73">
        <v>0</v>
      </c>
      <c r="P149" s="73">
        <v>6</v>
      </c>
      <c r="Q149" s="70" t="s">
        <v>68</v>
      </c>
      <c r="R149" s="72">
        <v>2586.83</v>
      </c>
      <c r="S149" s="72">
        <v>348</v>
      </c>
      <c r="T149" s="72">
        <v>0</v>
      </c>
      <c r="U149" s="72">
        <v>0</v>
      </c>
      <c r="V149" s="72">
        <v>0</v>
      </c>
      <c r="W149" s="72">
        <v>7022.72</v>
      </c>
      <c r="X149" s="72">
        <v>0</v>
      </c>
      <c r="Y149" s="72">
        <v>0</v>
      </c>
      <c r="Z149" s="72">
        <v>0</v>
      </c>
      <c r="AA149" s="74">
        <v>0</v>
      </c>
      <c r="AB149" s="72">
        <v>0</v>
      </c>
      <c r="AC149" s="72">
        <v>2587</v>
      </c>
      <c r="AD149" s="71">
        <v>45924</v>
      </c>
      <c r="AE149" s="70" t="s">
        <v>69</v>
      </c>
      <c r="AF149" s="70" t="s">
        <v>2144</v>
      </c>
      <c r="AG149" s="70" t="s">
        <v>1765</v>
      </c>
      <c r="AI149" s="70" t="s">
        <v>1405</v>
      </c>
      <c r="AJ149" s="70" t="s">
        <v>1851</v>
      </c>
      <c r="AM149" s="70" t="s">
        <v>1766</v>
      </c>
      <c r="AN149" s="70" t="s">
        <v>2145</v>
      </c>
      <c r="AO149" s="70" t="s">
        <v>1767</v>
      </c>
      <c r="AP149" s="70" t="s">
        <v>2146</v>
      </c>
      <c r="AQ149" s="70" t="s">
        <v>1768</v>
      </c>
      <c r="AR149" s="70" t="s">
        <v>2147</v>
      </c>
      <c r="AY149" s="72">
        <v>10112.01</v>
      </c>
      <c r="AZ149" s="72">
        <v>3.3306922666666701</v>
      </c>
      <c r="BA149" s="70" t="s">
        <v>67</v>
      </c>
      <c r="BB149" s="70" t="s">
        <v>1044</v>
      </c>
      <c r="BC149" s="70" t="s">
        <v>2898</v>
      </c>
      <c r="BD149" s="70" t="s">
        <v>503</v>
      </c>
      <c r="BE149" s="70" t="s">
        <v>74</v>
      </c>
      <c r="BF149" s="70" t="s">
        <v>503</v>
      </c>
      <c r="BG149" s="70" t="s">
        <v>1769</v>
      </c>
      <c r="BH149" s="60" t="str">
        <f t="shared" si="2"/>
        <v>Ver en Mapa</v>
      </c>
      <c r="BK149" s="70">
        <v>0</v>
      </c>
      <c r="BL149" s="70">
        <v>0</v>
      </c>
      <c r="BM149" s="70" t="s">
        <v>2847</v>
      </c>
    </row>
    <row r="150" spans="1:65" s="68" customFormat="1" ht="14.4" customHeight="1" x14ac:dyDescent="0.3">
      <c r="A150" s="70" t="str">
        <f>H150</f>
        <v>001494</v>
      </c>
      <c r="B150" s="70" t="s">
        <v>61</v>
      </c>
      <c r="C150" s="70" t="s">
        <v>194</v>
      </c>
      <c r="D150" s="70" t="s">
        <v>594</v>
      </c>
      <c r="E150" s="70" t="s">
        <v>595</v>
      </c>
      <c r="F150" s="70" t="s">
        <v>590</v>
      </c>
      <c r="G150" s="70" t="s">
        <v>2763</v>
      </c>
      <c r="H150" s="70" t="s">
        <v>2148</v>
      </c>
      <c r="I150" s="70" t="s">
        <v>67</v>
      </c>
      <c r="J150" s="70" t="s">
        <v>1776</v>
      </c>
      <c r="K150" s="71">
        <v>45862</v>
      </c>
      <c r="L150" s="71">
        <v>46198</v>
      </c>
      <c r="M150" s="72">
        <v>10000</v>
      </c>
      <c r="N150" s="72">
        <v>10534.08</v>
      </c>
      <c r="O150" s="73">
        <v>0</v>
      </c>
      <c r="P150" s="73">
        <v>24</v>
      </c>
      <c r="Q150" s="70" t="s">
        <v>496</v>
      </c>
      <c r="R150" s="72">
        <v>849.88</v>
      </c>
      <c r="S150" s="72">
        <v>1392</v>
      </c>
      <c r="T150" s="72">
        <v>0</v>
      </c>
      <c r="U150" s="72">
        <v>5</v>
      </c>
      <c r="V150" s="72">
        <v>0</v>
      </c>
      <c r="W150" s="72">
        <v>8339.48</v>
      </c>
      <c r="X150" s="72">
        <v>0</v>
      </c>
      <c r="Y150" s="72">
        <v>0</v>
      </c>
      <c r="Z150" s="72">
        <v>0</v>
      </c>
      <c r="AA150" s="74">
        <v>0</v>
      </c>
      <c r="AB150" s="72">
        <v>0</v>
      </c>
      <c r="AC150" s="72">
        <v>850</v>
      </c>
      <c r="AD150" s="71">
        <v>45932</v>
      </c>
      <c r="AE150" s="70" t="s">
        <v>69</v>
      </c>
      <c r="AF150" s="70" t="s">
        <v>2149</v>
      </c>
      <c r="AG150" s="70" t="s">
        <v>1777</v>
      </c>
      <c r="AI150" s="70" t="s">
        <v>684</v>
      </c>
      <c r="AJ150" s="70" t="s">
        <v>1471</v>
      </c>
      <c r="AM150" s="70" t="s">
        <v>1778</v>
      </c>
      <c r="AN150" s="70" t="s">
        <v>2150</v>
      </c>
      <c r="AO150" s="70" t="s">
        <v>1779</v>
      </c>
      <c r="AP150" s="70" t="s">
        <v>2151</v>
      </c>
      <c r="AQ150" s="70" t="s">
        <v>1780</v>
      </c>
      <c r="AR150" s="70" t="s">
        <v>2152</v>
      </c>
      <c r="AY150" s="72">
        <v>15045.17</v>
      </c>
      <c r="AZ150" s="72">
        <v>0.59046399999999999</v>
      </c>
      <c r="BA150" s="70" t="s">
        <v>67</v>
      </c>
      <c r="BB150" s="70" t="s">
        <v>1044</v>
      </c>
      <c r="BC150" s="70" t="s">
        <v>2958</v>
      </c>
      <c r="BD150" s="70" t="s">
        <v>1781</v>
      </c>
      <c r="BE150" s="70" t="s">
        <v>74</v>
      </c>
      <c r="BF150" s="70" t="s">
        <v>194</v>
      </c>
      <c r="BG150" s="70" t="s">
        <v>1782</v>
      </c>
      <c r="BH150" s="60" t="str">
        <f t="shared" si="2"/>
        <v>Ver en Mapa</v>
      </c>
      <c r="BK150" s="70">
        <v>0</v>
      </c>
      <c r="BL150" s="70">
        <v>0</v>
      </c>
      <c r="BM150" s="70" t="s">
        <v>2847</v>
      </c>
    </row>
    <row r="151" spans="1:65" s="68" customFormat="1" ht="14.4" customHeight="1" x14ac:dyDescent="0.3">
      <c r="A151" s="70" t="str">
        <f>H151</f>
        <v>001546</v>
      </c>
      <c r="B151" s="70" t="s">
        <v>61</v>
      </c>
      <c r="C151" s="70" t="s">
        <v>194</v>
      </c>
      <c r="D151" s="70" t="s">
        <v>588</v>
      </c>
      <c r="E151" s="70" t="s">
        <v>589</v>
      </c>
      <c r="F151" s="70" t="s">
        <v>590</v>
      </c>
      <c r="G151" s="70" t="s">
        <v>2763</v>
      </c>
      <c r="H151" s="70" t="s">
        <v>2168</v>
      </c>
      <c r="I151" s="70" t="s">
        <v>67</v>
      </c>
      <c r="J151" s="70" t="s">
        <v>1659</v>
      </c>
      <c r="K151" s="71">
        <v>45854</v>
      </c>
      <c r="L151" s="71">
        <v>46038</v>
      </c>
      <c r="M151" s="72">
        <v>5000.01</v>
      </c>
      <c r="N151" s="72">
        <v>5267.04</v>
      </c>
      <c r="O151" s="73">
        <v>0</v>
      </c>
      <c r="P151" s="73">
        <v>6</v>
      </c>
      <c r="Q151" s="70" t="s">
        <v>68</v>
      </c>
      <c r="R151" s="72">
        <v>1322.42</v>
      </c>
      <c r="S151" s="72">
        <v>348</v>
      </c>
      <c r="T151" s="72">
        <v>0</v>
      </c>
      <c r="U151" s="72">
        <v>0</v>
      </c>
      <c r="V151" s="72">
        <v>0</v>
      </c>
      <c r="W151" s="72">
        <v>3511.36</v>
      </c>
      <c r="X151" s="72">
        <v>0</v>
      </c>
      <c r="Y151" s="72">
        <v>0</v>
      </c>
      <c r="Z151" s="72">
        <v>0</v>
      </c>
      <c r="AA151" s="74">
        <v>0</v>
      </c>
      <c r="AB151" s="72">
        <v>0</v>
      </c>
      <c r="AC151" s="72">
        <v>1323</v>
      </c>
      <c r="AD151" s="71">
        <v>45917</v>
      </c>
      <c r="AE151" s="70" t="s">
        <v>69</v>
      </c>
      <c r="AF151" s="70" t="s">
        <v>2169</v>
      </c>
      <c r="AG151" s="70" t="s">
        <v>1660</v>
      </c>
      <c r="AI151" s="70" t="s">
        <v>1661</v>
      </c>
      <c r="AJ151" s="70" t="s">
        <v>2170</v>
      </c>
      <c r="AM151" s="70" t="s">
        <v>1662</v>
      </c>
      <c r="AN151" s="70" t="s">
        <v>2171</v>
      </c>
      <c r="AO151" s="70" t="s">
        <v>1663</v>
      </c>
      <c r="AP151" s="70" t="s">
        <v>2172</v>
      </c>
      <c r="AQ151" s="70" t="s">
        <v>1664</v>
      </c>
      <c r="AR151" s="70" t="s">
        <v>2173</v>
      </c>
      <c r="AY151" s="72">
        <v>5056.5</v>
      </c>
      <c r="AZ151" s="72">
        <v>1.17</v>
      </c>
      <c r="BA151" s="70" t="s">
        <v>67</v>
      </c>
      <c r="BB151" s="70" t="s">
        <v>1044</v>
      </c>
      <c r="BC151" s="70" t="s">
        <v>2964</v>
      </c>
      <c r="BD151" s="70" t="s">
        <v>1665</v>
      </c>
      <c r="BE151" s="70" t="s">
        <v>74</v>
      </c>
      <c r="BF151" s="70" t="s">
        <v>503</v>
      </c>
      <c r="BG151" s="70" t="s">
        <v>1666</v>
      </c>
      <c r="BH151" s="60" t="str">
        <f t="shared" si="2"/>
        <v>Ver en Mapa</v>
      </c>
      <c r="BK151" s="70">
        <v>0</v>
      </c>
      <c r="BL151" s="70">
        <v>0</v>
      </c>
      <c r="BM151" s="70" t="s">
        <v>2847</v>
      </c>
    </row>
    <row r="152" spans="1:65" s="68" customFormat="1" ht="14.4" customHeight="1" x14ac:dyDescent="0.3">
      <c r="A152" s="70" t="str">
        <f>H152</f>
        <v>001533</v>
      </c>
      <c r="B152" s="70" t="s">
        <v>61</v>
      </c>
      <c r="C152" s="70" t="s">
        <v>194</v>
      </c>
      <c r="D152" s="70" t="s">
        <v>588</v>
      </c>
      <c r="E152" s="70" t="s">
        <v>589</v>
      </c>
      <c r="F152" s="70" t="s">
        <v>590</v>
      </c>
      <c r="G152" s="70" t="s">
        <v>2763</v>
      </c>
      <c r="H152" s="70" t="s">
        <v>2174</v>
      </c>
      <c r="I152" s="70" t="s">
        <v>67</v>
      </c>
      <c r="J152" s="70" t="s">
        <v>1667</v>
      </c>
      <c r="K152" s="71">
        <v>45854</v>
      </c>
      <c r="L152" s="71">
        <v>46219</v>
      </c>
      <c r="M152" s="72">
        <v>12000</v>
      </c>
      <c r="N152" s="72">
        <v>12640.89</v>
      </c>
      <c r="O152" s="73">
        <v>0</v>
      </c>
      <c r="P152" s="73">
        <v>12</v>
      </c>
      <c r="Q152" s="70" t="s">
        <v>68</v>
      </c>
      <c r="R152" s="72">
        <v>2031.63</v>
      </c>
      <c r="S152" s="72">
        <v>696</v>
      </c>
      <c r="T152" s="72">
        <v>0</v>
      </c>
      <c r="U152" s="72">
        <v>0</v>
      </c>
      <c r="V152" s="72">
        <v>0</v>
      </c>
      <c r="W152" s="72">
        <v>10534.07</v>
      </c>
      <c r="X152" s="72">
        <v>0</v>
      </c>
      <c r="Y152" s="74">
        <v>0</v>
      </c>
      <c r="Z152" s="72">
        <v>0</v>
      </c>
      <c r="AA152" s="74">
        <v>0</v>
      </c>
      <c r="AB152" s="72">
        <v>0</v>
      </c>
      <c r="AC152" s="72">
        <v>2612</v>
      </c>
      <c r="AD152" s="71">
        <v>45927</v>
      </c>
      <c r="AE152" s="70" t="s">
        <v>69</v>
      </c>
      <c r="AF152" s="70" t="s">
        <v>2175</v>
      </c>
      <c r="AG152" s="70" t="s">
        <v>1668</v>
      </c>
      <c r="AI152" s="70" t="s">
        <v>428</v>
      </c>
      <c r="AJ152" s="70" t="s">
        <v>2104</v>
      </c>
      <c r="AK152" s="70" t="s">
        <v>1669</v>
      </c>
      <c r="AM152" s="70" t="s">
        <v>1670</v>
      </c>
      <c r="AN152" s="70" t="s">
        <v>2176</v>
      </c>
      <c r="AO152" s="70" t="s">
        <v>1671</v>
      </c>
      <c r="AP152" s="70" t="s">
        <v>2177</v>
      </c>
      <c r="AQ152" s="70" t="s">
        <v>1672</v>
      </c>
      <c r="AR152" s="70" t="s">
        <v>2178</v>
      </c>
      <c r="AY152" s="72">
        <v>19735.55</v>
      </c>
      <c r="AZ152" s="72">
        <v>0.745</v>
      </c>
      <c r="BA152" s="70" t="s">
        <v>67</v>
      </c>
      <c r="BB152" s="70" t="s">
        <v>1044</v>
      </c>
      <c r="BC152" s="70" t="s">
        <v>3012</v>
      </c>
      <c r="BD152" s="70" t="s">
        <v>570</v>
      </c>
      <c r="BE152" s="70" t="s">
        <v>74</v>
      </c>
      <c r="BF152" s="70" t="s">
        <v>503</v>
      </c>
      <c r="BG152" s="70" t="s">
        <v>1673</v>
      </c>
      <c r="BH152" s="60" t="str">
        <f t="shared" si="2"/>
        <v>Ver en Mapa</v>
      </c>
      <c r="BK152" s="70">
        <v>1</v>
      </c>
      <c r="BL152" s="70">
        <v>1</v>
      </c>
      <c r="BM152" s="70" t="s">
        <v>2847</v>
      </c>
    </row>
    <row r="153" spans="1:65" s="68" customFormat="1" ht="14.4" customHeight="1" x14ac:dyDescent="0.3">
      <c r="A153" s="70" t="str">
        <f>H153</f>
        <v>001618</v>
      </c>
      <c r="B153" s="70" t="s">
        <v>61</v>
      </c>
      <c r="C153" s="70" t="s">
        <v>194</v>
      </c>
      <c r="D153" s="70" t="s">
        <v>594</v>
      </c>
      <c r="E153" s="70" t="s">
        <v>595</v>
      </c>
      <c r="F153" s="70" t="s">
        <v>590</v>
      </c>
      <c r="G153" s="70" t="s">
        <v>2763</v>
      </c>
      <c r="H153" s="70" t="s">
        <v>2194</v>
      </c>
      <c r="I153" s="70" t="s">
        <v>67</v>
      </c>
      <c r="J153" s="70" t="s">
        <v>1750</v>
      </c>
      <c r="K153" s="71">
        <v>45861</v>
      </c>
      <c r="L153" s="71">
        <v>46226</v>
      </c>
      <c r="M153" s="72">
        <v>10000</v>
      </c>
      <c r="N153" s="72">
        <v>10534.08</v>
      </c>
      <c r="O153" s="73">
        <v>0</v>
      </c>
      <c r="P153" s="73">
        <v>12</v>
      </c>
      <c r="Q153" s="70" t="s">
        <v>68</v>
      </c>
      <c r="R153" s="72">
        <v>1702.69</v>
      </c>
      <c r="S153" s="72">
        <v>696</v>
      </c>
      <c r="T153" s="72">
        <v>0</v>
      </c>
      <c r="U153" s="72">
        <v>0</v>
      </c>
      <c r="V153" s="72">
        <v>0</v>
      </c>
      <c r="W153" s="72">
        <v>8778.4</v>
      </c>
      <c r="X153" s="72">
        <v>0</v>
      </c>
      <c r="Y153" s="72">
        <v>0</v>
      </c>
      <c r="Z153" s="72">
        <v>0</v>
      </c>
      <c r="AA153" s="74">
        <v>0</v>
      </c>
      <c r="AB153" s="72">
        <v>0</v>
      </c>
      <c r="AC153" s="72">
        <v>1703</v>
      </c>
      <c r="AD153" s="71">
        <v>45923</v>
      </c>
      <c r="AE153" s="70" t="s">
        <v>69</v>
      </c>
      <c r="AF153" s="70" t="s">
        <v>2195</v>
      </c>
      <c r="AG153" s="70" t="s">
        <v>1751</v>
      </c>
      <c r="AI153" s="70" t="s">
        <v>86</v>
      </c>
      <c r="AJ153" s="70" t="s">
        <v>87</v>
      </c>
      <c r="AM153" s="70" t="s">
        <v>1752</v>
      </c>
      <c r="AN153" s="70" t="s">
        <v>2196</v>
      </c>
      <c r="AO153" s="70" t="s">
        <v>1753</v>
      </c>
      <c r="AP153" s="70" t="s">
        <v>2197</v>
      </c>
      <c r="AQ153" s="70" t="s">
        <v>1754</v>
      </c>
      <c r="AR153" s="70" t="s">
        <v>2198</v>
      </c>
      <c r="AY153" s="72">
        <v>16446.3</v>
      </c>
      <c r="AZ153" s="72">
        <v>0.62</v>
      </c>
      <c r="BA153" s="70" t="s">
        <v>67</v>
      </c>
      <c r="BB153" s="70" t="s">
        <v>1044</v>
      </c>
      <c r="BC153" s="70" t="s">
        <v>2886</v>
      </c>
      <c r="BD153" s="70" t="s">
        <v>1718</v>
      </c>
      <c r="BE153" s="70" t="s">
        <v>74</v>
      </c>
      <c r="BF153" s="70" t="s">
        <v>194</v>
      </c>
      <c r="BG153" s="70" t="s">
        <v>1755</v>
      </c>
      <c r="BH153" s="60" t="str">
        <f t="shared" si="2"/>
        <v>Ver en Mapa</v>
      </c>
      <c r="BK153" s="70">
        <v>0</v>
      </c>
      <c r="BL153" s="70">
        <v>0</v>
      </c>
      <c r="BM153" s="70" t="s">
        <v>2847</v>
      </c>
    </row>
    <row r="154" spans="1:65" s="68" customFormat="1" ht="14.4" customHeight="1" x14ac:dyDescent="0.3">
      <c r="A154" s="70" t="str">
        <f>H154</f>
        <v>003186</v>
      </c>
      <c r="B154" s="70" t="s">
        <v>61</v>
      </c>
      <c r="C154" s="70" t="s">
        <v>194</v>
      </c>
      <c r="D154" s="70" t="s">
        <v>408</v>
      </c>
      <c r="E154" s="70" t="s">
        <v>409</v>
      </c>
      <c r="F154" s="70" t="s">
        <v>590</v>
      </c>
      <c r="G154" s="70" t="s">
        <v>2763</v>
      </c>
      <c r="H154" s="70" t="s">
        <v>2921</v>
      </c>
      <c r="I154" s="70" t="s">
        <v>67</v>
      </c>
      <c r="J154" s="70" t="s">
        <v>2922</v>
      </c>
      <c r="K154" s="71">
        <v>45936</v>
      </c>
      <c r="L154" s="71">
        <v>46104</v>
      </c>
      <c r="M154" s="72">
        <v>5000</v>
      </c>
      <c r="N154" s="72">
        <v>5267.04</v>
      </c>
      <c r="O154" s="73">
        <v>0</v>
      </c>
      <c r="P154" s="73">
        <v>12</v>
      </c>
      <c r="Q154" s="70" t="s">
        <v>496</v>
      </c>
      <c r="R154" s="72">
        <v>673.4</v>
      </c>
      <c r="S154" s="72">
        <v>696</v>
      </c>
      <c r="T154" s="72">
        <v>0</v>
      </c>
      <c r="U154" s="72">
        <v>0</v>
      </c>
      <c r="V154" s="72">
        <v>0</v>
      </c>
      <c r="W154" s="72">
        <v>5267.04</v>
      </c>
      <c r="X154" s="72">
        <v>0</v>
      </c>
      <c r="Y154" s="72">
        <v>0</v>
      </c>
      <c r="Z154" s="72">
        <v>0</v>
      </c>
      <c r="AA154" s="72">
        <v>0</v>
      </c>
      <c r="AB154" s="72">
        <v>0</v>
      </c>
      <c r="AE154" s="70" t="s">
        <v>69</v>
      </c>
      <c r="AF154" s="70" t="s">
        <v>2923</v>
      </c>
      <c r="AG154" s="70" t="s">
        <v>2924</v>
      </c>
      <c r="AI154" s="70" t="s">
        <v>283</v>
      </c>
      <c r="AJ154" s="70" t="s">
        <v>284</v>
      </c>
      <c r="AK154" s="70" t="s">
        <v>2925</v>
      </c>
      <c r="AM154" s="70" t="s">
        <v>2926</v>
      </c>
      <c r="AN154" s="70" t="s">
        <v>2927</v>
      </c>
      <c r="AO154" s="70" t="s">
        <v>2928</v>
      </c>
      <c r="AP154" s="70" t="s">
        <v>2929</v>
      </c>
      <c r="AQ154" s="70" t="s">
        <v>2930</v>
      </c>
      <c r="AR154" s="70" t="s">
        <v>2195</v>
      </c>
      <c r="AY154" s="72">
        <v>7384.81</v>
      </c>
      <c r="AZ154" s="72">
        <v>0</v>
      </c>
      <c r="BA154" s="70" t="s">
        <v>67</v>
      </c>
      <c r="BB154" s="70" t="s">
        <v>1044</v>
      </c>
      <c r="BC154" s="70" t="s">
        <v>2931</v>
      </c>
      <c r="BD154" s="70" t="s">
        <v>1718</v>
      </c>
      <c r="BE154" s="70" t="s">
        <v>74</v>
      </c>
      <c r="BF154" s="70" t="s">
        <v>194</v>
      </c>
      <c r="BG154" s="70" t="s">
        <v>2932</v>
      </c>
      <c r="BH154" s="60" t="str">
        <f t="shared" si="2"/>
        <v>Ver en Mapa</v>
      </c>
      <c r="BK154" s="70">
        <v>0</v>
      </c>
      <c r="BL154" s="70">
        <v>0</v>
      </c>
      <c r="BM154" s="70" t="s">
        <v>2847</v>
      </c>
    </row>
    <row r="155" spans="1:65" s="68" customFormat="1" ht="14.4" customHeight="1" x14ac:dyDescent="0.3">
      <c r="A155" s="70" t="str">
        <f>H155</f>
        <v>001055</v>
      </c>
      <c r="B155" s="70" t="s">
        <v>61</v>
      </c>
      <c r="C155" s="70" t="s">
        <v>194</v>
      </c>
      <c r="D155" s="70" t="s">
        <v>588</v>
      </c>
      <c r="E155" s="70" t="s">
        <v>589</v>
      </c>
      <c r="F155" s="70" t="s">
        <v>590</v>
      </c>
      <c r="G155" s="70" t="s">
        <v>2763</v>
      </c>
      <c r="H155" s="70" t="s">
        <v>2208</v>
      </c>
      <c r="I155" s="70" t="s">
        <v>76</v>
      </c>
      <c r="J155" s="70" t="s">
        <v>1116</v>
      </c>
      <c r="K155" s="71">
        <v>45817</v>
      </c>
      <c r="L155" s="71">
        <v>46182</v>
      </c>
      <c r="M155" s="72">
        <v>40000</v>
      </c>
      <c r="N155" s="72">
        <v>42136.31</v>
      </c>
      <c r="O155" s="73">
        <v>0</v>
      </c>
      <c r="P155" s="73">
        <v>12</v>
      </c>
      <c r="Q155" s="70" t="s">
        <v>68</v>
      </c>
      <c r="R155" s="72">
        <v>6636.77</v>
      </c>
      <c r="S155" s="72">
        <v>696</v>
      </c>
      <c r="T155" s="72">
        <v>0</v>
      </c>
      <c r="U155" s="72">
        <v>0</v>
      </c>
      <c r="V155" s="72">
        <v>0</v>
      </c>
      <c r="W155" s="72">
        <v>28090.87</v>
      </c>
      <c r="X155" s="72">
        <v>0</v>
      </c>
      <c r="Y155" s="72">
        <v>0</v>
      </c>
      <c r="Z155" s="72">
        <v>0</v>
      </c>
      <c r="AA155" s="74">
        <v>0</v>
      </c>
      <c r="AB155" s="72">
        <v>0</v>
      </c>
      <c r="AC155" s="72">
        <v>6637</v>
      </c>
      <c r="AD155" s="71">
        <v>45939</v>
      </c>
      <c r="AE155" s="70" t="s">
        <v>69</v>
      </c>
      <c r="AF155" s="70" t="s">
        <v>2209</v>
      </c>
      <c r="AG155" s="70" t="s">
        <v>1117</v>
      </c>
      <c r="AI155" s="70" t="s">
        <v>1118</v>
      </c>
      <c r="AJ155" s="70" t="s">
        <v>2210</v>
      </c>
      <c r="AK155" s="70" t="s">
        <v>1119</v>
      </c>
      <c r="AM155" s="70" t="s">
        <v>1120</v>
      </c>
      <c r="AN155" s="70" t="s">
        <v>2211</v>
      </c>
      <c r="AO155" s="70" t="s">
        <v>1121</v>
      </c>
      <c r="AP155" s="70" t="s">
        <v>2212</v>
      </c>
      <c r="AQ155" s="70" t="s">
        <v>1122</v>
      </c>
      <c r="AR155" s="70" t="s">
        <v>2213</v>
      </c>
      <c r="AY155" s="72">
        <v>52629.19</v>
      </c>
      <c r="AZ155" s="72">
        <v>0.93804255555555505</v>
      </c>
      <c r="BA155" s="70" t="s">
        <v>67</v>
      </c>
      <c r="BB155" s="70" t="s">
        <v>1044</v>
      </c>
      <c r="BC155" s="70" t="s">
        <v>2864</v>
      </c>
      <c r="BD155" s="70" t="s">
        <v>690</v>
      </c>
      <c r="BE155" s="70" t="s">
        <v>74</v>
      </c>
      <c r="BF155" s="70" t="s">
        <v>691</v>
      </c>
      <c r="BG155" s="70" t="s">
        <v>1123</v>
      </c>
      <c r="BH155" s="60" t="str">
        <f t="shared" si="2"/>
        <v>Ver en Mapa</v>
      </c>
      <c r="BK155" s="70">
        <v>1</v>
      </c>
      <c r="BL155" s="70">
        <v>1</v>
      </c>
      <c r="BM155" s="70" t="s">
        <v>2847</v>
      </c>
    </row>
    <row r="156" spans="1:65" s="68" customFormat="1" ht="14.4" customHeight="1" x14ac:dyDescent="0.3">
      <c r="A156" s="70" t="str">
        <f>H156</f>
        <v>001281</v>
      </c>
      <c r="B156" s="70" t="s">
        <v>61</v>
      </c>
      <c r="C156" s="70" t="s">
        <v>194</v>
      </c>
      <c r="D156" s="70" t="s">
        <v>408</v>
      </c>
      <c r="E156" s="70" t="s">
        <v>409</v>
      </c>
      <c r="F156" s="70" t="s">
        <v>590</v>
      </c>
      <c r="G156" s="70" t="s">
        <v>2763</v>
      </c>
      <c r="H156" s="70" t="s">
        <v>1464</v>
      </c>
      <c r="I156" s="70" t="s">
        <v>76</v>
      </c>
      <c r="J156" s="70" t="s">
        <v>468</v>
      </c>
      <c r="K156" s="71">
        <v>45926</v>
      </c>
      <c r="L156" s="71">
        <v>46094</v>
      </c>
      <c r="M156" s="72">
        <v>10000</v>
      </c>
      <c r="N156" s="72">
        <v>10534.08</v>
      </c>
      <c r="O156" s="73">
        <v>0</v>
      </c>
      <c r="P156" s="73">
        <v>12</v>
      </c>
      <c r="Q156" s="70" t="s">
        <v>496</v>
      </c>
      <c r="R156" s="72">
        <v>1288.8</v>
      </c>
      <c r="S156" s="72">
        <v>696</v>
      </c>
      <c r="T156" s="72">
        <v>0</v>
      </c>
      <c r="U156" s="72">
        <v>1</v>
      </c>
      <c r="V156" s="72">
        <v>0</v>
      </c>
      <c r="W156" s="72">
        <v>9665.0400000000009</v>
      </c>
      <c r="X156" s="72">
        <v>8.8019072000000005</v>
      </c>
      <c r="Y156" s="72">
        <v>8.8000000000000007</v>
      </c>
      <c r="Z156" s="72">
        <v>0</v>
      </c>
      <c r="AA156" s="72">
        <v>0</v>
      </c>
      <c r="AB156" s="72">
        <v>0</v>
      </c>
      <c r="AC156" s="72">
        <v>1280</v>
      </c>
      <c r="AD156" s="71">
        <v>45940</v>
      </c>
      <c r="AE156" s="70" t="s">
        <v>69</v>
      </c>
      <c r="AF156" s="70" t="s">
        <v>1465</v>
      </c>
      <c r="AG156" s="70" t="s">
        <v>2844</v>
      </c>
      <c r="AI156" s="70" t="s">
        <v>283</v>
      </c>
      <c r="AJ156" s="70" t="s">
        <v>284</v>
      </c>
      <c r="AM156" s="70" t="s">
        <v>803</v>
      </c>
      <c r="AN156" s="70" t="s">
        <v>1466</v>
      </c>
      <c r="AO156" s="70" t="s">
        <v>801</v>
      </c>
      <c r="AP156" s="70" t="s">
        <v>1467</v>
      </c>
      <c r="AQ156" s="70" t="s">
        <v>802</v>
      </c>
      <c r="AR156" s="70" t="s">
        <v>1468</v>
      </c>
      <c r="AY156" s="72">
        <v>13547.62</v>
      </c>
      <c r="AZ156" s="72">
        <v>0</v>
      </c>
      <c r="BA156" s="70" t="s">
        <v>67</v>
      </c>
      <c r="BB156" s="70" t="s">
        <v>1044</v>
      </c>
      <c r="BC156" s="70" t="s">
        <v>2934</v>
      </c>
      <c r="BD156" s="70" t="s">
        <v>470</v>
      </c>
      <c r="BE156" s="70" t="s">
        <v>74</v>
      </c>
      <c r="BF156" s="70" t="s">
        <v>194</v>
      </c>
      <c r="BH156" s="60" t="str">
        <f t="shared" si="2"/>
        <v>Ver en Mapa</v>
      </c>
      <c r="BK156" s="70">
        <v>0</v>
      </c>
      <c r="BL156" s="70">
        <v>0</v>
      </c>
      <c r="BM156" s="70" t="s">
        <v>2847</v>
      </c>
    </row>
    <row r="157" spans="1:65" s="68" customFormat="1" ht="14.4" customHeight="1" x14ac:dyDescent="0.3">
      <c r="A157" s="70" t="str">
        <f>H157</f>
        <v>001409</v>
      </c>
      <c r="B157" s="70" t="s">
        <v>61</v>
      </c>
      <c r="C157" s="70" t="s">
        <v>194</v>
      </c>
      <c r="D157" s="70" t="s">
        <v>588</v>
      </c>
      <c r="E157" s="70" t="s">
        <v>589</v>
      </c>
      <c r="F157" s="70" t="s">
        <v>590</v>
      </c>
      <c r="G157" s="70" t="s">
        <v>2763</v>
      </c>
      <c r="H157" s="70" t="s">
        <v>1479</v>
      </c>
      <c r="I157" s="70" t="s">
        <v>76</v>
      </c>
      <c r="J157" s="70" t="s">
        <v>1193</v>
      </c>
      <c r="K157" s="71">
        <v>45926</v>
      </c>
      <c r="L157" s="71">
        <v>46113</v>
      </c>
      <c r="M157" s="72">
        <v>10000</v>
      </c>
      <c r="N157" s="72">
        <v>10534.08</v>
      </c>
      <c r="O157" s="73">
        <v>0</v>
      </c>
      <c r="P157" s="73">
        <v>6</v>
      </c>
      <c r="Q157" s="70" t="s">
        <v>68</v>
      </c>
      <c r="R157" s="72">
        <v>2599.44</v>
      </c>
      <c r="S157" s="72">
        <v>348</v>
      </c>
      <c r="T157" s="72">
        <v>0</v>
      </c>
      <c r="U157" s="72">
        <v>0</v>
      </c>
      <c r="V157" s="72">
        <v>0</v>
      </c>
      <c r="W157" s="72">
        <v>10534.08</v>
      </c>
      <c r="X157" s="72">
        <v>0</v>
      </c>
      <c r="Y157" s="72">
        <v>0</v>
      </c>
      <c r="Z157" s="72">
        <v>0</v>
      </c>
      <c r="AA157" s="72">
        <v>0</v>
      </c>
      <c r="AB157" s="72">
        <v>0</v>
      </c>
      <c r="AE157" s="70" t="s">
        <v>69</v>
      </c>
      <c r="AF157" s="70" t="s">
        <v>1480</v>
      </c>
      <c r="AG157" s="70" t="s">
        <v>2842</v>
      </c>
      <c r="AI157" s="70" t="s">
        <v>526</v>
      </c>
      <c r="AJ157" s="70" t="s">
        <v>527</v>
      </c>
      <c r="AK157" s="70" t="s">
        <v>1194</v>
      </c>
      <c r="AM157" s="70" t="s">
        <v>1195</v>
      </c>
      <c r="AN157" s="70" t="s">
        <v>1481</v>
      </c>
      <c r="AO157" s="70" t="s">
        <v>1196</v>
      </c>
      <c r="AP157" s="70" t="s">
        <v>1482</v>
      </c>
      <c r="AQ157" s="70" t="s">
        <v>1197</v>
      </c>
      <c r="AR157" s="70" t="s">
        <v>1483</v>
      </c>
      <c r="AY157" s="72">
        <v>15248.64</v>
      </c>
      <c r="AZ157" s="72">
        <v>0</v>
      </c>
      <c r="BA157" s="70" t="s">
        <v>67</v>
      </c>
      <c r="BB157" s="70" t="s">
        <v>1044</v>
      </c>
      <c r="BC157" s="70" t="s">
        <v>2845</v>
      </c>
      <c r="BD157" s="70" t="s">
        <v>424</v>
      </c>
      <c r="BE157" s="70" t="s">
        <v>74</v>
      </c>
      <c r="BF157" s="70" t="s">
        <v>194</v>
      </c>
      <c r="BG157" s="70" t="s">
        <v>1198</v>
      </c>
      <c r="BH157" s="60" t="str">
        <f t="shared" si="2"/>
        <v>Ver en Mapa</v>
      </c>
      <c r="BK157" s="70">
        <v>0</v>
      </c>
      <c r="BL157" s="70">
        <v>0</v>
      </c>
      <c r="BM157" s="70" t="s">
        <v>2847</v>
      </c>
    </row>
    <row r="158" spans="1:65" s="68" customFormat="1" ht="14.4" customHeight="1" x14ac:dyDescent="0.3">
      <c r="A158" s="70" t="str">
        <f>H158</f>
        <v>001456</v>
      </c>
      <c r="B158" s="70" t="s">
        <v>61</v>
      </c>
      <c r="C158" s="70" t="s">
        <v>194</v>
      </c>
      <c r="D158" s="70" t="s">
        <v>594</v>
      </c>
      <c r="E158" s="70" t="s">
        <v>595</v>
      </c>
      <c r="F158" s="70" t="s">
        <v>590</v>
      </c>
      <c r="G158" s="70" t="s">
        <v>2763</v>
      </c>
      <c r="H158" s="70" t="s">
        <v>2229</v>
      </c>
      <c r="I158" s="70" t="s">
        <v>67</v>
      </c>
      <c r="J158" s="70" t="s">
        <v>1394</v>
      </c>
      <c r="K158" s="71">
        <v>45838</v>
      </c>
      <c r="L158" s="71">
        <v>46023</v>
      </c>
      <c r="M158" s="72">
        <v>5000</v>
      </c>
      <c r="N158" s="72">
        <v>5267.04</v>
      </c>
      <c r="O158" s="73">
        <v>0</v>
      </c>
      <c r="P158" s="73">
        <v>6</v>
      </c>
      <c r="Q158" s="70" t="s">
        <v>68</v>
      </c>
      <c r="R158" s="72">
        <v>1324.52</v>
      </c>
      <c r="S158" s="72">
        <v>348</v>
      </c>
      <c r="T158" s="72">
        <v>0</v>
      </c>
      <c r="U158" s="72">
        <v>0</v>
      </c>
      <c r="V158" s="72">
        <v>0</v>
      </c>
      <c r="W158" s="72">
        <v>2633.52</v>
      </c>
      <c r="X158" s="72">
        <v>0</v>
      </c>
      <c r="Y158" s="72">
        <v>0</v>
      </c>
      <c r="Z158" s="72">
        <v>0</v>
      </c>
      <c r="AA158" s="72">
        <v>0</v>
      </c>
      <c r="AB158" s="72">
        <v>0</v>
      </c>
      <c r="AC158" s="72">
        <v>1324.52</v>
      </c>
      <c r="AD158" s="71">
        <v>45931</v>
      </c>
      <c r="AE158" s="70" t="s">
        <v>69</v>
      </c>
      <c r="AF158" s="70" t="s">
        <v>2230</v>
      </c>
      <c r="AG158" s="70" t="s">
        <v>1395</v>
      </c>
      <c r="AI158" s="70" t="s">
        <v>644</v>
      </c>
      <c r="AJ158" s="70" t="s">
        <v>2141</v>
      </c>
      <c r="AK158" s="70" t="s">
        <v>1396</v>
      </c>
      <c r="AM158" s="70" t="s">
        <v>1397</v>
      </c>
      <c r="AN158" s="70" t="s">
        <v>2231</v>
      </c>
      <c r="AO158" s="70" t="s">
        <v>1398</v>
      </c>
      <c r="AP158" s="70" t="s">
        <v>2232</v>
      </c>
      <c r="AQ158" s="70" t="s">
        <v>1399</v>
      </c>
      <c r="AR158" s="70" t="s">
        <v>2233</v>
      </c>
      <c r="AY158" s="72">
        <v>3799.55</v>
      </c>
      <c r="AZ158" s="72">
        <v>3.0192000000000001E-3</v>
      </c>
      <c r="BA158" s="70" t="s">
        <v>67</v>
      </c>
      <c r="BB158" s="70" t="s">
        <v>1044</v>
      </c>
      <c r="BC158" s="70" t="s">
        <v>3000</v>
      </c>
      <c r="BD158" s="70" t="s">
        <v>1400</v>
      </c>
      <c r="BE158" s="70" t="s">
        <v>74</v>
      </c>
      <c r="BF158" s="70" t="s">
        <v>194</v>
      </c>
      <c r="BG158" s="70" t="s">
        <v>1401</v>
      </c>
      <c r="BH158" s="60" t="str">
        <f t="shared" si="2"/>
        <v>Ver en Mapa</v>
      </c>
      <c r="BK158" s="70">
        <v>0</v>
      </c>
      <c r="BL158" s="70">
        <v>0</v>
      </c>
      <c r="BM158" s="70" t="s">
        <v>2847</v>
      </c>
    </row>
    <row r="159" spans="1:65" s="68" customFormat="1" ht="14.4" customHeight="1" x14ac:dyDescent="0.3">
      <c r="A159" s="70" t="str">
        <f>H159</f>
        <v>001680</v>
      </c>
      <c r="B159" s="70" t="s">
        <v>61</v>
      </c>
      <c r="C159" s="70" t="s">
        <v>194</v>
      </c>
      <c r="D159" s="70" t="s">
        <v>588</v>
      </c>
      <c r="E159" s="70" t="s">
        <v>589</v>
      </c>
      <c r="F159" s="70" t="s">
        <v>590</v>
      </c>
      <c r="G159" s="70" t="s">
        <v>2763</v>
      </c>
      <c r="H159" s="70" t="s">
        <v>2593</v>
      </c>
      <c r="I159" s="70" t="s">
        <v>67</v>
      </c>
      <c r="J159" s="70" t="s">
        <v>2594</v>
      </c>
      <c r="K159" s="71">
        <v>45874</v>
      </c>
      <c r="L159" s="71">
        <v>46239</v>
      </c>
      <c r="M159" s="72">
        <v>15000</v>
      </c>
      <c r="N159" s="72">
        <v>15801.12</v>
      </c>
      <c r="O159" s="73">
        <v>0</v>
      </c>
      <c r="P159" s="73">
        <v>12</v>
      </c>
      <c r="Q159" s="70" t="s">
        <v>68</v>
      </c>
      <c r="R159" s="72">
        <v>2525.04</v>
      </c>
      <c r="S159" s="72">
        <v>696</v>
      </c>
      <c r="T159" s="72">
        <v>0</v>
      </c>
      <c r="U159" s="72">
        <v>0</v>
      </c>
      <c r="V159" s="72">
        <v>0</v>
      </c>
      <c r="W159" s="72">
        <v>13167.6</v>
      </c>
      <c r="X159" s="72">
        <v>0</v>
      </c>
      <c r="Y159" s="72">
        <v>0</v>
      </c>
      <c r="Z159" s="72">
        <v>0</v>
      </c>
      <c r="AA159" s="72">
        <v>0</v>
      </c>
      <c r="AB159" s="72">
        <v>0</v>
      </c>
      <c r="AC159" s="72">
        <v>2525.04</v>
      </c>
      <c r="AD159" s="71">
        <v>45936</v>
      </c>
      <c r="AE159" s="70" t="s">
        <v>69</v>
      </c>
      <c r="AF159" s="70" t="s">
        <v>2595</v>
      </c>
      <c r="AG159" s="70" t="s">
        <v>2596</v>
      </c>
      <c r="AI159" s="70" t="s">
        <v>393</v>
      </c>
      <c r="AJ159" s="70" t="s">
        <v>394</v>
      </c>
      <c r="AK159" s="70" t="s">
        <v>2597</v>
      </c>
      <c r="AM159" s="70" t="s">
        <v>2598</v>
      </c>
      <c r="AN159" s="70" t="s">
        <v>2599</v>
      </c>
      <c r="AO159" s="70" t="s">
        <v>2600</v>
      </c>
      <c r="AP159" s="70" t="s">
        <v>2601</v>
      </c>
      <c r="AQ159" s="70" t="s">
        <v>2602</v>
      </c>
      <c r="AR159" s="70" t="s">
        <v>2603</v>
      </c>
      <c r="AY159" s="72">
        <v>24670.37</v>
      </c>
      <c r="AZ159" s="72">
        <v>4.712E-3</v>
      </c>
      <c r="BA159" s="70" t="s">
        <v>67</v>
      </c>
      <c r="BB159" s="70" t="s">
        <v>1044</v>
      </c>
      <c r="BC159" s="70" t="s">
        <v>2866</v>
      </c>
      <c r="BD159" s="70" t="s">
        <v>2604</v>
      </c>
      <c r="BE159" s="70" t="s">
        <v>74</v>
      </c>
      <c r="BF159" s="70" t="s">
        <v>503</v>
      </c>
      <c r="BG159" s="70" t="s">
        <v>2605</v>
      </c>
      <c r="BH159" s="60" t="str">
        <f t="shared" si="2"/>
        <v>Ver en Mapa</v>
      </c>
      <c r="BK159" s="70">
        <v>0</v>
      </c>
      <c r="BL159" s="70">
        <v>0</v>
      </c>
      <c r="BM159" s="70" t="s">
        <v>2847</v>
      </c>
    </row>
    <row r="160" spans="1:65" s="68" customFormat="1" ht="14.4" customHeight="1" x14ac:dyDescent="0.3">
      <c r="A160" s="70" t="str">
        <f>H160</f>
        <v>001770</v>
      </c>
      <c r="B160" s="70" t="s">
        <v>61</v>
      </c>
      <c r="C160" s="70" t="s">
        <v>194</v>
      </c>
      <c r="D160" s="70" t="s">
        <v>594</v>
      </c>
      <c r="E160" s="70" t="s">
        <v>595</v>
      </c>
      <c r="F160" s="70" t="s">
        <v>590</v>
      </c>
      <c r="G160" s="70" t="s">
        <v>2763</v>
      </c>
      <c r="H160" s="70" t="s">
        <v>2730</v>
      </c>
      <c r="I160" s="70" t="s">
        <v>67</v>
      </c>
      <c r="J160" s="70" t="s">
        <v>2731</v>
      </c>
      <c r="K160" s="71">
        <v>45884</v>
      </c>
      <c r="L160" s="71">
        <v>46068</v>
      </c>
      <c r="M160" s="72">
        <v>8000</v>
      </c>
      <c r="N160" s="72">
        <v>8427.26</v>
      </c>
      <c r="O160" s="73">
        <v>0</v>
      </c>
      <c r="P160" s="73">
        <v>6</v>
      </c>
      <c r="Q160" s="70" t="s">
        <v>68</v>
      </c>
      <c r="R160" s="72">
        <v>2081.0700000000002</v>
      </c>
      <c r="S160" s="72">
        <v>348</v>
      </c>
      <c r="T160" s="72">
        <v>0</v>
      </c>
      <c r="U160" s="72">
        <v>0</v>
      </c>
      <c r="V160" s="72">
        <v>0</v>
      </c>
      <c r="W160" s="72">
        <v>7022.72</v>
      </c>
      <c r="X160" s="72">
        <v>0</v>
      </c>
      <c r="Y160" s="72">
        <v>0</v>
      </c>
      <c r="Z160" s="72">
        <v>0</v>
      </c>
      <c r="AA160" s="74">
        <v>0</v>
      </c>
      <c r="AB160" s="72">
        <v>0</v>
      </c>
      <c r="AC160" s="72">
        <v>2662</v>
      </c>
      <c r="AD160" s="71">
        <v>45922</v>
      </c>
      <c r="AE160" s="70" t="s">
        <v>69</v>
      </c>
      <c r="AF160" s="70" t="s">
        <v>2732</v>
      </c>
      <c r="AG160" s="70" t="s">
        <v>2733</v>
      </c>
      <c r="AI160" s="70" t="s">
        <v>481</v>
      </c>
      <c r="AJ160" s="70" t="s">
        <v>482</v>
      </c>
      <c r="AK160" s="70" t="s">
        <v>2734</v>
      </c>
      <c r="AM160" s="70" t="s">
        <v>2735</v>
      </c>
      <c r="AN160" s="70" t="s">
        <v>2736</v>
      </c>
      <c r="AO160" s="70" t="s">
        <v>2737</v>
      </c>
      <c r="AP160" s="70" t="s">
        <v>2738</v>
      </c>
      <c r="AQ160" s="70" t="s">
        <v>2739</v>
      </c>
      <c r="AR160" s="70" t="s">
        <v>2740</v>
      </c>
      <c r="AY160" s="72">
        <v>10114.4</v>
      </c>
      <c r="AZ160" s="72">
        <v>0.93669999999999998</v>
      </c>
      <c r="BA160" s="70" t="s">
        <v>67</v>
      </c>
      <c r="BB160" s="70" t="s">
        <v>1044</v>
      </c>
      <c r="BC160" s="70" t="s">
        <v>2894</v>
      </c>
      <c r="BD160" s="70" t="s">
        <v>2741</v>
      </c>
      <c r="BE160" s="70" t="s">
        <v>74</v>
      </c>
      <c r="BF160" s="70" t="s">
        <v>194</v>
      </c>
      <c r="BG160" s="70" t="s">
        <v>2742</v>
      </c>
      <c r="BH160" s="60" t="str">
        <f t="shared" si="2"/>
        <v>Ver en Mapa</v>
      </c>
      <c r="BK160" s="70">
        <v>1</v>
      </c>
      <c r="BL160" s="70">
        <v>1</v>
      </c>
      <c r="BM160" s="70" t="s">
        <v>2847</v>
      </c>
    </row>
    <row r="161" spans="1:65" s="68" customFormat="1" ht="14.4" customHeight="1" x14ac:dyDescent="0.3">
      <c r="A161" s="70" t="str">
        <f>H161</f>
        <v>001283</v>
      </c>
      <c r="B161" s="70" t="s">
        <v>61</v>
      </c>
      <c r="C161" s="70" t="s">
        <v>194</v>
      </c>
      <c r="D161" s="70" t="s">
        <v>408</v>
      </c>
      <c r="E161" s="70" t="s">
        <v>409</v>
      </c>
      <c r="F161" s="70" t="s">
        <v>590</v>
      </c>
      <c r="G161" s="70" t="s">
        <v>2763</v>
      </c>
      <c r="H161" s="70" t="s">
        <v>2086</v>
      </c>
      <c r="I161" s="70" t="s">
        <v>67</v>
      </c>
      <c r="J161" s="70" t="s">
        <v>495</v>
      </c>
      <c r="K161" s="71">
        <v>45777</v>
      </c>
      <c r="L161" s="71">
        <v>45945</v>
      </c>
      <c r="M161" s="72">
        <v>5000</v>
      </c>
      <c r="N161" s="72">
        <v>5267.04</v>
      </c>
      <c r="O161" s="73">
        <v>0</v>
      </c>
      <c r="P161" s="73">
        <v>12</v>
      </c>
      <c r="Q161" s="70" t="s">
        <v>496</v>
      </c>
      <c r="R161" s="72">
        <v>673.4</v>
      </c>
      <c r="S161" s="72">
        <v>696</v>
      </c>
      <c r="T161" s="72">
        <v>0</v>
      </c>
      <c r="U161" s="72">
        <v>11</v>
      </c>
      <c r="V161" s="72">
        <v>0</v>
      </c>
      <c r="W161" s="72">
        <v>438.92</v>
      </c>
      <c r="X161" s="72">
        <v>0</v>
      </c>
      <c r="Y161" s="72">
        <v>0</v>
      </c>
      <c r="Z161" s="72">
        <v>0</v>
      </c>
      <c r="AA161" s="74">
        <v>0</v>
      </c>
      <c r="AB161" s="72">
        <v>0</v>
      </c>
      <c r="AC161" s="72">
        <v>674</v>
      </c>
      <c r="AD161" s="71">
        <v>45931</v>
      </c>
      <c r="AE161" s="70" t="s">
        <v>69</v>
      </c>
      <c r="AF161" s="70" t="s">
        <v>2813</v>
      </c>
      <c r="AG161" s="70" t="s">
        <v>2814</v>
      </c>
      <c r="AI161" s="70" t="s">
        <v>497</v>
      </c>
      <c r="AJ161" s="70" t="s">
        <v>2087</v>
      </c>
      <c r="AM161" s="70" t="s">
        <v>810</v>
      </c>
      <c r="AN161" s="70" t="s">
        <v>2088</v>
      </c>
      <c r="AO161" s="70" t="s">
        <v>808</v>
      </c>
      <c r="AP161" s="70" t="s">
        <v>2089</v>
      </c>
      <c r="AQ161" s="70" t="s">
        <v>809</v>
      </c>
      <c r="AR161" s="70" t="s">
        <v>2090</v>
      </c>
      <c r="AY161" s="72">
        <v>609.81000000000006</v>
      </c>
      <c r="AZ161" s="72">
        <v>5.59</v>
      </c>
      <c r="BA161" s="70" t="s">
        <v>67</v>
      </c>
      <c r="BB161" s="70" t="s">
        <v>1044</v>
      </c>
      <c r="BC161" s="70" t="s">
        <v>3006</v>
      </c>
      <c r="BD161" s="70" t="s">
        <v>430</v>
      </c>
      <c r="BE161" s="70" t="s">
        <v>74</v>
      </c>
      <c r="BF161" s="70" t="s">
        <v>194</v>
      </c>
      <c r="BH161" s="60" t="str">
        <f t="shared" si="2"/>
        <v>Ver en Mapa</v>
      </c>
      <c r="BK161" s="70">
        <v>1</v>
      </c>
      <c r="BL161" s="70">
        <v>1</v>
      </c>
      <c r="BM161" s="70" t="s">
        <v>2847</v>
      </c>
    </row>
    <row r="162" spans="1:65" s="68" customFormat="1" ht="14.4" customHeight="1" x14ac:dyDescent="0.3">
      <c r="A162" s="70" t="str">
        <f>H162</f>
        <v>001315</v>
      </c>
      <c r="B162" s="70" t="s">
        <v>61</v>
      </c>
      <c r="C162" s="70" t="s">
        <v>194</v>
      </c>
      <c r="D162" s="70" t="s">
        <v>588</v>
      </c>
      <c r="E162" s="70" t="s">
        <v>589</v>
      </c>
      <c r="F162" s="70" t="s">
        <v>590</v>
      </c>
      <c r="G162" s="70" t="s">
        <v>2763</v>
      </c>
      <c r="H162" s="70" t="s">
        <v>566</v>
      </c>
      <c r="I162" s="70" t="s">
        <v>67</v>
      </c>
      <c r="J162" s="70" t="s">
        <v>567</v>
      </c>
      <c r="K162" s="71">
        <v>45791</v>
      </c>
      <c r="L162" s="71">
        <v>45959</v>
      </c>
      <c r="M162" s="72">
        <v>12000</v>
      </c>
      <c r="N162" s="72">
        <v>12640.89</v>
      </c>
      <c r="O162" s="73">
        <v>0</v>
      </c>
      <c r="P162" s="73">
        <v>24</v>
      </c>
      <c r="Q162" s="70" t="s">
        <v>469</v>
      </c>
      <c r="R162" s="72">
        <v>796.48</v>
      </c>
      <c r="S162" s="72">
        <v>1392</v>
      </c>
      <c r="T162" s="72">
        <v>0</v>
      </c>
      <c r="U162" s="72">
        <v>21</v>
      </c>
      <c r="V162" s="72">
        <v>0</v>
      </c>
      <c r="W162" s="72">
        <v>1580.1100000000001</v>
      </c>
      <c r="X162" s="72">
        <v>0</v>
      </c>
      <c r="Y162" s="72">
        <v>0</v>
      </c>
      <c r="Z162" s="72">
        <v>0</v>
      </c>
      <c r="AA162" s="74">
        <v>0</v>
      </c>
      <c r="AB162" s="72">
        <v>0</v>
      </c>
      <c r="AC162" s="72">
        <v>797</v>
      </c>
      <c r="AD162" s="71">
        <v>45938</v>
      </c>
      <c r="AE162" s="70" t="s">
        <v>69</v>
      </c>
      <c r="AF162" s="70" t="s">
        <v>568</v>
      </c>
      <c r="AG162" s="70" t="s">
        <v>569</v>
      </c>
      <c r="AI162" s="70" t="s">
        <v>379</v>
      </c>
      <c r="AJ162" s="70" t="s">
        <v>380</v>
      </c>
      <c r="AM162" s="70" t="s">
        <v>863</v>
      </c>
      <c r="AN162" s="70" t="s">
        <v>1274</v>
      </c>
      <c r="AO162" s="70" t="s">
        <v>860</v>
      </c>
      <c r="AP162" s="70" t="s">
        <v>861</v>
      </c>
      <c r="AQ162" s="70" t="s">
        <v>862</v>
      </c>
      <c r="AR162" s="70" t="s">
        <v>1275</v>
      </c>
      <c r="AY162" s="72">
        <v>2209.54</v>
      </c>
      <c r="AZ162" s="72">
        <v>5.9033302000000001</v>
      </c>
      <c r="BA162" s="70" t="s">
        <v>67</v>
      </c>
      <c r="BB162" s="70" t="s">
        <v>1044</v>
      </c>
      <c r="BC162" s="70" t="s">
        <v>2978</v>
      </c>
      <c r="BD162" s="70" t="s">
        <v>570</v>
      </c>
      <c r="BE162" s="70" t="s">
        <v>74</v>
      </c>
      <c r="BF162" s="70" t="s">
        <v>503</v>
      </c>
      <c r="BH162" s="60" t="str">
        <f t="shared" si="2"/>
        <v>Ver en Mapa</v>
      </c>
      <c r="BK162" s="70">
        <v>7</v>
      </c>
      <c r="BL162" s="70">
        <v>3</v>
      </c>
      <c r="BM162" s="70" t="s">
        <v>2847</v>
      </c>
    </row>
    <row r="163" spans="1:65" s="68" customFormat="1" ht="14.4" customHeight="1" x14ac:dyDescent="0.3">
      <c r="A163" s="70" t="str">
        <f>H163</f>
        <v>001445</v>
      </c>
      <c r="B163" s="70" t="s">
        <v>61</v>
      </c>
      <c r="C163" s="70" t="s">
        <v>194</v>
      </c>
      <c r="D163" s="70" t="s">
        <v>588</v>
      </c>
      <c r="E163" s="70" t="s">
        <v>589</v>
      </c>
      <c r="F163" s="70" t="s">
        <v>590</v>
      </c>
      <c r="G163" s="70" t="s">
        <v>2763</v>
      </c>
      <c r="H163" s="70" t="s">
        <v>2260</v>
      </c>
      <c r="I163" s="70" t="s">
        <v>67</v>
      </c>
      <c r="J163" s="70" t="s">
        <v>1342</v>
      </c>
      <c r="K163" s="71">
        <v>45833</v>
      </c>
      <c r="L163" s="71">
        <v>46001</v>
      </c>
      <c r="M163" s="72">
        <v>10000</v>
      </c>
      <c r="N163" s="72">
        <v>10534.08</v>
      </c>
      <c r="O163" s="73">
        <v>0</v>
      </c>
      <c r="P163" s="73">
        <v>12</v>
      </c>
      <c r="Q163" s="70" t="s">
        <v>496</v>
      </c>
      <c r="R163" s="72">
        <v>1288.8</v>
      </c>
      <c r="S163" s="72">
        <v>696</v>
      </c>
      <c r="T163" s="72">
        <v>0</v>
      </c>
      <c r="U163" s="72">
        <v>7</v>
      </c>
      <c r="V163" s="72">
        <v>0</v>
      </c>
      <c r="W163" s="72">
        <v>4389.21</v>
      </c>
      <c r="X163" s="72">
        <v>1.33504E-2</v>
      </c>
      <c r="Y163" s="72">
        <v>0.01</v>
      </c>
      <c r="Z163" s="72">
        <v>0</v>
      </c>
      <c r="AA163" s="72">
        <v>0</v>
      </c>
      <c r="AB163" s="72">
        <v>0</v>
      </c>
      <c r="AC163" s="72">
        <v>1288.8</v>
      </c>
      <c r="AD163" s="71">
        <v>45931</v>
      </c>
      <c r="AE163" s="70" t="s">
        <v>69</v>
      </c>
      <c r="AF163" s="70" t="s">
        <v>2261</v>
      </c>
      <c r="AG163" s="70" t="s">
        <v>1343</v>
      </c>
      <c r="AI163" s="70" t="s">
        <v>425</v>
      </c>
      <c r="AJ163" s="70" t="s">
        <v>2093</v>
      </c>
      <c r="AM163" s="70" t="s">
        <v>1344</v>
      </c>
      <c r="AN163" s="70" t="s">
        <v>2262</v>
      </c>
      <c r="AO163" s="70" t="s">
        <v>1345</v>
      </c>
      <c r="AP163" s="70" t="s">
        <v>2263</v>
      </c>
      <c r="AQ163" s="70" t="s">
        <v>1346</v>
      </c>
      <c r="AR163" s="70" t="s">
        <v>2264</v>
      </c>
      <c r="AY163" s="72">
        <v>6154.02</v>
      </c>
      <c r="AZ163" s="72">
        <v>0</v>
      </c>
      <c r="BA163" s="70" t="s">
        <v>67</v>
      </c>
      <c r="BB163" s="70" t="s">
        <v>1044</v>
      </c>
      <c r="BC163" s="70" t="s">
        <v>3011</v>
      </c>
      <c r="BD163" s="70" t="s">
        <v>414</v>
      </c>
      <c r="BE163" s="70" t="s">
        <v>74</v>
      </c>
      <c r="BF163" s="70" t="s">
        <v>415</v>
      </c>
      <c r="BG163" s="70" t="s">
        <v>1347</v>
      </c>
      <c r="BH163" s="60" t="str">
        <f t="shared" si="2"/>
        <v>Ver en Mapa</v>
      </c>
      <c r="BK163" s="70">
        <v>0</v>
      </c>
      <c r="BL163" s="70">
        <v>0</v>
      </c>
      <c r="BM163" s="70" t="s">
        <v>2847</v>
      </c>
    </row>
    <row r="164" spans="1:65" s="68" customFormat="1" ht="14.4" customHeight="1" x14ac:dyDescent="0.3">
      <c r="A164" s="70" t="str">
        <f>H164</f>
        <v>001649</v>
      </c>
      <c r="B164" s="70" t="s">
        <v>61</v>
      </c>
      <c r="C164" s="70" t="s">
        <v>194</v>
      </c>
      <c r="D164" s="70" t="s">
        <v>594</v>
      </c>
      <c r="E164" s="70" t="s">
        <v>595</v>
      </c>
      <c r="F164" s="70" t="s">
        <v>590</v>
      </c>
      <c r="G164" s="70" t="s">
        <v>2763</v>
      </c>
      <c r="H164" s="70" t="s">
        <v>2619</v>
      </c>
      <c r="I164" s="70" t="s">
        <v>67</v>
      </c>
      <c r="J164" s="70" t="s">
        <v>2620</v>
      </c>
      <c r="K164" s="71">
        <v>45873</v>
      </c>
      <c r="L164" s="71">
        <v>46057</v>
      </c>
      <c r="M164" s="72">
        <v>5000</v>
      </c>
      <c r="N164" s="72">
        <v>5267.04</v>
      </c>
      <c r="O164" s="73">
        <v>0</v>
      </c>
      <c r="P164" s="73">
        <v>6</v>
      </c>
      <c r="Q164" s="70" t="s">
        <v>68</v>
      </c>
      <c r="R164" s="72">
        <v>1322.42</v>
      </c>
      <c r="S164" s="72">
        <v>348</v>
      </c>
      <c r="T164" s="72">
        <v>0</v>
      </c>
      <c r="U164" s="72">
        <v>0</v>
      </c>
      <c r="V164" s="72">
        <v>0</v>
      </c>
      <c r="W164" s="72">
        <v>3511.36</v>
      </c>
      <c r="X164" s="72">
        <v>0</v>
      </c>
      <c r="Y164" s="72">
        <v>0</v>
      </c>
      <c r="Z164" s="72">
        <v>0</v>
      </c>
      <c r="AA164" s="74">
        <v>0</v>
      </c>
      <c r="AB164" s="72">
        <v>0</v>
      </c>
      <c r="AC164" s="72">
        <v>1322.42</v>
      </c>
      <c r="AD164" s="71">
        <v>45936</v>
      </c>
      <c r="AE164" s="70" t="s">
        <v>69</v>
      </c>
      <c r="AF164" s="70" t="s">
        <v>2835</v>
      </c>
      <c r="AG164" s="70" t="s">
        <v>2621</v>
      </c>
      <c r="AI164" s="70" t="s">
        <v>2622</v>
      </c>
      <c r="AJ164" s="70" t="s">
        <v>2623</v>
      </c>
      <c r="AK164" s="70" t="s">
        <v>2624</v>
      </c>
      <c r="AM164" s="70" t="s">
        <v>2625</v>
      </c>
      <c r="AN164" s="70" t="s">
        <v>2626</v>
      </c>
      <c r="AO164" s="70" t="s">
        <v>2627</v>
      </c>
      <c r="AP164" s="70" t="s">
        <v>2628</v>
      </c>
      <c r="AQ164" s="70" t="s">
        <v>2629</v>
      </c>
      <c r="AR164" s="70" t="s">
        <v>2630</v>
      </c>
      <c r="AY164" s="72">
        <v>5057.66</v>
      </c>
      <c r="AZ164" s="72">
        <v>0.01</v>
      </c>
      <c r="BA164" s="70" t="s">
        <v>67</v>
      </c>
      <c r="BB164" s="70" t="s">
        <v>1044</v>
      </c>
      <c r="BC164" s="70" t="s">
        <v>2942</v>
      </c>
      <c r="BD164" s="70" t="s">
        <v>2631</v>
      </c>
      <c r="BE164" s="70" t="s">
        <v>74</v>
      </c>
      <c r="BF164" s="70" t="s">
        <v>194</v>
      </c>
      <c r="BG164" s="70" t="s">
        <v>2632</v>
      </c>
      <c r="BH164" s="60" t="str">
        <f t="shared" si="2"/>
        <v>Ver en Mapa</v>
      </c>
      <c r="BK164" s="70">
        <v>0</v>
      </c>
      <c r="BL164" s="70">
        <v>0</v>
      </c>
      <c r="BM164" s="70" t="s">
        <v>2847</v>
      </c>
    </row>
    <row r="165" spans="1:65" s="68" customFormat="1" ht="14.4" customHeight="1" x14ac:dyDescent="0.3">
      <c r="A165" s="70" t="str">
        <f>H165</f>
        <v>001311</v>
      </c>
      <c r="B165" s="70" t="s">
        <v>61</v>
      </c>
      <c r="C165" s="70" t="s">
        <v>194</v>
      </c>
      <c r="D165" s="70" t="s">
        <v>408</v>
      </c>
      <c r="E165" s="70" t="s">
        <v>409</v>
      </c>
      <c r="F165" s="70" t="s">
        <v>590</v>
      </c>
      <c r="G165" s="70" t="s">
        <v>2763</v>
      </c>
      <c r="H165" s="70" t="s">
        <v>2097</v>
      </c>
      <c r="I165" s="70" t="s">
        <v>67</v>
      </c>
      <c r="J165" s="70" t="s">
        <v>556</v>
      </c>
      <c r="K165" s="71">
        <v>45786</v>
      </c>
      <c r="L165" s="71">
        <v>45970</v>
      </c>
      <c r="M165" s="72">
        <v>20000</v>
      </c>
      <c r="N165" s="72">
        <v>21068.16</v>
      </c>
      <c r="O165" s="73">
        <v>0</v>
      </c>
      <c r="P165" s="73">
        <v>6</v>
      </c>
      <c r="Q165" s="70" t="s">
        <v>68</v>
      </c>
      <c r="R165" s="72">
        <v>5115.67</v>
      </c>
      <c r="S165" s="72">
        <v>348</v>
      </c>
      <c r="T165" s="72">
        <v>0</v>
      </c>
      <c r="U165" s="72">
        <v>0</v>
      </c>
      <c r="V165" s="72">
        <v>0</v>
      </c>
      <c r="W165" s="72">
        <v>3511.36</v>
      </c>
      <c r="X165" s="72">
        <v>0</v>
      </c>
      <c r="Y165" s="72">
        <v>0</v>
      </c>
      <c r="Z165" s="72">
        <v>0</v>
      </c>
      <c r="AA165" s="74">
        <v>0</v>
      </c>
      <c r="AB165" s="72">
        <v>0</v>
      </c>
      <c r="AC165" s="72">
        <v>580</v>
      </c>
      <c r="AD165" s="71">
        <v>45941</v>
      </c>
      <c r="AE165" s="70" t="s">
        <v>69</v>
      </c>
      <c r="AF165" s="70" t="s">
        <v>2098</v>
      </c>
      <c r="AG165" s="70" t="s">
        <v>557</v>
      </c>
      <c r="AI165" s="70" t="s">
        <v>393</v>
      </c>
      <c r="AJ165" s="70" t="s">
        <v>394</v>
      </c>
      <c r="AM165" s="70" t="s">
        <v>820</v>
      </c>
      <c r="AN165" s="70" t="s">
        <v>2099</v>
      </c>
      <c r="AO165" s="70" t="s">
        <v>818</v>
      </c>
      <c r="AP165" s="70" t="s">
        <v>2100</v>
      </c>
      <c r="AQ165" s="70" t="s">
        <v>819</v>
      </c>
      <c r="AR165" s="70" t="s">
        <v>2101</v>
      </c>
      <c r="AY165" s="72">
        <v>5052.0200000000004</v>
      </c>
      <c r="AZ165" s="72">
        <v>5.6534613333333299</v>
      </c>
      <c r="BA165" s="70" t="s">
        <v>67</v>
      </c>
      <c r="BB165" s="70" t="s">
        <v>1044</v>
      </c>
      <c r="BC165" s="70" t="s">
        <v>2869</v>
      </c>
      <c r="BD165" s="70" t="s">
        <v>564</v>
      </c>
      <c r="BE165" s="70" t="s">
        <v>74</v>
      </c>
      <c r="BF165" s="70" t="s">
        <v>194</v>
      </c>
      <c r="BH165" s="60" t="str">
        <f t="shared" si="2"/>
        <v>Ver en Mapa</v>
      </c>
      <c r="BK165" s="70">
        <v>1</v>
      </c>
      <c r="BL165" s="70">
        <v>1</v>
      </c>
      <c r="BM165" s="70" t="s">
        <v>2847</v>
      </c>
    </row>
    <row r="166" spans="1:65" s="68" customFormat="1" ht="14.4" customHeight="1" x14ac:dyDescent="0.3">
      <c r="A166" s="70" t="str">
        <f>H166</f>
        <v>001759</v>
      </c>
      <c r="B166" s="70" t="s">
        <v>61</v>
      </c>
      <c r="C166" s="70" t="s">
        <v>194</v>
      </c>
      <c r="D166" s="70" t="s">
        <v>588</v>
      </c>
      <c r="E166" s="70" t="s">
        <v>589</v>
      </c>
      <c r="F166" s="70" t="s">
        <v>590</v>
      </c>
      <c r="G166" s="70" t="s">
        <v>2763</v>
      </c>
      <c r="H166" s="70" t="s">
        <v>2768</v>
      </c>
      <c r="I166" s="70" t="s">
        <v>67</v>
      </c>
      <c r="J166" s="70" t="s">
        <v>2769</v>
      </c>
      <c r="K166" s="71">
        <v>45889</v>
      </c>
      <c r="L166" s="71">
        <v>46073</v>
      </c>
      <c r="M166" s="72">
        <v>8000</v>
      </c>
      <c r="N166" s="72">
        <v>8427.26</v>
      </c>
      <c r="O166" s="73">
        <v>0</v>
      </c>
      <c r="P166" s="73">
        <v>6</v>
      </c>
      <c r="Q166" s="70" t="s">
        <v>68</v>
      </c>
      <c r="R166" s="72">
        <v>2081.0700000000002</v>
      </c>
      <c r="S166" s="72">
        <v>348</v>
      </c>
      <c r="T166" s="72">
        <v>0</v>
      </c>
      <c r="U166" s="72">
        <v>0</v>
      </c>
      <c r="V166" s="72">
        <v>0</v>
      </c>
      <c r="W166" s="72">
        <v>7022.72</v>
      </c>
      <c r="X166" s="72">
        <v>0</v>
      </c>
      <c r="Y166" s="72">
        <v>0</v>
      </c>
      <c r="Z166" s="72">
        <v>0</v>
      </c>
      <c r="AA166" s="74">
        <v>0</v>
      </c>
      <c r="AB166" s="72">
        <v>0</v>
      </c>
      <c r="AC166" s="72">
        <v>2081.0700000000002</v>
      </c>
      <c r="AD166" s="71">
        <v>45920</v>
      </c>
      <c r="AE166" s="70" t="s">
        <v>69</v>
      </c>
      <c r="AF166" s="70" t="s">
        <v>2770</v>
      </c>
      <c r="AG166" s="70" t="s">
        <v>2771</v>
      </c>
      <c r="AI166" s="70" t="s">
        <v>2772</v>
      </c>
      <c r="AJ166" s="70" t="s">
        <v>2773</v>
      </c>
      <c r="AK166" s="70" t="s">
        <v>2774</v>
      </c>
      <c r="AM166" s="70" t="s">
        <v>2775</v>
      </c>
      <c r="AN166" s="70" t="s">
        <v>2776</v>
      </c>
      <c r="AO166" s="70" t="s">
        <v>2777</v>
      </c>
      <c r="AP166" s="70" t="s">
        <v>2778</v>
      </c>
      <c r="AQ166" s="70" t="s">
        <v>2779</v>
      </c>
      <c r="AR166" s="70" t="s">
        <v>2780</v>
      </c>
      <c r="AY166" s="72">
        <v>10115.33</v>
      </c>
      <c r="AZ166" s="72">
        <v>6.7000000000000002E-3</v>
      </c>
      <c r="BA166" s="70" t="s">
        <v>67</v>
      </c>
      <c r="BB166" s="70" t="s">
        <v>1044</v>
      </c>
      <c r="BC166" s="70" t="s">
        <v>2954</v>
      </c>
      <c r="BD166" s="70" t="s">
        <v>1680</v>
      </c>
      <c r="BE166" s="70" t="s">
        <v>74</v>
      </c>
      <c r="BF166" s="70" t="s">
        <v>503</v>
      </c>
      <c r="BG166" s="70" t="s">
        <v>2781</v>
      </c>
      <c r="BH166" s="60" t="str">
        <f t="shared" si="2"/>
        <v>Ver en Mapa</v>
      </c>
      <c r="BK166" s="70">
        <v>0</v>
      </c>
      <c r="BL166" s="70">
        <v>0</v>
      </c>
      <c r="BM166" s="70" t="s">
        <v>2847</v>
      </c>
    </row>
    <row r="167" spans="1:65" s="68" customFormat="1" ht="14.4" customHeight="1" x14ac:dyDescent="0.3">
      <c r="A167" s="70" t="str">
        <f>H167</f>
        <v>001319</v>
      </c>
      <c r="B167" s="70" t="s">
        <v>61</v>
      </c>
      <c r="C167" s="70" t="s">
        <v>194</v>
      </c>
      <c r="D167" s="70" t="s">
        <v>588</v>
      </c>
      <c r="E167" s="70" t="s">
        <v>589</v>
      </c>
      <c r="F167" s="70" t="s">
        <v>590</v>
      </c>
      <c r="G167" s="70" t="s">
        <v>2763</v>
      </c>
      <c r="H167" s="70" t="s">
        <v>2265</v>
      </c>
      <c r="I167" s="70" t="s">
        <v>67</v>
      </c>
      <c r="J167" s="70" t="s">
        <v>591</v>
      </c>
      <c r="K167" s="71">
        <v>45792</v>
      </c>
      <c r="L167" s="71">
        <v>45976</v>
      </c>
      <c r="M167" s="72">
        <v>10000</v>
      </c>
      <c r="N167" s="72">
        <v>10534.08</v>
      </c>
      <c r="O167" s="73">
        <v>0</v>
      </c>
      <c r="P167" s="73">
        <v>6</v>
      </c>
      <c r="Q167" s="70" t="s">
        <v>68</v>
      </c>
      <c r="R167" s="72">
        <v>2586.83</v>
      </c>
      <c r="S167" s="72">
        <v>348</v>
      </c>
      <c r="T167" s="72">
        <v>0</v>
      </c>
      <c r="U167" s="72">
        <v>0</v>
      </c>
      <c r="V167" s="72">
        <v>0</v>
      </c>
      <c r="W167" s="72">
        <v>3511.38</v>
      </c>
      <c r="X167" s="72">
        <v>0.02</v>
      </c>
      <c r="Y167" s="72">
        <v>0.02</v>
      </c>
      <c r="Z167" s="72">
        <v>0</v>
      </c>
      <c r="AA167" s="72">
        <v>0</v>
      </c>
      <c r="AB167" s="72">
        <v>0</v>
      </c>
      <c r="AC167" s="72">
        <v>2586.83</v>
      </c>
      <c r="AD167" s="71">
        <v>45915</v>
      </c>
      <c r="AE167" s="70" t="s">
        <v>69</v>
      </c>
      <c r="AF167" s="70" t="s">
        <v>2266</v>
      </c>
      <c r="AG167" s="70" t="s">
        <v>592</v>
      </c>
      <c r="AI167" s="70" t="s">
        <v>89</v>
      </c>
      <c r="AJ167" s="70" t="s">
        <v>90</v>
      </c>
      <c r="AM167" s="70" t="s">
        <v>869</v>
      </c>
      <c r="AN167" s="70" t="s">
        <v>2267</v>
      </c>
      <c r="AO167" s="70" t="s">
        <v>867</v>
      </c>
      <c r="AP167" s="70" t="s">
        <v>2268</v>
      </c>
      <c r="AQ167" s="70" t="s">
        <v>868</v>
      </c>
      <c r="AR167" s="70" t="s">
        <v>2269</v>
      </c>
      <c r="AY167" s="72">
        <v>5057.6900000000005</v>
      </c>
      <c r="AZ167" s="72">
        <v>0</v>
      </c>
      <c r="BA167" s="70" t="s">
        <v>67</v>
      </c>
      <c r="BB167" s="70" t="s">
        <v>1044</v>
      </c>
      <c r="BC167" s="70" t="s">
        <v>2996</v>
      </c>
      <c r="BD167" s="70" t="s">
        <v>593</v>
      </c>
      <c r="BE167" s="70" t="s">
        <v>74</v>
      </c>
      <c r="BF167" s="70" t="s">
        <v>194</v>
      </c>
      <c r="BH167" s="60" t="str">
        <f t="shared" si="2"/>
        <v>Ver en Mapa</v>
      </c>
      <c r="BK167" s="70">
        <v>0</v>
      </c>
      <c r="BL167" s="70">
        <v>0</v>
      </c>
      <c r="BM167" s="70" t="s">
        <v>2847</v>
      </c>
    </row>
    <row r="168" spans="1:65" s="68" customFormat="1" ht="14.4" customHeight="1" x14ac:dyDescent="0.3">
      <c r="A168" s="70" t="str">
        <f>H168</f>
        <v>001320</v>
      </c>
      <c r="B168" s="70" t="s">
        <v>61</v>
      </c>
      <c r="C168" s="70" t="s">
        <v>194</v>
      </c>
      <c r="D168" s="70" t="s">
        <v>588</v>
      </c>
      <c r="E168" s="70" t="s">
        <v>589</v>
      </c>
      <c r="F168" s="70" t="s">
        <v>590</v>
      </c>
      <c r="G168" s="70" t="s">
        <v>2763</v>
      </c>
      <c r="H168" s="70" t="s">
        <v>2270</v>
      </c>
      <c r="I168" s="70" t="s">
        <v>67</v>
      </c>
      <c r="J168" s="70" t="s">
        <v>585</v>
      </c>
      <c r="K168" s="71">
        <v>45792</v>
      </c>
      <c r="L168" s="71">
        <v>45960</v>
      </c>
      <c r="M168" s="72">
        <v>7000</v>
      </c>
      <c r="N168" s="72">
        <v>7373.85</v>
      </c>
      <c r="O168" s="73">
        <v>0</v>
      </c>
      <c r="P168" s="73">
        <v>12</v>
      </c>
      <c r="Q168" s="70" t="s">
        <v>496</v>
      </c>
      <c r="R168" s="72">
        <v>919.56000000000006</v>
      </c>
      <c r="S168" s="72">
        <v>696</v>
      </c>
      <c r="T168" s="72">
        <v>0</v>
      </c>
      <c r="U168" s="72">
        <v>10</v>
      </c>
      <c r="V168" s="72">
        <v>0</v>
      </c>
      <c r="W168" s="72">
        <v>1228.97</v>
      </c>
      <c r="X168" s="72">
        <v>0</v>
      </c>
      <c r="Y168" s="74">
        <v>0</v>
      </c>
      <c r="Z168" s="72">
        <v>0</v>
      </c>
      <c r="AA168" s="74">
        <v>0</v>
      </c>
      <c r="AB168" s="72">
        <v>0</v>
      </c>
      <c r="AC168" s="72">
        <v>920</v>
      </c>
      <c r="AD168" s="71">
        <v>45932</v>
      </c>
      <c r="AE168" s="70" t="s">
        <v>69</v>
      </c>
      <c r="AF168" s="70" t="s">
        <v>2271</v>
      </c>
      <c r="AG168" s="70" t="s">
        <v>586</v>
      </c>
      <c r="AI168" s="70" t="s">
        <v>283</v>
      </c>
      <c r="AJ168" s="70" t="s">
        <v>284</v>
      </c>
      <c r="AM168" s="70" t="s">
        <v>872</v>
      </c>
      <c r="AN168" s="70" t="s">
        <v>2272</v>
      </c>
      <c r="AO168" s="70" t="s">
        <v>870</v>
      </c>
      <c r="AP168" s="70" t="s">
        <v>2273</v>
      </c>
      <c r="AQ168" s="70" t="s">
        <v>871</v>
      </c>
      <c r="AR168" s="70" t="s">
        <v>2274</v>
      </c>
      <c r="AY168" s="72">
        <v>1708.73</v>
      </c>
      <c r="AZ168" s="72">
        <v>14.395000000000001</v>
      </c>
      <c r="BA168" s="70" t="s">
        <v>67</v>
      </c>
      <c r="BB168" s="70" t="s">
        <v>1044</v>
      </c>
      <c r="BC168" s="70" t="s">
        <v>2937</v>
      </c>
      <c r="BD168" s="70" t="s">
        <v>587</v>
      </c>
      <c r="BE168" s="70" t="s">
        <v>74</v>
      </c>
      <c r="BF168" s="70" t="s">
        <v>415</v>
      </c>
      <c r="BH168" s="60" t="str">
        <f t="shared" si="2"/>
        <v>Ver en Mapa</v>
      </c>
      <c r="BK168" s="70">
        <v>0</v>
      </c>
      <c r="BL168" s="70">
        <v>0</v>
      </c>
      <c r="BM168" s="70" t="s">
        <v>2847</v>
      </c>
    </row>
    <row r="169" spans="1:65" s="68" customFormat="1" ht="14.4" customHeight="1" x14ac:dyDescent="0.3">
      <c r="A169" s="70" t="str">
        <f>H169</f>
        <v>001343</v>
      </c>
      <c r="B169" s="70" t="s">
        <v>61</v>
      </c>
      <c r="C169" s="70" t="s">
        <v>194</v>
      </c>
      <c r="D169" s="70" t="s">
        <v>588</v>
      </c>
      <c r="E169" s="70" t="s">
        <v>589</v>
      </c>
      <c r="F169" s="70" t="s">
        <v>590</v>
      </c>
      <c r="G169" s="70" t="s">
        <v>2763</v>
      </c>
      <c r="H169" s="70" t="s">
        <v>2275</v>
      </c>
      <c r="I169" s="70" t="s">
        <v>67</v>
      </c>
      <c r="J169" s="70" t="s">
        <v>672</v>
      </c>
      <c r="K169" s="71">
        <v>45804</v>
      </c>
      <c r="L169" s="71">
        <v>46169</v>
      </c>
      <c r="M169" s="72">
        <v>20000</v>
      </c>
      <c r="N169" s="72">
        <v>21068.16</v>
      </c>
      <c r="O169" s="73">
        <v>0</v>
      </c>
      <c r="P169" s="73">
        <v>12</v>
      </c>
      <c r="Q169" s="70" t="s">
        <v>68</v>
      </c>
      <c r="R169" s="72">
        <v>3347.38</v>
      </c>
      <c r="S169" s="72">
        <v>696</v>
      </c>
      <c r="T169" s="72">
        <v>0</v>
      </c>
      <c r="U169" s="72">
        <v>0</v>
      </c>
      <c r="V169" s="72">
        <v>0</v>
      </c>
      <c r="W169" s="72">
        <v>14045.44</v>
      </c>
      <c r="X169" s="72">
        <v>0</v>
      </c>
      <c r="Y169" s="72">
        <v>0</v>
      </c>
      <c r="Z169" s="72">
        <v>0</v>
      </c>
      <c r="AA169" s="74">
        <v>0</v>
      </c>
      <c r="AB169" s="72">
        <v>0</v>
      </c>
      <c r="AC169" s="72">
        <v>3348</v>
      </c>
      <c r="AD169" s="71">
        <v>45926</v>
      </c>
      <c r="AE169" s="70" t="s">
        <v>69</v>
      </c>
      <c r="AF169" s="70" t="s">
        <v>2276</v>
      </c>
      <c r="AG169" s="70" t="s">
        <v>673</v>
      </c>
      <c r="AI169" s="70" t="s">
        <v>674</v>
      </c>
      <c r="AJ169" s="70" t="s">
        <v>2119</v>
      </c>
      <c r="AM169" s="70" t="s">
        <v>875</v>
      </c>
      <c r="AN169" s="70" t="s">
        <v>2277</v>
      </c>
      <c r="AO169" s="70" t="s">
        <v>873</v>
      </c>
      <c r="AP169" s="70" t="s">
        <v>2278</v>
      </c>
      <c r="AQ169" s="70" t="s">
        <v>874</v>
      </c>
      <c r="AR169" s="70" t="s">
        <v>2279</v>
      </c>
      <c r="AY169" s="72">
        <v>26312.600000000002</v>
      </c>
      <c r="AZ169" s="72">
        <v>2.4700000000000002</v>
      </c>
      <c r="BA169" s="70" t="s">
        <v>67</v>
      </c>
      <c r="BB169" s="70" t="s">
        <v>1044</v>
      </c>
      <c r="BC169" s="70" t="s">
        <v>2974</v>
      </c>
      <c r="BD169" s="70" t="s">
        <v>675</v>
      </c>
      <c r="BE169" s="70" t="s">
        <v>74</v>
      </c>
      <c r="BF169" s="70" t="s">
        <v>503</v>
      </c>
      <c r="BH169" s="60" t="str">
        <f t="shared" si="2"/>
        <v>Ver en Mapa</v>
      </c>
      <c r="BK169" s="70">
        <v>0</v>
      </c>
      <c r="BL169" s="70">
        <v>0</v>
      </c>
      <c r="BM169" s="70" t="s">
        <v>2847</v>
      </c>
    </row>
    <row r="170" spans="1:65" s="68" customFormat="1" ht="14.4" customHeight="1" x14ac:dyDescent="0.3">
      <c r="A170" s="70" t="str">
        <f>H170</f>
        <v>001741</v>
      </c>
      <c r="B170" s="70" t="s">
        <v>61</v>
      </c>
      <c r="C170" s="70" t="s">
        <v>194</v>
      </c>
      <c r="D170" s="70" t="s">
        <v>594</v>
      </c>
      <c r="E170" s="70" t="s">
        <v>595</v>
      </c>
      <c r="F170" s="70" t="s">
        <v>590</v>
      </c>
      <c r="G170" s="70" t="s">
        <v>2763</v>
      </c>
      <c r="H170" s="70" t="s">
        <v>2633</v>
      </c>
      <c r="I170" s="70" t="s">
        <v>67</v>
      </c>
      <c r="J170" s="70" t="s">
        <v>2634</v>
      </c>
      <c r="K170" s="71">
        <v>45876</v>
      </c>
      <c r="L170" s="71">
        <v>46241</v>
      </c>
      <c r="M170" s="72">
        <v>10000</v>
      </c>
      <c r="N170" s="72">
        <v>10534.08</v>
      </c>
      <c r="O170" s="73">
        <v>0</v>
      </c>
      <c r="P170" s="73">
        <v>12</v>
      </c>
      <c r="Q170" s="70" t="s">
        <v>68</v>
      </c>
      <c r="R170" s="72">
        <v>1702.69</v>
      </c>
      <c r="S170" s="72">
        <v>696</v>
      </c>
      <c r="T170" s="72">
        <v>0</v>
      </c>
      <c r="U170" s="72">
        <v>0</v>
      </c>
      <c r="V170" s="72">
        <v>0</v>
      </c>
      <c r="W170" s="72">
        <v>8778.4</v>
      </c>
      <c r="X170" s="72">
        <v>0</v>
      </c>
      <c r="Y170" s="72">
        <v>0</v>
      </c>
      <c r="Z170" s="72">
        <v>0</v>
      </c>
      <c r="AA170" s="74">
        <v>0</v>
      </c>
      <c r="AB170" s="72">
        <v>0</v>
      </c>
      <c r="AC170" s="72">
        <v>1703</v>
      </c>
      <c r="AD170" s="71">
        <v>45937</v>
      </c>
      <c r="AE170" s="70" t="s">
        <v>69</v>
      </c>
      <c r="AF170" s="70" t="s">
        <v>2635</v>
      </c>
      <c r="AG170" s="70" t="s">
        <v>2636</v>
      </c>
      <c r="AI170" s="70" t="s">
        <v>644</v>
      </c>
      <c r="AJ170" s="70" t="s">
        <v>2141</v>
      </c>
      <c r="AK170" s="70" t="s">
        <v>2637</v>
      </c>
      <c r="AM170" s="70" t="s">
        <v>2638</v>
      </c>
      <c r="AN170" s="70" t="s">
        <v>2639</v>
      </c>
      <c r="AO170" s="70" t="s">
        <v>2640</v>
      </c>
      <c r="AP170" s="70" t="s">
        <v>2641</v>
      </c>
      <c r="AQ170" s="70" t="s">
        <v>2642</v>
      </c>
      <c r="AR170" s="70" t="s">
        <v>2643</v>
      </c>
      <c r="AY170" s="72">
        <v>16446.3</v>
      </c>
      <c r="AZ170" s="72">
        <v>0.62</v>
      </c>
      <c r="BA170" s="70" t="s">
        <v>67</v>
      </c>
      <c r="BB170" s="70" t="s">
        <v>1044</v>
      </c>
      <c r="BC170" s="70" t="s">
        <v>3001</v>
      </c>
      <c r="BD170" s="70" t="s">
        <v>2644</v>
      </c>
      <c r="BE170" s="70" t="s">
        <v>74</v>
      </c>
      <c r="BF170" s="70" t="s">
        <v>194</v>
      </c>
      <c r="BG170" s="70" t="s">
        <v>2645</v>
      </c>
      <c r="BH170" s="60" t="str">
        <f t="shared" si="2"/>
        <v>Ver en Mapa</v>
      </c>
      <c r="BK170" s="70">
        <v>0</v>
      </c>
      <c r="BL170" s="70">
        <v>0</v>
      </c>
      <c r="BM170" s="70" t="s">
        <v>2847</v>
      </c>
    </row>
    <row r="171" spans="1:65" s="68" customFormat="1" ht="14.4" customHeight="1" x14ac:dyDescent="0.3">
      <c r="A171" s="70" t="str">
        <f>H171</f>
        <v>002226</v>
      </c>
      <c r="B171" s="70" t="s">
        <v>61</v>
      </c>
      <c r="C171" s="70" t="s">
        <v>194</v>
      </c>
      <c r="D171" s="70" t="s">
        <v>2882</v>
      </c>
      <c r="E171" s="70" t="s">
        <v>2883</v>
      </c>
      <c r="F171" s="70" t="s">
        <v>590</v>
      </c>
      <c r="G171" s="70" t="s">
        <v>2763</v>
      </c>
      <c r="H171" s="70" t="s">
        <v>2817</v>
      </c>
      <c r="I171" s="70" t="s">
        <v>67</v>
      </c>
      <c r="J171" s="70" t="s">
        <v>2818</v>
      </c>
      <c r="K171" s="71">
        <v>45904</v>
      </c>
      <c r="L171" s="71">
        <v>46085</v>
      </c>
      <c r="M171" s="72">
        <v>5000</v>
      </c>
      <c r="N171" s="72">
        <v>5267.04</v>
      </c>
      <c r="O171" s="73">
        <v>0</v>
      </c>
      <c r="P171" s="73">
        <v>6</v>
      </c>
      <c r="Q171" s="70" t="s">
        <v>68</v>
      </c>
      <c r="R171" s="72">
        <v>1316.1100000000001</v>
      </c>
      <c r="S171" s="72">
        <v>348</v>
      </c>
      <c r="T171" s="72">
        <v>0</v>
      </c>
      <c r="U171" s="72">
        <v>0</v>
      </c>
      <c r="V171" s="72">
        <v>0</v>
      </c>
      <c r="W171" s="72">
        <v>4389.2</v>
      </c>
      <c r="X171" s="72">
        <v>4.435733333333E-3</v>
      </c>
      <c r="Y171" s="72">
        <v>0</v>
      </c>
      <c r="Z171" s="72">
        <v>0</v>
      </c>
      <c r="AA171" s="72">
        <v>0</v>
      </c>
      <c r="AB171" s="72">
        <v>0</v>
      </c>
      <c r="AC171" s="72">
        <v>1316.1100000000001</v>
      </c>
      <c r="AD171" s="71">
        <v>45933</v>
      </c>
      <c r="AE171" s="70" t="s">
        <v>69</v>
      </c>
      <c r="AF171" s="70" t="s">
        <v>2819</v>
      </c>
      <c r="AG171" s="70" t="s">
        <v>2820</v>
      </c>
      <c r="AI171" s="70" t="s">
        <v>89</v>
      </c>
      <c r="AJ171" s="70" t="s">
        <v>90</v>
      </c>
      <c r="AM171" s="70" t="s">
        <v>2821</v>
      </c>
      <c r="AN171" s="70" t="s">
        <v>2822</v>
      </c>
      <c r="AO171" s="70" t="s">
        <v>2823</v>
      </c>
      <c r="AP171" s="70" t="s">
        <v>2824</v>
      </c>
      <c r="AQ171" s="70" t="s">
        <v>2825</v>
      </c>
      <c r="AR171" s="70" t="s">
        <v>2109</v>
      </c>
      <c r="AY171" s="72">
        <v>6290.58</v>
      </c>
      <c r="AZ171" s="72">
        <v>0</v>
      </c>
      <c r="BA171" s="70" t="s">
        <v>67</v>
      </c>
      <c r="BB171" s="70" t="s">
        <v>1044</v>
      </c>
      <c r="BC171" s="70" t="s">
        <v>2997</v>
      </c>
      <c r="BD171" s="70" t="s">
        <v>503</v>
      </c>
      <c r="BE171" s="70" t="s">
        <v>74</v>
      </c>
      <c r="BF171" s="70" t="s">
        <v>503</v>
      </c>
      <c r="BG171" s="70" t="s">
        <v>2826</v>
      </c>
      <c r="BH171" s="60" t="str">
        <f t="shared" si="2"/>
        <v>Ver en Mapa</v>
      </c>
      <c r="BK171" s="70">
        <v>0</v>
      </c>
      <c r="BL171" s="70">
        <v>0</v>
      </c>
      <c r="BM171" s="70" t="s">
        <v>2847</v>
      </c>
    </row>
    <row r="172" spans="1:65" s="68" customFormat="1" ht="14.4" customHeight="1" x14ac:dyDescent="0.3">
      <c r="A172" s="70" t="str">
        <f>H172</f>
        <v>001402</v>
      </c>
      <c r="B172" s="70" t="s">
        <v>61</v>
      </c>
      <c r="C172" s="70" t="s">
        <v>194</v>
      </c>
      <c r="D172" s="70" t="s">
        <v>588</v>
      </c>
      <c r="E172" s="70" t="s">
        <v>589</v>
      </c>
      <c r="F172" s="70" t="s">
        <v>590</v>
      </c>
      <c r="G172" s="70" t="s">
        <v>2763</v>
      </c>
      <c r="H172" s="70" t="s">
        <v>2285</v>
      </c>
      <c r="I172" s="70" t="s">
        <v>67</v>
      </c>
      <c r="J172" s="70" t="s">
        <v>1157</v>
      </c>
      <c r="K172" s="71">
        <v>45821</v>
      </c>
      <c r="L172" s="71">
        <v>45989</v>
      </c>
      <c r="M172" s="72">
        <v>5000</v>
      </c>
      <c r="N172" s="72">
        <v>5267.04</v>
      </c>
      <c r="O172" s="73">
        <v>0</v>
      </c>
      <c r="P172" s="73">
        <v>12</v>
      </c>
      <c r="Q172" s="70" t="s">
        <v>496</v>
      </c>
      <c r="R172" s="72">
        <v>673.4</v>
      </c>
      <c r="S172" s="72">
        <v>696</v>
      </c>
      <c r="T172" s="72">
        <v>580</v>
      </c>
      <c r="U172" s="72">
        <v>8</v>
      </c>
      <c r="V172" s="72">
        <v>0</v>
      </c>
      <c r="W172" s="72">
        <v>1757.0900000000001</v>
      </c>
      <c r="X172" s="72">
        <v>581.41</v>
      </c>
      <c r="Y172" s="72">
        <v>1.41</v>
      </c>
      <c r="Z172" s="72">
        <v>0</v>
      </c>
      <c r="AA172" s="72">
        <v>0</v>
      </c>
      <c r="AB172" s="72">
        <v>580</v>
      </c>
      <c r="AC172" s="72">
        <v>673</v>
      </c>
      <c r="AD172" s="71">
        <v>45934</v>
      </c>
      <c r="AE172" s="70" t="s">
        <v>69</v>
      </c>
      <c r="AF172" s="70" t="s">
        <v>2286</v>
      </c>
      <c r="AG172" s="70" t="s">
        <v>1158</v>
      </c>
      <c r="AI172" s="70" t="s">
        <v>1159</v>
      </c>
      <c r="AJ172" s="70" t="s">
        <v>2287</v>
      </c>
      <c r="AK172" s="70" t="s">
        <v>1160</v>
      </c>
      <c r="AM172" s="70" t="s">
        <v>1161</v>
      </c>
      <c r="AN172" s="70" t="s">
        <v>2288</v>
      </c>
      <c r="AO172" s="70" t="s">
        <v>1162</v>
      </c>
      <c r="AP172" s="70" t="s">
        <v>2289</v>
      </c>
      <c r="AQ172" s="70" t="s">
        <v>1163</v>
      </c>
      <c r="AR172" s="70" t="s">
        <v>2290</v>
      </c>
      <c r="AY172" s="72">
        <v>3043.01</v>
      </c>
      <c r="AZ172" s="72">
        <v>0</v>
      </c>
      <c r="BA172" s="70" t="s">
        <v>67</v>
      </c>
      <c r="BB172" s="70" t="s">
        <v>1044</v>
      </c>
      <c r="BC172" s="70" t="s">
        <v>2967</v>
      </c>
      <c r="BD172" s="70" t="s">
        <v>415</v>
      </c>
      <c r="BE172" s="70" t="s">
        <v>74</v>
      </c>
      <c r="BF172" s="70" t="s">
        <v>415</v>
      </c>
      <c r="BG172" s="70" t="s">
        <v>1165</v>
      </c>
      <c r="BH172" s="60" t="str">
        <f t="shared" si="2"/>
        <v>Ver en Mapa</v>
      </c>
      <c r="BK172" s="70">
        <v>3</v>
      </c>
      <c r="BL172" s="70">
        <v>2</v>
      </c>
      <c r="BM172" s="70" t="s">
        <v>2847</v>
      </c>
    </row>
    <row r="173" spans="1:65" s="68" customFormat="1" ht="14.4" customHeight="1" x14ac:dyDescent="0.3">
      <c r="A173" s="70" t="str">
        <f>H173</f>
        <v>001307</v>
      </c>
      <c r="B173" s="70" t="s">
        <v>61</v>
      </c>
      <c r="C173" s="70" t="s">
        <v>194</v>
      </c>
      <c r="D173" s="70" t="s">
        <v>408</v>
      </c>
      <c r="E173" s="70" t="s">
        <v>409</v>
      </c>
      <c r="F173" s="70" t="s">
        <v>590</v>
      </c>
      <c r="G173" s="70" t="s">
        <v>2763</v>
      </c>
      <c r="H173" s="70" t="s">
        <v>2081</v>
      </c>
      <c r="I173" s="70" t="s">
        <v>76</v>
      </c>
      <c r="J173" s="70" t="s">
        <v>549</v>
      </c>
      <c r="K173" s="71">
        <v>45933</v>
      </c>
      <c r="L173" s="71">
        <v>46101</v>
      </c>
      <c r="M173" s="72">
        <v>12000</v>
      </c>
      <c r="N173" s="72">
        <v>12640.89</v>
      </c>
      <c r="O173" s="73">
        <v>0</v>
      </c>
      <c r="P173" s="73">
        <v>12</v>
      </c>
      <c r="Q173" s="70" t="s">
        <v>496</v>
      </c>
      <c r="R173" s="72">
        <v>1534.96</v>
      </c>
      <c r="S173" s="72">
        <v>696</v>
      </c>
      <c r="T173" s="72">
        <v>0</v>
      </c>
      <c r="U173" s="72">
        <v>0</v>
      </c>
      <c r="V173" s="72">
        <v>0</v>
      </c>
      <c r="W173" s="72">
        <v>12640.89</v>
      </c>
      <c r="X173" s="72">
        <v>0</v>
      </c>
      <c r="Y173" s="72">
        <v>0</v>
      </c>
      <c r="Z173" s="72">
        <v>0</v>
      </c>
      <c r="AA173" s="72">
        <v>0</v>
      </c>
      <c r="AB173" s="72">
        <v>0</v>
      </c>
      <c r="AE173" s="70" t="s">
        <v>69</v>
      </c>
      <c r="AF173" s="70" t="s">
        <v>2082</v>
      </c>
      <c r="AG173" s="70" t="s">
        <v>2850</v>
      </c>
      <c r="AI173" s="70" t="s">
        <v>393</v>
      </c>
      <c r="AJ173" s="70" t="s">
        <v>394</v>
      </c>
      <c r="AK173" s="70" t="s">
        <v>2851</v>
      </c>
      <c r="AM173" s="70" t="s">
        <v>797</v>
      </c>
      <c r="AN173" s="70" t="s">
        <v>2083</v>
      </c>
      <c r="AO173" s="70" t="s">
        <v>795</v>
      </c>
      <c r="AP173" s="70" t="s">
        <v>2084</v>
      </c>
      <c r="AQ173" s="70" t="s">
        <v>796</v>
      </c>
      <c r="AR173" s="70" t="s">
        <v>2085</v>
      </c>
      <c r="AY173" s="72">
        <v>17723.54</v>
      </c>
      <c r="AZ173" s="72">
        <v>0</v>
      </c>
      <c r="BA173" s="70" t="s">
        <v>67</v>
      </c>
      <c r="BB173" s="70" t="s">
        <v>1044</v>
      </c>
      <c r="BC173" s="70" t="s">
        <v>2871</v>
      </c>
      <c r="BD173" s="70" t="s">
        <v>550</v>
      </c>
      <c r="BE173" s="70" t="s">
        <v>74</v>
      </c>
      <c r="BF173" s="70" t="s">
        <v>503</v>
      </c>
      <c r="BH173" s="60" t="str">
        <f t="shared" si="2"/>
        <v>Ver en Mapa</v>
      </c>
      <c r="BK173" s="70">
        <v>0</v>
      </c>
      <c r="BL173" s="70">
        <v>0</v>
      </c>
      <c r="BM173" s="70" t="s">
        <v>2847</v>
      </c>
    </row>
    <row r="174" spans="1:65" s="68" customFormat="1" ht="14.4" customHeight="1" x14ac:dyDescent="0.3">
      <c r="A174" s="70" t="str">
        <f>H174</f>
        <v>001570</v>
      </c>
      <c r="B174" s="70" t="s">
        <v>61</v>
      </c>
      <c r="C174" s="70" t="s">
        <v>205</v>
      </c>
      <c r="D174" s="70" t="s">
        <v>2332</v>
      </c>
      <c r="E174" s="70" t="s">
        <v>1756</v>
      </c>
      <c r="F174" s="70" t="s">
        <v>590</v>
      </c>
      <c r="G174" s="70" t="s">
        <v>2763</v>
      </c>
      <c r="H174" s="70" t="s">
        <v>2350</v>
      </c>
      <c r="I174" s="70" t="s">
        <v>67</v>
      </c>
      <c r="J174" s="70" t="s">
        <v>1844</v>
      </c>
      <c r="K174" s="71">
        <v>45866</v>
      </c>
      <c r="L174" s="71">
        <v>46034</v>
      </c>
      <c r="M174" s="72">
        <v>5000</v>
      </c>
      <c r="N174" s="72">
        <v>5267.04</v>
      </c>
      <c r="O174" s="73">
        <v>0</v>
      </c>
      <c r="P174" s="73">
        <v>12</v>
      </c>
      <c r="Q174" s="70" t="s">
        <v>496</v>
      </c>
      <c r="R174" s="72">
        <v>673.4</v>
      </c>
      <c r="S174" s="72">
        <v>696</v>
      </c>
      <c r="T174" s="72">
        <v>0</v>
      </c>
      <c r="U174" s="72">
        <v>5</v>
      </c>
      <c r="V174" s="72">
        <v>0</v>
      </c>
      <c r="W174" s="72">
        <v>3072.44</v>
      </c>
      <c r="X174" s="72">
        <v>0</v>
      </c>
      <c r="Y174" s="72">
        <v>0</v>
      </c>
      <c r="Z174" s="72">
        <v>0</v>
      </c>
      <c r="AA174" s="74">
        <v>0</v>
      </c>
      <c r="AB174" s="72">
        <v>0</v>
      </c>
      <c r="AC174" s="72">
        <v>1252</v>
      </c>
      <c r="AD174" s="71">
        <v>45938</v>
      </c>
      <c r="AE174" s="70" t="s">
        <v>69</v>
      </c>
      <c r="AF174" s="70" t="s">
        <v>2351</v>
      </c>
      <c r="AG174" s="70" t="s">
        <v>1845</v>
      </c>
      <c r="AI174" s="70" t="s">
        <v>458</v>
      </c>
      <c r="AJ174" s="70" t="s">
        <v>459</v>
      </c>
      <c r="AM174" s="70" t="s">
        <v>1846</v>
      </c>
      <c r="AN174" s="70" t="s">
        <v>2352</v>
      </c>
      <c r="AO174" s="70" t="s">
        <v>1847</v>
      </c>
      <c r="AP174" s="70" t="s">
        <v>2353</v>
      </c>
      <c r="AQ174" s="70" t="s">
        <v>1848</v>
      </c>
      <c r="AR174" s="70" t="s">
        <v>2354</v>
      </c>
      <c r="AY174" s="72">
        <v>4306.8100000000004</v>
      </c>
      <c r="AZ174" s="72">
        <v>1</v>
      </c>
      <c r="BA174" s="70" t="s">
        <v>67</v>
      </c>
      <c r="BB174" s="70" t="s">
        <v>1044</v>
      </c>
      <c r="BC174" s="70" t="s">
        <v>3022</v>
      </c>
      <c r="BD174" s="70" t="s">
        <v>85</v>
      </c>
      <c r="BE174" s="70" t="s">
        <v>213</v>
      </c>
      <c r="BF174" s="70" t="s">
        <v>205</v>
      </c>
      <c r="BG174" s="70" t="s">
        <v>1849</v>
      </c>
      <c r="BH174" s="60" t="str">
        <f t="shared" si="2"/>
        <v>Ver en Mapa</v>
      </c>
      <c r="BK174" s="70">
        <v>1</v>
      </c>
      <c r="BL174" s="70">
        <v>1</v>
      </c>
      <c r="BM174" s="70" t="s">
        <v>2847</v>
      </c>
    </row>
    <row r="175" spans="1:65" s="68" customFormat="1" ht="14.4" customHeight="1" x14ac:dyDescent="0.3">
      <c r="A175" s="70" t="str">
        <f>H175</f>
        <v>001329</v>
      </c>
      <c r="B175" s="70" t="s">
        <v>61</v>
      </c>
      <c r="C175" s="70" t="s">
        <v>205</v>
      </c>
      <c r="D175" s="70" t="s">
        <v>1497</v>
      </c>
      <c r="E175" s="70" t="s">
        <v>1022</v>
      </c>
      <c r="F175" s="70" t="s">
        <v>590</v>
      </c>
      <c r="G175" s="70" t="s">
        <v>2763</v>
      </c>
      <c r="H175" s="70" t="s">
        <v>1498</v>
      </c>
      <c r="I175" s="70" t="s">
        <v>67</v>
      </c>
      <c r="J175" s="70" t="s">
        <v>608</v>
      </c>
      <c r="K175" s="71">
        <v>45797</v>
      </c>
      <c r="L175" s="71">
        <v>45965</v>
      </c>
      <c r="M175" s="72">
        <v>6000</v>
      </c>
      <c r="N175" s="72">
        <v>6320.45</v>
      </c>
      <c r="O175" s="73">
        <v>0</v>
      </c>
      <c r="P175" s="73">
        <v>12</v>
      </c>
      <c r="Q175" s="70" t="s">
        <v>496</v>
      </c>
      <c r="R175" s="72">
        <v>796.48</v>
      </c>
      <c r="S175" s="72">
        <v>696</v>
      </c>
      <c r="T175" s="72">
        <v>0</v>
      </c>
      <c r="U175" s="72">
        <v>10</v>
      </c>
      <c r="V175" s="72">
        <v>0</v>
      </c>
      <c r="W175" s="72">
        <v>1053.4100000000001</v>
      </c>
      <c r="X175" s="72">
        <v>0</v>
      </c>
      <c r="Y175" s="72">
        <v>0</v>
      </c>
      <c r="Z175" s="72">
        <v>0</v>
      </c>
      <c r="AA175" s="74">
        <v>0</v>
      </c>
      <c r="AB175" s="72">
        <v>0</v>
      </c>
      <c r="AC175" s="72">
        <v>797</v>
      </c>
      <c r="AD175" s="71">
        <v>45937</v>
      </c>
      <c r="AE175" s="70" t="s">
        <v>69</v>
      </c>
      <c r="AF175" s="70" t="s">
        <v>1499</v>
      </c>
      <c r="AG175" s="70" t="s">
        <v>609</v>
      </c>
      <c r="AI175" s="70" t="s">
        <v>86</v>
      </c>
      <c r="AJ175" s="70" t="s">
        <v>87</v>
      </c>
      <c r="AM175" s="70" t="s">
        <v>900</v>
      </c>
      <c r="AN175" s="70" t="s">
        <v>1496</v>
      </c>
      <c r="AO175" s="70" t="s">
        <v>898</v>
      </c>
      <c r="AP175" s="70" t="s">
        <v>1500</v>
      </c>
      <c r="AQ175" s="70" t="s">
        <v>899</v>
      </c>
      <c r="AR175" s="70" t="s">
        <v>1501</v>
      </c>
      <c r="AY175" s="72">
        <v>1472.82</v>
      </c>
      <c r="AZ175" s="72">
        <v>4.1482999999999999</v>
      </c>
      <c r="BA175" s="70" t="s">
        <v>67</v>
      </c>
      <c r="BB175" s="70" t="s">
        <v>1044</v>
      </c>
      <c r="BC175" s="70" t="s">
        <v>3023</v>
      </c>
      <c r="BD175" s="70" t="s">
        <v>267</v>
      </c>
      <c r="BE175" s="70" t="s">
        <v>213</v>
      </c>
      <c r="BF175" s="70" t="s">
        <v>205</v>
      </c>
      <c r="BH175" s="60" t="str">
        <f t="shared" si="2"/>
        <v>Ver en Mapa</v>
      </c>
      <c r="BK175" s="70">
        <v>0</v>
      </c>
      <c r="BL175" s="70">
        <v>0</v>
      </c>
      <c r="BM175" s="70" t="s">
        <v>2847</v>
      </c>
    </row>
    <row r="176" spans="1:65" s="68" customFormat="1" ht="14.4" customHeight="1" x14ac:dyDescent="0.3">
      <c r="A176" s="70" t="str">
        <f>H176</f>
        <v>001101</v>
      </c>
      <c r="B176" s="70" t="s">
        <v>61</v>
      </c>
      <c r="C176" s="70" t="s">
        <v>205</v>
      </c>
      <c r="D176" s="70" t="s">
        <v>2332</v>
      </c>
      <c r="E176" s="70" t="s">
        <v>1756</v>
      </c>
      <c r="F176" s="70" t="s">
        <v>590</v>
      </c>
      <c r="G176" s="70" t="s">
        <v>2763</v>
      </c>
      <c r="H176" s="70" t="s">
        <v>2333</v>
      </c>
      <c r="I176" s="70" t="s">
        <v>67</v>
      </c>
      <c r="J176" s="70" t="s">
        <v>1783</v>
      </c>
      <c r="K176" s="71">
        <v>45862</v>
      </c>
      <c r="L176" s="71">
        <v>46227</v>
      </c>
      <c r="M176" s="72">
        <v>20000</v>
      </c>
      <c r="N176" s="72">
        <v>21068.16</v>
      </c>
      <c r="O176" s="73">
        <v>0</v>
      </c>
      <c r="P176" s="73">
        <v>12</v>
      </c>
      <c r="Q176" s="70" t="s">
        <v>68</v>
      </c>
      <c r="R176" s="72">
        <v>3347.38</v>
      </c>
      <c r="S176" s="72">
        <v>696</v>
      </c>
      <c r="T176" s="72">
        <v>0</v>
      </c>
      <c r="U176" s="72">
        <v>0</v>
      </c>
      <c r="V176" s="72">
        <v>0</v>
      </c>
      <c r="W176" s="72">
        <v>17556.8</v>
      </c>
      <c r="X176" s="72">
        <v>0</v>
      </c>
      <c r="Y176" s="72">
        <v>0</v>
      </c>
      <c r="Z176" s="72">
        <v>0</v>
      </c>
      <c r="AA176" s="74">
        <v>0</v>
      </c>
      <c r="AB176" s="72">
        <v>0</v>
      </c>
      <c r="AC176" s="72">
        <v>3350</v>
      </c>
      <c r="AD176" s="71">
        <v>45923</v>
      </c>
      <c r="AE176" s="70" t="s">
        <v>69</v>
      </c>
      <c r="AF176" s="70" t="s">
        <v>2334</v>
      </c>
      <c r="AG176" s="70" t="s">
        <v>1784</v>
      </c>
      <c r="AI176" s="70" t="s">
        <v>86</v>
      </c>
      <c r="AJ176" s="70" t="s">
        <v>87</v>
      </c>
      <c r="AK176" s="70" t="s">
        <v>1785</v>
      </c>
      <c r="AM176" s="70" t="s">
        <v>1786</v>
      </c>
      <c r="AN176" s="70" t="s">
        <v>2335</v>
      </c>
      <c r="AO176" s="70" t="s">
        <v>1787</v>
      </c>
      <c r="AP176" s="70" t="s">
        <v>2336</v>
      </c>
      <c r="AQ176" s="70" t="s">
        <v>1788</v>
      </c>
      <c r="AR176" s="70" t="s">
        <v>2337</v>
      </c>
      <c r="AY176" s="72">
        <v>32888.6</v>
      </c>
      <c r="AZ176" s="72">
        <v>5.2329493333333286</v>
      </c>
      <c r="BA176" s="70" t="s">
        <v>67</v>
      </c>
      <c r="BB176" s="70" t="s">
        <v>1044</v>
      </c>
      <c r="BC176" s="70" t="s">
        <v>3024</v>
      </c>
      <c r="BD176" s="70" t="s">
        <v>1789</v>
      </c>
      <c r="BE176" s="70" t="s">
        <v>213</v>
      </c>
      <c r="BF176" s="70" t="s">
        <v>205</v>
      </c>
      <c r="BG176" s="70" t="s">
        <v>1790</v>
      </c>
      <c r="BH176" s="60" t="str">
        <f t="shared" si="2"/>
        <v>Ver en Mapa</v>
      </c>
      <c r="BK176" s="70">
        <v>1</v>
      </c>
      <c r="BL176" s="70">
        <v>1</v>
      </c>
      <c r="BM176" s="70" t="s">
        <v>2847</v>
      </c>
    </row>
    <row r="177" spans="1:65" s="68" customFormat="1" ht="14.4" customHeight="1" x14ac:dyDescent="0.3">
      <c r="A177" s="70" t="str">
        <f>H177</f>
        <v>001079</v>
      </c>
      <c r="B177" s="70" t="s">
        <v>61</v>
      </c>
      <c r="C177" s="70" t="s">
        <v>205</v>
      </c>
      <c r="D177" s="70" t="s">
        <v>408</v>
      </c>
      <c r="E177" s="70" t="s">
        <v>409</v>
      </c>
      <c r="F177" s="70" t="s">
        <v>590</v>
      </c>
      <c r="G177" s="70" t="s">
        <v>2763</v>
      </c>
      <c r="H177" s="70" t="s">
        <v>2338</v>
      </c>
      <c r="I177" s="70" t="s">
        <v>76</v>
      </c>
      <c r="J177" s="70" t="s">
        <v>247</v>
      </c>
      <c r="K177" s="71">
        <v>45848</v>
      </c>
      <c r="L177" s="71">
        <v>46213</v>
      </c>
      <c r="M177" s="72">
        <v>42000</v>
      </c>
      <c r="N177" s="72">
        <v>44243.13</v>
      </c>
      <c r="O177" s="73">
        <v>0</v>
      </c>
      <c r="P177" s="73">
        <v>12</v>
      </c>
      <c r="Q177" s="70" t="s">
        <v>68</v>
      </c>
      <c r="R177" s="72">
        <v>6153.78</v>
      </c>
      <c r="S177" s="72">
        <v>696</v>
      </c>
      <c r="T177" s="72">
        <v>0</v>
      </c>
      <c r="U177" s="72">
        <v>0</v>
      </c>
      <c r="V177" s="72">
        <v>0</v>
      </c>
      <c r="W177" s="72">
        <v>33182.35</v>
      </c>
      <c r="X177" s="72">
        <v>0</v>
      </c>
      <c r="Y177" s="72">
        <v>0</v>
      </c>
      <c r="Z177" s="72">
        <v>0</v>
      </c>
      <c r="AA177" s="74">
        <v>0</v>
      </c>
      <c r="AB177" s="72">
        <v>0</v>
      </c>
      <c r="AC177" s="72">
        <v>6734</v>
      </c>
      <c r="AD177" s="71">
        <v>45940</v>
      </c>
      <c r="AE177" s="70" t="s">
        <v>69</v>
      </c>
      <c r="AF177" s="70" t="s">
        <v>2339</v>
      </c>
      <c r="AG177" s="70" t="s">
        <v>248</v>
      </c>
      <c r="AI177" s="70" t="s">
        <v>89</v>
      </c>
      <c r="AJ177" s="70" t="s">
        <v>90</v>
      </c>
      <c r="AK177" s="70" t="s">
        <v>249</v>
      </c>
      <c r="AM177" s="70" t="s">
        <v>1597</v>
      </c>
      <c r="AN177" s="70" t="s">
        <v>2340</v>
      </c>
      <c r="AO177" s="70" t="s">
        <v>1598</v>
      </c>
      <c r="AP177" s="70" t="s">
        <v>2341</v>
      </c>
      <c r="AQ177" s="70" t="s">
        <v>1599</v>
      </c>
      <c r="AR177" s="70" t="s">
        <v>2342</v>
      </c>
      <c r="AS177" s="70" t="s">
        <v>122</v>
      </c>
      <c r="AT177" s="68" t="s">
        <v>1623</v>
      </c>
      <c r="AU177" s="70" t="s">
        <v>250</v>
      </c>
      <c r="AY177" s="72">
        <v>54861.380000000005</v>
      </c>
      <c r="AZ177" s="72">
        <v>0.65749999999999997</v>
      </c>
      <c r="BA177" s="70" t="s">
        <v>76</v>
      </c>
      <c r="BB177" s="70" t="s">
        <v>1600</v>
      </c>
      <c r="BC177" s="70" t="s">
        <v>3026</v>
      </c>
      <c r="BD177" s="70" t="s">
        <v>251</v>
      </c>
      <c r="BE177" s="70" t="s">
        <v>213</v>
      </c>
      <c r="BF177" s="70" t="s">
        <v>205</v>
      </c>
      <c r="BG177" s="70" t="s">
        <v>1601</v>
      </c>
      <c r="BH177" s="60" t="str">
        <f t="shared" si="2"/>
        <v>Ver en Mapa</v>
      </c>
      <c r="BK177" s="70">
        <v>1</v>
      </c>
      <c r="BL177" s="70">
        <v>1</v>
      </c>
      <c r="BM177" s="70" t="s">
        <v>2847</v>
      </c>
    </row>
    <row r="178" spans="1:65" s="68" customFormat="1" ht="14.4" customHeight="1" x14ac:dyDescent="0.3">
      <c r="A178" s="70" t="str">
        <f>H178</f>
        <v>001601</v>
      </c>
      <c r="B178" s="70" t="s">
        <v>61</v>
      </c>
      <c r="C178" s="70" t="s">
        <v>205</v>
      </c>
      <c r="D178" s="70" t="s">
        <v>2332</v>
      </c>
      <c r="E178" s="70" t="s">
        <v>1756</v>
      </c>
      <c r="F178" s="70" t="s">
        <v>590</v>
      </c>
      <c r="G178" s="70" t="s">
        <v>2763</v>
      </c>
      <c r="H178" s="70" t="s">
        <v>2355</v>
      </c>
      <c r="I178" s="70" t="s">
        <v>67</v>
      </c>
      <c r="J178" s="70" t="s">
        <v>1757</v>
      </c>
      <c r="K178" s="71">
        <v>45861</v>
      </c>
      <c r="L178" s="71">
        <v>46226</v>
      </c>
      <c r="M178" s="72">
        <v>10000</v>
      </c>
      <c r="N178" s="72">
        <v>10534.08</v>
      </c>
      <c r="O178" s="73">
        <v>0</v>
      </c>
      <c r="P178" s="73">
        <v>12</v>
      </c>
      <c r="Q178" s="70" t="s">
        <v>68</v>
      </c>
      <c r="R178" s="72">
        <v>1702.69</v>
      </c>
      <c r="S178" s="72">
        <v>696</v>
      </c>
      <c r="T178" s="72">
        <v>0</v>
      </c>
      <c r="U178" s="72">
        <v>0</v>
      </c>
      <c r="V178" s="72">
        <v>0</v>
      </c>
      <c r="W178" s="72">
        <v>8778.4</v>
      </c>
      <c r="X178" s="72">
        <v>0</v>
      </c>
      <c r="Y178" s="72">
        <v>0</v>
      </c>
      <c r="Z178" s="72">
        <v>0</v>
      </c>
      <c r="AA178" s="74">
        <v>0</v>
      </c>
      <c r="AB178" s="72">
        <v>0</v>
      </c>
      <c r="AC178" s="72">
        <v>1703</v>
      </c>
      <c r="AD178" s="71">
        <v>45922</v>
      </c>
      <c r="AE178" s="70" t="s">
        <v>69</v>
      </c>
      <c r="AF178" s="70" t="s">
        <v>2356</v>
      </c>
      <c r="AG178" s="70" t="s">
        <v>1758</v>
      </c>
      <c r="AI178" s="70" t="s">
        <v>192</v>
      </c>
      <c r="AJ178" s="70" t="s">
        <v>193</v>
      </c>
      <c r="AM178" s="70" t="s">
        <v>1759</v>
      </c>
      <c r="AN178" s="70" t="s">
        <v>2357</v>
      </c>
      <c r="AO178" s="70" t="s">
        <v>1760</v>
      </c>
      <c r="AP178" s="70" t="s">
        <v>2358</v>
      </c>
      <c r="AQ178" s="70" t="s">
        <v>1761</v>
      </c>
      <c r="AR178" s="70" t="s">
        <v>2359</v>
      </c>
      <c r="AY178" s="72">
        <v>16446.3</v>
      </c>
      <c r="AZ178" s="72">
        <v>0.62</v>
      </c>
      <c r="BA178" s="70" t="s">
        <v>67</v>
      </c>
      <c r="BB178" s="70" t="s">
        <v>1044</v>
      </c>
      <c r="BC178" s="70" t="s">
        <v>2952</v>
      </c>
      <c r="BD178" s="70" t="s">
        <v>1762</v>
      </c>
      <c r="BE178" s="70" t="s">
        <v>213</v>
      </c>
      <c r="BF178" s="70" t="s">
        <v>205</v>
      </c>
      <c r="BG178" s="70" t="s">
        <v>2580</v>
      </c>
      <c r="BH178" s="60" t="str">
        <f t="shared" si="2"/>
        <v>Ver en Mapa</v>
      </c>
      <c r="BK178" s="70">
        <v>0</v>
      </c>
      <c r="BL178" s="70">
        <v>0</v>
      </c>
      <c r="BM178" s="70" t="s">
        <v>2847</v>
      </c>
    </row>
    <row r="179" spans="1:65" s="68" customFormat="1" ht="14.4" customHeight="1" x14ac:dyDescent="0.3">
      <c r="A179" s="70" t="str">
        <f>H179</f>
        <v>001582</v>
      </c>
      <c r="B179" s="70" t="s">
        <v>61</v>
      </c>
      <c r="C179" s="70" t="s">
        <v>205</v>
      </c>
      <c r="D179" s="70" t="s">
        <v>2332</v>
      </c>
      <c r="E179" s="70" t="s">
        <v>1756</v>
      </c>
      <c r="F179" s="70" t="s">
        <v>590</v>
      </c>
      <c r="G179" s="70" t="s">
        <v>2763</v>
      </c>
      <c r="H179" s="70" t="s">
        <v>2343</v>
      </c>
      <c r="I179" s="70" t="s">
        <v>67</v>
      </c>
      <c r="J179" s="70" t="s">
        <v>1791</v>
      </c>
      <c r="K179" s="71">
        <v>45863</v>
      </c>
      <c r="L179" s="71">
        <v>46228</v>
      </c>
      <c r="M179" s="72">
        <v>10000</v>
      </c>
      <c r="N179" s="72">
        <v>10534.08</v>
      </c>
      <c r="O179" s="73">
        <v>0</v>
      </c>
      <c r="P179" s="73">
        <v>12</v>
      </c>
      <c r="Q179" s="70" t="s">
        <v>68</v>
      </c>
      <c r="R179" s="72">
        <v>1702.69</v>
      </c>
      <c r="S179" s="72">
        <v>696</v>
      </c>
      <c r="T179" s="72">
        <v>0</v>
      </c>
      <c r="U179" s="72">
        <v>0</v>
      </c>
      <c r="V179" s="72">
        <v>0</v>
      </c>
      <c r="W179" s="72">
        <v>8778.4</v>
      </c>
      <c r="X179" s="72">
        <v>0</v>
      </c>
      <c r="Y179" s="72">
        <v>0</v>
      </c>
      <c r="Z179" s="72">
        <v>0</v>
      </c>
      <c r="AA179" s="74">
        <v>0</v>
      </c>
      <c r="AB179" s="72">
        <v>0</v>
      </c>
      <c r="AC179" s="72">
        <v>1703</v>
      </c>
      <c r="AD179" s="71">
        <v>45925</v>
      </c>
      <c r="AE179" s="70" t="s">
        <v>69</v>
      </c>
      <c r="AF179" s="70" t="s">
        <v>2344</v>
      </c>
      <c r="AG179" s="70" t="s">
        <v>1792</v>
      </c>
      <c r="AI179" s="70" t="s">
        <v>192</v>
      </c>
      <c r="AJ179" s="70" t="s">
        <v>193</v>
      </c>
      <c r="AK179" s="70" t="s">
        <v>1793</v>
      </c>
      <c r="AM179" s="70" t="s">
        <v>1786</v>
      </c>
      <c r="AN179" s="70" t="s">
        <v>2345</v>
      </c>
      <c r="AO179" s="70" t="s">
        <v>1787</v>
      </c>
      <c r="AP179" s="70" t="s">
        <v>2336</v>
      </c>
      <c r="AQ179" s="70" t="s">
        <v>1788</v>
      </c>
      <c r="AR179" s="70" t="s">
        <v>2346</v>
      </c>
      <c r="AY179" s="72">
        <v>16446.61</v>
      </c>
      <c r="AZ179" s="72">
        <v>0.31</v>
      </c>
      <c r="BA179" s="70" t="s">
        <v>67</v>
      </c>
      <c r="BB179" s="70" t="s">
        <v>1044</v>
      </c>
      <c r="BC179" s="70" t="s">
        <v>1794</v>
      </c>
      <c r="BD179" s="70" t="s">
        <v>1795</v>
      </c>
      <c r="BE179" s="70" t="s">
        <v>213</v>
      </c>
      <c r="BF179" s="70" t="s">
        <v>205</v>
      </c>
      <c r="BG179" s="70" t="s">
        <v>1796</v>
      </c>
      <c r="BH179" s="60" t="str">
        <f t="shared" si="2"/>
        <v>Ver en Mapa</v>
      </c>
      <c r="BK179" s="70">
        <v>0</v>
      </c>
      <c r="BL179" s="70">
        <v>0</v>
      </c>
      <c r="BM179" s="70" t="s">
        <v>2847</v>
      </c>
    </row>
    <row r="180" spans="1:65" s="68" customFormat="1" ht="14.4" customHeight="1" x14ac:dyDescent="0.3">
      <c r="A180" s="70" t="str">
        <f>H180</f>
        <v>001277</v>
      </c>
      <c r="B180" s="70" t="s">
        <v>61</v>
      </c>
      <c r="C180" s="70" t="s">
        <v>205</v>
      </c>
      <c r="D180" s="70" t="s">
        <v>408</v>
      </c>
      <c r="E180" s="70" t="s">
        <v>409</v>
      </c>
      <c r="F180" s="70" t="s">
        <v>590</v>
      </c>
      <c r="G180" s="70" t="s">
        <v>2763</v>
      </c>
      <c r="H180" s="70" t="s">
        <v>2308</v>
      </c>
      <c r="I180" s="70" t="s">
        <v>67</v>
      </c>
      <c r="J180" s="70" t="s">
        <v>471</v>
      </c>
      <c r="K180" s="71">
        <v>45775</v>
      </c>
      <c r="L180" s="71">
        <v>46140</v>
      </c>
      <c r="M180" s="72">
        <v>10000</v>
      </c>
      <c r="N180" s="72">
        <v>10534.08</v>
      </c>
      <c r="O180" s="73">
        <v>0</v>
      </c>
      <c r="P180" s="73">
        <v>12</v>
      </c>
      <c r="Q180" s="70" t="s">
        <v>68</v>
      </c>
      <c r="R180" s="72">
        <v>1702.69</v>
      </c>
      <c r="S180" s="72">
        <v>696</v>
      </c>
      <c r="T180" s="72">
        <v>0</v>
      </c>
      <c r="U180" s="72">
        <v>0</v>
      </c>
      <c r="V180" s="72">
        <v>0</v>
      </c>
      <c r="W180" s="72">
        <v>6144.88</v>
      </c>
      <c r="X180" s="72">
        <v>0</v>
      </c>
      <c r="Y180" s="72">
        <v>0</v>
      </c>
      <c r="Z180" s="72">
        <v>0</v>
      </c>
      <c r="AA180" s="74">
        <v>0</v>
      </c>
      <c r="AB180" s="72">
        <v>0</v>
      </c>
      <c r="AC180" s="72">
        <v>1702.69</v>
      </c>
      <c r="AD180" s="71">
        <v>45928</v>
      </c>
      <c r="AE180" s="70" t="s">
        <v>69</v>
      </c>
      <c r="AF180" s="70" t="s">
        <v>472</v>
      </c>
      <c r="AG180" s="70" t="s">
        <v>573</v>
      </c>
      <c r="AI180" s="70" t="s">
        <v>121</v>
      </c>
      <c r="AJ180" s="70" t="s">
        <v>1901</v>
      </c>
      <c r="AK180" s="70" t="s">
        <v>473</v>
      </c>
      <c r="AL180" s="70" t="s">
        <v>472</v>
      </c>
      <c r="AM180" s="70" t="s">
        <v>903</v>
      </c>
      <c r="AN180" s="70" t="s">
        <v>463</v>
      </c>
      <c r="AO180" s="70" t="s">
        <v>901</v>
      </c>
      <c r="AP180" s="70" t="s">
        <v>2309</v>
      </c>
      <c r="AQ180" s="70" t="s">
        <v>902</v>
      </c>
      <c r="AR180" s="70" t="s">
        <v>2310</v>
      </c>
      <c r="AY180" s="72">
        <v>11512.58</v>
      </c>
      <c r="AZ180" s="72">
        <v>0.26118666666666701</v>
      </c>
      <c r="BA180" s="70" t="s">
        <v>67</v>
      </c>
      <c r="BB180" s="70" t="s">
        <v>1044</v>
      </c>
      <c r="BC180" s="70" t="s">
        <v>2956</v>
      </c>
      <c r="BD180" s="70" t="s">
        <v>474</v>
      </c>
      <c r="BE180" s="70" t="s">
        <v>213</v>
      </c>
      <c r="BF180" s="70" t="s">
        <v>205</v>
      </c>
      <c r="BH180" s="60" t="str">
        <f t="shared" si="2"/>
        <v>Ver en Mapa</v>
      </c>
      <c r="BK180" s="70">
        <v>0</v>
      </c>
      <c r="BL180" s="70">
        <v>0</v>
      </c>
      <c r="BM180" s="70" t="s">
        <v>2847</v>
      </c>
    </row>
    <row r="181" spans="1:65" s="68" customFormat="1" ht="14.4" customHeight="1" x14ac:dyDescent="0.3">
      <c r="A181" s="70" t="str">
        <f>H181</f>
        <v>001275</v>
      </c>
      <c r="B181" s="70" t="s">
        <v>61</v>
      </c>
      <c r="C181" s="70" t="s">
        <v>205</v>
      </c>
      <c r="D181" s="70" t="s">
        <v>408</v>
      </c>
      <c r="E181" s="70" t="s">
        <v>409</v>
      </c>
      <c r="F181" s="70" t="s">
        <v>590</v>
      </c>
      <c r="G181" s="70" t="s">
        <v>2763</v>
      </c>
      <c r="H181" s="70" t="s">
        <v>2311</v>
      </c>
      <c r="I181" s="70" t="s">
        <v>67</v>
      </c>
      <c r="J181" s="70" t="s">
        <v>477</v>
      </c>
      <c r="K181" s="71">
        <v>45775</v>
      </c>
      <c r="L181" s="71">
        <v>45958</v>
      </c>
      <c r="M181" s="72">
        <v>6000</v>
      </c>
      <c r="N181" s="72">
        <v>6320.45</v>
      </c>
      <c r="O181" s="73">
        <v>0</v>
      </c>
      <c r="P181" s="73">
        <v>6</v>
      </c>
      <c r="Q181" s="70" t="s">
        <v>68</v>
      </c>
      <c r="R181" s="72">
        <v>1572.78</v>
      </c>
      <c r="S181" s="72">
        <v>348</v>
      </c>
      <c r="T181" s="72">
        <v>0</v>
      </c>
      <c r="U181" s="72">
        <v>0</v>
      </c>
      <c r="V181" s="72">
        <v>0</v>
      </c>
      <c r="W181" s="72">
        <v>1053.4100000000001</v>
      </c>
      <c r="X181" s="72">
        <v>0</v>
      </c>
      <c r="Y181" s="72">
        <v>0</v>
      </c>
      <c r="Z181" s="72">
        <v>0</v>
      </c>
      <c r="AA181" s="74">
        <v>0</v>
      </c>
      <c r="AB181" s="72">
        <v>0</v>
      </c>
      <c r="AC181" s="72">
        <v>1573</v>
      </c>
      <c r="AD181" s="71">
        <v>45929</v>
      </c>
      <c r="AE181" s="70" t="s">
        <v>69</v>
      </c>
      <c r="AF181" s="70" t="s">
        <v>2312</v>
      </c>
      <c r="AG181" s="70" t="s">
        <v>511</v>
      </c>
      <c r="AI181" s="70" t="s">
        <v>283</v>
      </c>
      <c r="AJ181" s="70" t="s">
        <v>284</v>
      </c>
      <c r="AM181" s="70" t="s">
        <v>909</v>
      </c>
      <c r="AN181" s="70" t="s">
        <v>2313</v>
      </c>
      <c r="AO181" s="70" t="s">
        <v>907</v>
      </c>
      <c r="AP181" s="70" t="s">
        <v>2314</v>
      </c>
      <c r="AQ181" s="70" t="s">
        <v>908</v>
      </c>
      <c r="AR181" s="70" t="s">
        <v>2315</v>
      </c>
      <c r="AY181" s="72">
        <v>1487.1200000000001</v>
      </c>
      <c r="AZ181" s="72">
        <v>27.659424166666657</v>
      </c>
      <c r="BA181" s="70" t="s">
        <v>67</v>
      </c>
      <c r="BB181" s="70" t="s">
        <v>1044</v>
      </c>
      <c r="BC181" s="70" t="s">
        <v>2939</v>
      </c>
      <c r="BD181" s="70" t="s">
        <v>478</v>
      </c>
      <c r="BE181" s="70" t="s">
        <v>213</v>
      </c>
      <c r="BF181" s="70" t="s">
        <v>205</v>
      </c>
      <c r="BH181" s="60" t="str">
        <f t="shared" si="2"/>
        <v>Ver en Mapa</v>
      </c>
      <c r="BK181" s="70">
        <v>1</v>
      </c>
      <c r="BL181" s="70">
        <v>1</v>
      </c>
      <c r="BM181" s="70" t="s">
        <v>2847</v>
      </c>
    </row>
    <row r="182" spans="1:65" s="68" customFormat="1" ht="14.4" customHeight="1" x14ac:dyDescent="0.3">
      <c r="A182" s="70" t="str">
        <f>H182</f>
        <v>001173</v>
      </c>
      <c r="B182" s="70" t="s">
        <v>61</v>
      </c>
      <c r="C182" s="70" t="s">
        <v>205</v>
      </c>
      <c r="D182" s="70" t="s">
        <v>259</v>
      </c>
      <c r="E182" s="70" t="s">
        <v>260</v>
      </c>
      <c r="F182" s="70" t="s">
        <v>590</v>
      </c>
      <c r="G182" s="70" t="s">
        <v>2763</v>
      </c>
      <c r="H182" s="70" t="s">
        <v>2302</v>
      </c>
      <c r="I182" s="70" t="s">
        <v>67</v>
      </c>
      <c r="J182" s="70" t="s">
        <v>268</v>
      </c>
      <c r="K182" s="71">
        <v>45684</v>
      </c>
      <c r="L182" s="71">
        <v>46414</v>
      </c>
      <c r="M182" s="72">
        <v>200000</v>
      </c>
      <c r="N182" s="72">
        <v>210681.55000000002</v>
      </c>
      <c r="O182" s="73">
        <v>0</v>
      </c>
      <c r="P182" s="73">
        <v>24</v>
      </c>
      <c r="Q182" s="70" t="s">
        <v>68</v>
      </c>
      <c r="R182" s="72">
        <v>21935.21</v>
      </c>
      <c r="S182" s="72">
        <v>1392</v>
      </c>
      <c r="T182" s="72">
        <v>0</v>
      </c>
      <c r="U182" s="72">
        <v>0</v>
      </c>
      <c r="V182" s="72">
        <v>0</v>
      </c>
      <c r="W182" s="72">
        <v>180739.14</v>
      </c>
      <c r="X182" s="72">
        <v>0</v>
      </c>
      <c r="Y182" s="72">
        <v>0</v>
      </c>
      <c r="Z182" s="72">
        <v>0</v>
      </c>
      <c r="AA182" s="74">
        <v>0</v>
      </c>
      <c r="AB182" s="72">
        <v>0</v>
      </c>
      <c r="AC182" s="72">
        <v>21935.21</v>
      </c>
      <c r="AD182" s="71">
        <v>45929</v>
      </c>
      <c r="AE182" s="70" t="s">
        <v>69</v>
      </c>
      <c r="AF182" s="70" t="s">
        <v>2303</v>
      </c>
      <c r="AG182" s="70" t="s">
        <v>269</v>
      </c>
      <c r="AI182" s="70" t="s">
        <v>270</v>
      </c>
      <c r="AJ182" s="70" t="s">
        <v>2304</v>
      </c>
      <c r="AM182" s="70" t="s">
        <v>893</v>
      </c>
      <c r="AN182" s="70" t="s">
        <v>2305</v>
      </c>
      <c r="AO182" s="70" t="s">
        <v>891</v>
      </c>
      <c r="AP182" s="70" t="s">
        <v>2306</v>
      </c>
      <c r="AQ182" s="70" t="s">
        <v>892</v>
      </c>
      <c r="AR182" s="70" t="s">
        <v>2307</v>
      </c>
      <c r="AS182" s="70" t="s">
        <v>122</v>
      </c>
      <c r="AT182" s="68" t="s">
        <v>271</v>
      </c>
      <c r="AU182" s="70" t="s">
        <v>272</v>
      </c>
      <c r="AY182" s="72">
        <v>180735.2</v>
      </c>
      <c r="AZ182" s="72">
        <v>3.94</v>
      </c>
      <c r="BA182" s="70" t="s">
        <v>135</v>
      </c>
      <c r="BB182" s="70" t="s">
        <v>136</v>
      </c>
      <c r="BC182" s="70" t="s">
        <v>3027</v>
      </c>
      <c r="BD182" s="70" t="s">
        <v>267</v>
      </c>
      <c r="BE182" s="70" t="s">
        <v>213</v>
      </c>
      <c r="BF182" s="70" t="s">
        <v>205</v>
      </c>
      <c r="BH182" s="60" t="str">
        <f t="shared" si="2"/>
        <v>Ver en Mapa</v>
      </c>
      <c r="BK182" s="70">
        <v>0</v>
      </c>
      <c r="BL182" s="70">
        <v>0</v>
      </c>
      <c r="BM182" s="70" t="s">
        <v>2847</v>
      </c>
    </row>
    <row r="183" spans="1:65" s="68" customFormat="1" ht="14.4" customHeight="1" x14ac:dyDescent="0.3">
      <c r="A183" s="70" t="str">
        <f>H183</f>
        <v>001314</v>
      </c>
      <c r="B183" s="70" t="s">
        <v>61</v>
      </c>
      <c r="C183" s="70" t="s">
        <v>205</v>
      </c>
      <c r="D183" s="70" t="s">
        <v>408</v>
      </c>
      <c r="E183" s="70" t="s">
        <v>409</v>
      </c>
      <c r="F183" s="70" t="s">
        <v>590</v>
      </c>
      <c r="G183" s="70" t="s">
        <v>2763</v>
      </c>
      <c r="H183" s="70" t="s">
        <v>2326</v>
      </c>
      <c r="I183" s="70" t="s">
        <v>67</v>
      </c>
      <c r="J183" s="70" t="s">
        <v>578</v>
      </c>
      <c r="K183" s="71">
        <v>45791</v>
      </c>
      <c r="L183" s="71">
        <v>46158</v>
      </c>
      <c r="M183" s="72">
        <v>10000</v>
      </c>
      <c r="N183" s="72">
        <v>10534.08</v>
      </c>
      <c r="O183" s="73">
        <v>0</v>
      </c>
      <c r="P183" s="73">
        <v>12</v>
      </c>
      <c r="Q183" s="70" t="s">
        <v>68</v>
      </c>
      <c r="R183" s="72">
        <v>1702.69</v>
      </c>
      <c r="S183" s="72">
        <v>696</v>
      </c>
      <c r="T183" s="72">
        <v>0</v>
      </c>
      <c r="U183" s="72">
        <v>0</v>
      </c>
      <c r="V183" s="72">
        <v>0</v>
      </c>
      <c r="W183" s="72">
        <v>7022.77</v>
      </c>
      <c r="X183" s="72">
        <v>0.05</v>
      </c>
      <c r="Y183" s="72">
        <v>0.05</v>
      </c>
      <c r="Z183" s="72">
        <v>0</v>
      </c>
      <c r="AA183" s="72">
        <v>0</v>
      </c>
      <c r="AB183" s="72">
        <v>0</v>
      </c>
      <c r="AC183" s="72">
        <v>1702.65</v>
      </c>
      <c r="AD183" s="71">
        <v>45917</v>
      </c>
      <c r="AE183" s="70" t="s">
        <v>69</v>
      </c>
      <c r="AF183" s="70" t="s">
        <v>2327</v>
      </c>
      <c r="AG183" s="70" t="s">
        <v>579</v>
      </c>
      <c r="AI183" s="70" t="s">
        <v>580</v>
      </c>
      <c r="AJ183" s="70" t="s">
        <v>2328</v>
      </c>
      <c r="AM183" s="70" t="s">
        <v>918</v>
      </c>
      <c r="AN183" s="70" t="s">
        <v>2329</v>
      </c>
      <c r="AO183" s="70" t="s">
        <v>916</v>
      </c>
      <c r="AP183" s="70" t="s">
        <v>2330</v>
      </c>
      <c r="AQ183" s="70" t="s">
        <v>917</v>
      </c>
      <c r="AR183" s="70" t="s">
        <v>2331</v>
      </c>
      <c r="AY183" s="72">
        <v>13157.58</v>
      </c>
      <c r="AZ183" s="72">
        <v>0</v>
      </c>
      <c r="BA183" s="70" t="s">
        <v>67</v>
      </c>
      <c r="BB183" s="70" t="s">
        <v>1044</v>
      </c>
      <c r="BC183" s="70" t="s">
        <v>3028</v>
      </c>
      <c r="BD183" s="70" t="s">
        <v>581</v>
      </c>
      <c r="BE183" s="70" t="s">
        <v>213</v>
      </c>
      <c r="BF183" s="70" t="s">
        <v>582</v>
      </c>
      <c r="BH183" s="60" t="str">
        <f t="shared" si="2"/>
        <v>Ver en Mapa</v>
      </c>
      <c r="BK183" s="70">
        <v>0</v>
      </c>
      <c r="BL183" s="70">
        <v>0</v>
      </c>
      <c r="BM183" s="70" t="s">
        <v>2847</v>
      </c>
    </row>
    <row r="184" spans="1:65" s="68" customFormat="1" ht="14.4" customHeight="1" x14ac:dyDescent="0.3">
      <c r="A184" s="70" t="str">
        <f>H184</f>
        <v>001083</v>
      </c>
      <c r="B184" s="70" t="s">
        <v>61</v>
      </c>
      <c r="C184" s="70" t="s">
        <v>273</v>
      </c>
      <c r="D184" s="70" t="s">
        <v>408</v>
      </c>
      <c r="E184" s="70" t="s">
        <v>409</v>
      </c>
      <c r="F184" s="70" t="s">
        <v>408</v>
      </c>
      <c r="G184" s="70" t="s">
        <v>409</v>
      </c>
      <c r="H184" s="70" t="s">
        <v>2063</v>
      </c>
      <c r="I184" s="70" t="s">
        <v>123</v>
      </c>
      <c r="J184" s="70" t="s">
        <v>2064</v>
      </c>
      <c r="K184" s="71">
        <v>45939</v>
      </c>
      <c r="L184" s="71">
        <v>46096</v>
      </c>
      <c r="M184" s="72">
        <v>5846.95</v>
      </c>
      <c r="N184" s="72">
        <v>5846.95</v>
      </c>
      <c r="O184" s="73">
        <v>0</v>
      </c>
      <c r="P184" s="73">
        <v>5</v>
      </c>
      <c r="Q184" s="70" t="s">
        <v>68</v>
      </c>
      <c r="R184" s="72">
        <v>5846.95</v>
      </c>
      <c r="S184" s="72">
        <v>0</v>
      </c>
      <c r="T184" s="72">
        <v>0</v>
      </c>
      <c r="U184" s="72">
        <v>0</v>
      </c>
      <c r="V184" s="72">
        <v>0</v>
      </c>
      <c r="W184" s="72">
        <v>5846.95</v>
      </c>
      <c r="X184" s="72">
        <v>0</v>
      </c>
      <c r="Y184" s="72">
        <v>0</v>
      </c>
      <c r="Z184" s="72">
        <v>0</v>
      </c>
      <c r="AA184" s="72">
        <v>0</v>
      </c>
      <c r="AB184" s="72">
        <v>0</v>
      </c>
      <c r="AE184" s="70" t="s">
        <v>69</v>
      </c>
      <c r="AF184" s="70" t="s">
        <v>2764</v>
      </c>
      <c r="AG184" s="70" t="s">
        <v>2765</v>
      </c>
      <c r="AI184" s="70" t="s">
        <v>2065</v>
      </c>
      <c r="AJ184" s="70" t="s">
        <v>2066</v>
      </c>
      <c r="AY184" s="72">
        <v>5846.95</v>
      </c>
      <c r="AZ184" s="72">
        <v>0</v>
      </c>
      <c r="BA184" s="70" t="s">
        <v>280</v>
      </c>
      <c r="BB184" s="70" t="s">
        <v>281</v>
      </c>
      <c r="BC184" s="70" t="s">
        <v>2951</v>
      </c>
      <c r="BD184" s="70" t="s">
        <v>295</v>
      </c>
      <c r="BE184" s="70" t="s">
        <v>74</v>
      </c>
      <c r="BF184" s="70" t="s">
        <v>296</v>
      </c>
      <c r="BH184" s="60" t="str">
        <f t="shared" si="2"/>
        <v>Ver en Mapa</v>
      </c>
      <c r="BK184" s="70">
        <v>0</v>
      </c>
      <c r="BL184" s="70">
        <v>0</v>
      </c>
      <c r="BM184" s="70" t="s">
        <v>2847</v>
      </c>
    </row>
    <row r="185" spans="1:65" s="68" customFormat="1" ht="14.4" customHeight="1" x14ac:dyDescent="0.3">
      <c r="A185" s="70" t="str">
        <f>H185</f>
        <v>003414</v>
      </c>
      <c r="B185" s="70" t="s">
        <v>61</v>
      </c>
      <c r="C185" s="70" t="s">
        <v>273</v>
      </c>
      <c r="D185" s="70" t="s">
        <v>408</v>
      </c>
      <c r="E185" s="70" t="s">
        <v>409</v>
      </c>
      <c r="F185" s="70" t="s">
        <v>408</v>
      </c>
      <c r="G185" s="70" t="s">
        <v>409</v>
      </c>
      <c r="H185" s="70" t="s">
        <v>2911</v>
      </c>
      <c r="I185" s="70" t="s">
        <v>67</v>
      </c>
      <c r="J185" s="70" t="s">
        <v>2912</v>
      </c>
      <c r="K185" s="71">
        <v>45933</v>
      </c>
      <c r="L185" s="71">
        <v>46006</v>
      </c>
      <c r="M185" s="72">
        <v>65000</v>
      </c>
      <c r="N185" s="72">
        <v>65000</v>
      </c>
      <c r="O185" s="73">
        <v>0</v>
      </c>
      <c r="P185" s="73">
        <v>4</v>
      </c>
      <c r="Q185" s="70" t="s">
        <v>453</v>
      </c>
      <c r="R185" s="72">
        <v>16735.37</v>
      </c>
      <c r="S185" s="72">
        <v>240</v>
      </c>
      <c r="T185" s="72">
        <v>0</v>
      </c>
      <c r="U185" s="72">
        <v>0</v>
      </c>
      <c r="V185" s="72">
        <v>0</v>
      </c>
      <c r="W185" s="72">
        <v>65000</v>
      </c>
      <c r="X185" s="72">
        <v>0</v>
      </c>
      <c r="Y185" s="72">
        <v>0</v>
      </c>
      <c r="Z185" s="72">
        <v>0</v>
      </c>
      <c r="AA185" s="72">
        <v>0</v>
      </c>
      <c r="AB185" s="72">
        <v>0</v>
      </c>
      <c r="AE185" s="70" t="s">
        <v>69</v>
      </c>
      <c r="AF185" s="70" t="s">
        <v>2914</v>
      </c>
      <c r="AG185" s="70" t="s">
        <v>2915</v>
      </c>
      <c r="AI185" s="70" t="s">
        <v>283</v>
      </c>
      <c r="AJ185" s="70" t="s">
        <v>284</v>
      </c>
      <c r="AY185" s="72">
        <v>65000</v>
      </c>
      <c r="AZ185" s="72">
        <v>0</v>
      </c>
      <c r="BA185" s="70" t="s">
        <v>280</v>
      </c>
      <c r="BB185" s="70" t="s">
        <v>281</v>
      </c>
      <c r="BC185" s="70" t="s">
        <v>2916</v>
      </c>
      <c r="BD185" s="70" t="s">
        <v>2917</v>
      </c>
      <c r="BE185" s="70" t="s">
        <v>2762</v>
      </c>
      <c r="BF185" s="70" t="s">
        <v>2762</v>
      </c>
      <c r="BH185" s="60" t="str">
        <f t="shared" si="2"/>
        <v>Ver en Mapa</v>
      </c>
      <c r="BK185" s="70">
        <v>0</v>
      </c>
      <c r="BL185" s="70">
        <v>0</v>
      </c>
      <c r="BM185" s="70" t="s">
        <v>2847</v>
      </c>
    </row>
    <row r="186" spans="1:65" s="68" customFormat="1" ht="14.4" customHeight="1" x14ac:dyDescent="0.3">
      <c r="A186" s="70" t="str">
        <f>H186</f>
        <v>001073</v>
      </c>
      <c r="B186" s="70" t="s">
        <v>61</v>
      </c>
      <c r="C186" s="70" t="s">
        <v>273</v>
      </c>
      <c r="D186" s="70" t="s">
        <v>408</v>
      </c>
      <c r="E186" s="70" t="s">
        <v>409</v>
      </c>
      <c r="F186" s="70" t="s">
        <v>408</v>
      </c>
      <c r="G186" s="70" t="s">
        <v>409</v>
      </c>
      <c r="H186" s="70" t="s">
        <v>2756</v>
      </c>
      <c r="I186" s="70" t="s">
        <v>67</v>
      </c>
      <c r="J186" s="70" t="s">
        <v>2757</v>
      </c>
      <c r="K186" s="71">
        <v>45884</v>
      </c>
      <c r="L186" s="71">
        <v>46068</v>
      </c>
      <c r="M186" s="72">
        <v>7000</v>
      </c>
      <c r="N186" s="72">
        <v>7000</v>
      </c>
      <c r="O186" s="73">
        <v>0</v>
      </c>
      <c r="P186" s="73">
        <v>12</v>
      </c>
      <c r="Q186" s="70" t="s">
        <v>453</v>
      </c>
      <c r="R186" s="72">
        <v>733.31000000000006</v>
      </c>
      <c r="S186" s="72">
        <v>816</v>
      </c>
      <c r="T186" s="72">
        <v>0</v>
      </c>
      <c r="U186" s="72">
        <v>0</v>
      </c>
      <c r="V186" s="72">
        <v>0</v>
      </c>
      <c r="W186" s="72">
        <v>5408.87</v>
      </c>
      <c r="X186" s="72">
        <v>0</v>
      </c>
      <c r="Y186" s="72">
        <v>0</v>
      </c>
      <c r="Z186" s="72">
        <v>0</v>
      </c>
      <c r="AA186" s="72">
        <v>0</v>
      </c>
      <c r="AB186" s="72">
        <v>0</v>
      </c>
      <c r="AC186" s="72">
        <v>733.31000000000006</v>
      </c>
      <c r="AD186" s="71">
        <v>45930</v>
      </c>
      <c r="AE186" s="70" t="s">
        <v>69</v>
      </c>
      <c r="AF186" s="70" t="s">
        <v>2758</v>
      </c>
      <c r="AG186" s="70" t="s">
        <v>2758</v>
      </c>
      <c r="AH186" s="70" t="s">
        <v>2759</v>
      </c>
      <c r="AI186" s="70" t="s">
        <v>283</v>
      </c>
      <c r="AJ186" s="70" t="s">
        <v>284</v>
      </c>
      <c r="AY186" s="72">
        <v>5408.87</v>
      </c>
      <c r="AZ186" s="72">
        <v>0</v>
      </c>
      <c r="BA186" s="70" t="s">
        <v>280</v>
      </c>
      <c r="BB186" s="70" t="s">
        <v>281</v>
      </c>
      <c r="BC186" s="70" t="s">
        <v>2760</v>
      </c>
      <c r="BD186" s="70" t="s">
        <v>2761</v>
      </c>
      <c r="BE186" s="70" t="s">
        <v>2762</v>
      </c>
      <c r="BF186" s="70" t="s">
        <v>2762</v>
      </c>
      <c r="BH186" s="60" t="str">
        <f t="shared" si="2"/>
        <v>Ver en Mapa</v>
      </c>
      <c r="BK186" s="70">
        <v>0</v>
      </c>
      <c r="BL186" s="70">
        <v>0</v>
      </c>
      <c r="BM186" s="70" t="s">
        <v>2847</v>
      </c>
    </row>
    <row r="187" spans="1:65" s="68" customFormat="1" ht="14.4" customHeight="1" x14ac:dyDescent="0.3">
      <c r="A187" s="70" t="str">
        <f>H187</f>
        <v>001083</v>
      </c>
      <c r="B187" s="70" t="s">
        <v>61</v>
      </c>
      <c r="C187" s="70" t="s">
        <v>273</v>
      </c>
      <c r="D187" s="70" t="s">
        <v>408</v>
      </c>
      <c r="E187" s="70" t="s">
        <v>409</v>
      </c>
      <c r="F187" s="70" t="s">
        <v>408</v>
      </c>
      <c r="G187" s="70" t="s">
        <v>409</v>
      </c>
      <c r="H187" s="70" t="s">
        <v>2063</v>
      </c>
      <c r="I187" s="70" t="s">
        <v>76</v>
      </c>
      <c r="J187" s="70" t="s">
        <v>2064</v>
      </c>
      <c r="K187" s="71">
        <v>45888</v>
      </c>
      <c r="L187" s="71">
        <v>46072</v>
      </c>
      <c r="M187" s="72">
        <v>30000</v>
      </c>
      <c r="N187" s="72">
        <v>30000</v>
      </c>
      <c r="O187" s="73">
        <v>0</v>
      </c>
      <c r="P187" s="73">
        <v>6</v>
      </c>
      <c r="Q187" s="70" t="s">
        <v>68</v>
      </c>
      <c r="R187" s="72">
        <v>5846.95</v>
      </c>
      <c r="S187" s="72">
        <v>558</v>
      </c>
      <c r="T187" s="72">
        <v>0</v>
      </c>
      <c r="U187" s="72">
        <v>0</v>
      </c>
      <c r="V187" s="72">
        <v>0</v>
      </c>
      <c r="W187" s="72">
        <v>25496.05</v>
      </c>
      <c r="X187" s="72">
        <v>0</v>
      </c>
      <c r="Y187" s="72">
        <v>0</v>
      </c>
      <c r="Z187" s="72">
        <v>0</v>
      </c>
      <c r="AA187" s="72">
        <v>0</v>
      </c>
      <c r="AB187" s="72">
        <v>0</v>
      </c>
      <c r="AC187" s="72">
        <v>5846.95</v>
      </c>
      <c r="AD187" s="71">
        <v>45919</v>
      </c>
      <c r="AE187" s="70" t="s">
        <v>69</v>
      </c>
      <c r="AF187" s="70" t="s">
        <v>2764</v>
      </c>
      <c r="AG187" s="70" t="s">
        <v>2765</v>
      </c>
      <c r="AI187" s="70" t="s">
        <v>2065</v>
      </c>
      <c r="AJ187" s="70" t="s">
        <v>2066</v>
      </c>
      <c r="AM187" s="70" t="s">
        <v>2067</v>
      </c>
      <c r="AN187" s="70" t="s">
        <v>2766</v>
      </c>
      <c r="AO187" s="70" t="s">
        <v>2068</v>
      </c>
      <c r="AP187" s="70" t="s">
        <v>2069</v>
      </c>
      <c r="AQ187" s="70" t="s">
        <v>2070</v>
      </c>
      <c r="AR187" s="70" t="s">
        <v>2767</v>
      </c>
      <c r="AY187" s="72">
        <v>25496.05</v>
      </c>
      <c r="AZ187" s="72">
        <v>0</v>
      </c>
      <c r="BA187" s="70" t="s">
        <v>280</v>
      </c>
      <c r="BB187" s="70" t="s">
        <v>281</v>
      </c>
      <c r="BC187" s="70" t="s">
        <v>2951</v>
      </c>
      <c r="BD187" s="70" t="s">
        <v>295</v>
      </c>
      <c r="BE187" s="70" t="s">
        <v>74</v>
      </c>
      <c r="BF187" s="70" t="s">
        <v>296</v>
      </c>
      <c r="BH187" s="60" t="str">
        <f t="shared" si="2"/>
        <v>Ver en Mapa</v>
      </c>
      <c r="BK187" s="70">
        <v>0</v>
      </c>
      <c r="BL187" s="70">
        <v>0</v>
      </c>
      <c r="BM187" s="70" t="s">
        <v>2847</v>
      </c>
    </row>
    <row r="188" spans="1:65" s="68" customFormat="1" ht="14.4" customHeight="1" x14ac:dyDescent="0.3">
      <c r="A188" s="70" t="str">
        <f>H188</f>
        <v>002369</v>
      </c>
      <c r="B188" s="70" t="s">
        <v>61</v>
      </c>
      <c r="C188" s="70" t="s">
        <v>273</v>
      </c>
      <c r="D188" s="70" t="s">
        <v>408</v>
      </c>
      <c r="E188" s="70" t="s">
        <v>409</v>
      </c>
      <c r="F188" s="70" t="s">
        <v>408</v>
      </c>
      <c r="G188" s="70" t="s">
        <v>409</v>
      </c>
      <c r="H188" s="70" t="s">
        <v>2804</v>
      </c>
      <c r="I188" s="70" t="s">
        <v>67</v>
      </c>
      <c r="J188" s="70" t="s">
        <v>2805</v>
      </c>
      <c r="K188" s="71">
        <v>45895</v>
      </c>
      <c r="L188" s="71">
        <v>46081</v>
      </c>
      <c r="M188" s="72">
        <v>10000</v>
      </c>
      <c r="N188" s="72">
        <v>10000</v>
      </c>
      <c r="O188" s="73">
        <v>0</v>
      </c>
      <c r="P188" s="73">
        <v>12</v>
      </c>
      <c r="Q188" s="70" t="s">
        <v>453</v>
      </c>
      <c r="R188" s="72">
        <v>986.61</v>
      </c>
      <c r="S188" s="72">
        <v>372</v>
      </c>
      <c r="T188" s="72">
        <v>0</v>
      </c>
      <c r="U188" s="72">
        <v>0</v>
      </c>
      <c r="V188" s="72">
        <v>0</v>
      </c>
      <c r="W188" s="72">
        <v>8546.59</v>
      </c>
      <c r="X188" s="72">
        <v>0</v>
      </c>
      <c r="Y188" s="72">
        <v>0</v>
      </c>
      <c r="Z188" s="72">
        <v>0</v>
      </c>
      <c r="AA188" s="72">
        <v>0</v>
      </c>
      <c r="AB188" s="72">
        <v>0</v>
      </c>
      <c r="AC188" s="72">
        <v>986.61</v>
      </c>
      <c r="AD188" s="71">
        <v>45930</v>
      </c>
      <c r="AE188" s="70" t="s">
        <v>69</v>
      </c>
      <c r="AF188" s="70" t="s">
        <v>2806</v>
      </c>
      <c r="AG188" s="70" t="s">
        <v>2807</v>
      </c>
      <c r="AI188" s="70" t="s">
        <v>192</v>
      </c>
      <c r="AJ188" s="70" t="s">
        <v>193</v>
      </c>
      <c r="AK188" s="70" t="s">
        <v>2808</v>
      </c>
      <c r="AY188" s="72">
        <v>8546.59</v>
      </c>
      <c r="AZ188" s="72">
        <v>0</v>
      </c>
      <c r="BA188" s="70" t="s">
        <v>280</v>
      </c>
      <c r="BB188" s="70" t="s">
        <v>281</v>
      </c>
      <c r="BC188" s="70" t="s">
        <v>2809</v>
      </c>
      <c r="BD188" s="70" t="s">
        <v>2810</v>
      </c>
      <c r="BE188" s="70" t="s">
        <v>74</v>
      </c>
      <c r="BF188" s="70" t="s">
        <v>2811</v>
      </c>
      <c r="BH188" s="60" t="str">
        <f t="shared" si="2"/>
        <v>Ver en Mapa</v>
      </c>
      <c r="BK188" s="70">
        <v>0</v>
      </c>
      <c r="BL188" s="70">
        <v>0</v>
      </c>
      <c r="BM188" s="70" t="s">
        <v>2847</v>
      </c>
    </row>
    <row r="189" spans="1:65" s="68" customFormat="1" ht="14.4" customHeight="1" x14ac:dyDescent="0.3">
      <c r="A189" s="70" t="str">
        <f>H189</f>
        <v>002648</v>
      </c>
      <c r="B189" s="70" t="s">
        <v>61</v>
      </c>
      <c r="C189" s="70" t="s">
        <v>273</v>
      </c>
      <c r="D189" s="70" t="s">
        <v>408</v>
      </c>
      <c r="E189" s="70" t="s">
        <v>409</v>
      </c>
      <c r="F189" s="70" t="s">
        <v>408</v>
      </c>
      <c r="G189" s="70" t="s">
        <v>409</v>
      </c>
      <c r="H189" s="70" t="s">
        <v>2827</v>
      </c>
      <c r="I189" s="70" t="s">
        <v>67</v>
      </c>
      <c r="J189" s="70" t="s">
        <v>2828</v>
      </c>
      <c r="K189" s="71">
        <v>45904</v>
      </c>
      <c r="L189" s="71">
        <v>46096</v>
      </c>
      <c r="M189" s="72">
        <v>30000</v>
      </c>
      <c r="N189" s="72">
        <v>30000</v>
      </c>
      <c r="O189" s="73">
        <v>0</v>
      </c>
      <c r="P189" s="73">
        <v>12</v>
      </c>
      <c r="Q189" s="70" t="s">
        <v>453</v>
      </c>
      <c r="R189" s="72">
        <v>2935</v>
      </c>
      <c r="S189" s="72">
        <v>492</v>
      </c>
      <c r="T189" s="72">
        <v>0</v>
      </c>
      <c r="U189" s="72">
        <v>0</v>
      </c>
      <c r="V189" s="72">
        <v>0</v>
      </c>
      <c r="W189" s="72">
        <v>28189.33</v>
      </c>
      <c r="X189" s="72">
        <v>0</v>
      </c>
      <c r="Y189" s="72">
        <v>0</v>
      </c>
      <c r="Z189" s="72">
        <v>0</v>
      </c>
      <c r="AA189" s="72">
        <v>0</v>
      </c>
      <c r="AB189" s="72">
        <v>0</v>
      </c>
      <c r="AC189" s="72">
        <v>2935</v>
      </c>
      <c r="AD189" s="71">
        <v>45930</v>
      </c>
      <c r="AE189" s="70" t="s">
        <v>69</v>
      </c>
      <c r="AF189" s="70" t="s">
        <v>2829</v>
      </c>
      <c r="AG189" s="70" t="s">
        <v>2830</v>
      </c>
      <c r="AI189" s="70" t="s">
        <v>283</v>
      </c>
      <c r="AJ189" s="70" t="s">
        <v>284</v>
      </c>
      <c r="AY189" s="72">
        <v>28189.33</v>
      </c>
      <c r="AZ189" s="72">
        <v>0</v>
      </c>
      <c r="BA189" s="70" t="s">
        <v>280</v>
      </c>
      <c r="BB189" s="70" t="s">
        <v>281</v>
      </c>
      <c r="BC189" s="70" t="s">
        <v>2831</v>
      </c>
      <c r="BD189" s="70" t="s">
        <v>2832</v>
      </c>
      <c r="BE189" s="70" t="s">
        <v>2833</v>
      </c>
      <c r="BF189" s="70" t="s">
        <v>2834</v>
      </c>
      <c r="BH189" s="60" t="str">
        <f t="shared" si="2"/>
        <v>Ver en Mapa</v>
      </c>
      <c r="BK189" s="70">
        <v>0</v>
      </c>
      <c r="BL189" s="70">
        <v>0</v>
      </c>
      <c r="BM189" s="70" t="s">
        <v>2847</v>
      </c>
    </row>
    <row r="190" spans="1:65" s="68" customFormat="1" ht="14.4" customHeight="1" x14ac:dyDescent="0.3">
      <c r="A190" s="70" t="str">
        <f>H190</f>
        <v>003639</v>
      </c>
      <c r="B190" s="70" t="s">
        <v>61</v>
      </c>
      <c r="C190" s="70" t="s">
        <v>273</v>
      </c>
      <c r="D190" s="70" t="s">
        <v>408</v>
      </c>
      <c r="E190" s="70" t="s">
        <v>409</v>
      </c>
      <c r="F190" s="70" t="s">
        <v>408</v>
      </c>
      <c r="G190" s="70" t="s">
        <v>409</v>
      </c>
      <c r="H190" s="70" t="s">
        <v>3037</v>
      </c>
      <c r="I190" s="70" t="s">
        <v>67</v>
      </c>
      <c r="J190" s="70" t="s">
        <v>3038</v>
      </c>
      <c r="K190" s="71">
        <v>45940</v>
      </c>
      <c r="L190" s="71">
        <v>45989</v>
      </c>
      <c r="M190" s="72">
        <v>10000</v>
      </c>
      <c r="O190" s="73">
        <v>0</v>
      </c>
      <c r="P190" s="73">
        <v>7</v>
      </c>
      <c r="Q190" s="70" t="s">
        <v>469</v>
      </c>
      <c r="R190" s="72">
        <v>1500</v>
      </c>
      <c r="S190" s="72">
        <v>0</v>
      </c>
      <c r="T190" s="72">
        <v>0</v>
      </c>
      <c r="U190" s="72">
        <v>0</v>
      </c>
      <c r="V190" s="72">
        <v>0</v>
      </c>
      <c r="W190" s="72">
        <v>10000</v>
      </c>
      <c r="X190" s="72">
        <v>0</v>
      </c>
      <c r="Y190" s="72">
        <v>0</v>
      </c>
      <c r="Z190" s="72">
        <v>0</v>
      </c>
      <c r="AA190" s="72">
        <v>0</v>
      </c>
      <c r="AB190" s="72">
        <v>0</v>
      </c>
      <c r="AE190" s="70" t="s">
        <v>2913</v>
      </c>
      <c r="AF190" s="70" t="s">
        <v>3039</v>
      </c>
      <c r="AG190" s="70" t="s">
        <v>3040</v>
      </c>
      <c r="AI190" s="70" t="s">
        <v>283</v>
      </c>
      <c r="AJ190" s="70" t="s">
        <v>284</v>
      </c>
      <c r="AY190" s="72">
        <v>10000</v>
      </c>
      <c r="AZ190" s="72">
        <v>0</v>
      </c>
      <c r="BA190" s="70" t="s">
        <v>2549</v>
      </c>
      <c r="BB190" s="70" t="s">
        <v>2550</v>
      </c>
      <c r="BC190" s="70" t="s">
        <v>3041</v>
      </c>
      <c r="BD190" s="70" t="s">
        <v>3042</v>
      </c>
      <c r="BE190" s="70" t="s">
        <v>74</v>
      </c>
      <c r="BF190" s="70" t="s">
        <v>2811</v>
      </c>
      <c r="BH190" s="60" t="str">
        <f t="shared" si="2"/>
        <v>Ver en Mapa</v>
      </c>
      <c r="BK190" s="70">
        <v>0</v>
      </c>
      <c r="BL190" s="70">
        <v>0</v>
      </c>
      <c r="BM190" s="70" t="s">
        <v>2846</v>
      </c>
    </row>
    <row r="191" spans="1:65" s="68" customFormat="1" ht="14.4" customHeight="1" x14ac:dyDescent="0.3">
      <c r="A191" s="70" t="str">
        <f>H191</f>
        <v>001614</v>
      </c>
      <c r="B191" s="70" t="s">
        <v>61</v>
      </c>
      <c r="C191" s="70" t="s">
        <v>273</v>
      </c>
      <c r="D191" s="70" t="s">
        <v>1533</v>
      </c>
      <c r="E191" s="70" t="s">
        <v>599</v>
      </c>
      <c r="F191" s="70" t="s">
        <v>590</v>
      </c>
      <c r="G191" s="70" t="s">
        <v>2763</v>
      </c>
      <c r="H191" s="70" t="s">
        <v>2400</v>
      </c>
      <c r="I191" s="70" t="s">
        <v>67</v>
      </c>
      <c r="J191" s="70" t="s">
        <v>1720</v>
      </c>
      <c r="K191" s="71">
        <v>45860</v>
      </c>
      <c r="L191" s="71">
        <v>46044</v>
      </c>
      <c r="M191" s="72">
        <v>7000</v>
      </c>
      <c r="N191" s="72">
        <v>7373.85</v>
      </c>
      <c r="O191" s="73">
        <v>0</v>
      </c>
      <c r="P191" s="73">
        <v>6</v>
      </c>
      <c r="Q191" s="70" t="s">
        <v>68</v>
      </c>
      <c r="R191" s="72">
        <v>1828.18</v>
      </c>
      <c r="S191" s="72">
        <v>348</v>
      </c>
      <c r="T191" s="72">
        <v>0</v>
      </c>
      <c r="U191" s="72">
        <v>0</v>
      </c>
      <c r="V191" s="72">
        <v>0</v>
      </c>
      <c r="W191" s="72">
        <v>4915.91</v>
      </c>
      <c r="X191" s="72">
        <v>0.01</v>
      </c>
      <c r="Y191" s="72">
        <v>0.01</v>
      </c>
      <c r="Z191" s="72">
        <v>0</v>
      </c>
      <c r="AA191" s="72">
        <v>0</v>
      </c>
      <c r="AB191" s="72">
        <v>0</v>
      </c>
      <c r="AC191" s="72">
        <v>1828.18</v>
      </c>
      <c r="AD191" s="71">
        <v>45922</v>
      </c>
      <c r="AE191" s="70" t="s">
        <v>69</v>
      </c>
      <c r="AF191" s="70" t="s">
        <v>2401</v>
      </c>
      <c r="AG191" s="70" t="s">
        <v>1721</v>
      </c>
      <c r="AI191" s="70" t="s">
        <v>86</v>
      </c>
      <c r="AJ191" s="70" t="s">
        <v>87</v>
      </c>
      <c r="AK191" s="70" t="s">
        <v>1722</v>
      </c>
      <c r="AM191" s="70" t="s">
        <v>1723</v>
      </c>
      <c r="AN191" s="70" t="s">
        <v>2402</v>
      </c>
      <c r="AO191" s="70" t="s">
        <v>1724</v>
      </c>
      <c r="AP191" s="70" t="s">
        <v>2403</v>
      </c>
      <c r="AQ191" s="70" t="s">
        <v>1725</v>
      </c>
      <c r="AR191" s="70" t="s">
        <v>2404</v>
      </c>
      <c r="AY191" s="72">
        <v>7080.74</v>
      </c>
      <c r="AZ191" s="72">
        <v>0</v>
      </c>
      <c r="BA191" s="70" t="s">
        <v>67</v>
      </c>
      <c r="BB191" s="70" t="s">
        <v>1044</v>
      </c>
      <c r="BC191" s="70" t="s">
        <v>3043</v>
      </c>
      <c r="BD191" s="70" t="s">
        <v>1726</v>
      </c>
      <c r="BE191" s="70" t="s">
        <v>74</v>
      </c>
      <c r="BF191" s="70" t="s">
        <v>438</v>
      </c>
      <c r="BG191" s="70" t="s">
        <v>1727</v>
      </c>
      <c r="BH191" s="60" t="str">
        <f t="shared" si="2"/>
        <v>Ver en Mapa</v>
      </c>
      <c r="BK191" s="70">
        <v>0</v>
      </c>
      <c r="BL191" s="70">
        <v>0</v>
      </c>
      <c r="BM191" s="70" t="s">
        <v>2847</v>
      </c>
    </row>
    <row r="192" spans="1:65" s="68" customFormat="1" ht="14.4" customHeight="1" x14ac:dyDescent="0.3">
      <c r="A192" s="70" t="str">
        <f>H192</f>
        <v>001717</v>
      </c>
      <c r="B192" s="70" t="s">
        <v>61</v>
      </c>
      <c r="C192" s="70" t="s">
        <v>273</v>
      </c>
      <c r="D192" s="70" t="s">
        <v>1533</v>
      </c>
      <c r="E192" s="70" t="s">
        <v>599</v>
      </c>
      <c r="F192" s="70" t="s">
        <v>590</v>
      </c>
      <c r="G192" s="70" t="s">
        <v>2763</v>
      </c>
      <c r="H192" s="70" t="s">
        <v>2661</v>
      </c>
      <c r="I192" s="70" t="s">
        <v>67</v>
      </c>
      <c r="J192" s="70" t="s">
        <v>2662</v>
      </c>
      <c r="K192" s="71">
        <v>45880</v>
      </c>
      <c r="L192" s="71">
        <v>46048</v>
      </c>
      <c r="M192" s="72">
        <v>5000.01</v>
      </c>
      <c r="N192" s="72">
        <v>5267.04</v>
      </c>
      <c r="O192" s="73">
        <v>0</v>
      </c>
      <c r="P192" s="73">
        <v>12</v>
      </c>
      <c r="Q192" s="70" t="s">
        <v>496</v>
      </c>
      <c r="R192" s="72">
        <v>673.4</v>
      </c>
      <c r="S192" s="72">
        <v>696</v>
      </c>
      <c r="T192" s="72">
        <v>0</v>
      </c>
      <c r="U192" s="72">
        <v>4</v>
      </c>
      <c r="V192" s="72">
        <v>0</v>
      </c>
      <c r="W192" s="72">
        <v>3511.36</v>
      </c>
      <c r="X192" s="72">
        <v>0</v>
      </c>
      <c r="Y192" s="72">
        <v>0</v>
      </c>
      <c r="Z192" s="72">
        <v>0</v>
      </c>
      <c r="AA192" s="74">
        <v>0</v>
      </c>
      <c r="AB192" s="72">
        <v>0</v>
      </c>
      <c r="AC192" s="72">
        <v>673.5</v>
      </c>
      <c r="AD192" s="71">
        <v>45936</v>
      </c>
      <c r="AE192" s="70" t="s">
        <v>69</v>
      </c>
      <c r="AF192" s="70" t="s">
        <v>2663</v>
      </c>
      <c r="AG192" s="70" t="s">
        <v>2664</v>
      </c>
      <c r="AI192" s="70" t="s">
        <v>86</v>
      </c>
      <c r="AJ192" s="70" t="s">
        <v>87</v>
      </c>
      <c r="AK192" s="70" t="s">
        <v>2665</v>
      </c>
      <c r="AM192" s="70" t="s">
        <v>2666</v>
      </c>
      <c r="AN192" s="70" t="s">
        <v>2667</v>
      </c>
      <c r="AO192" s="70" t="s">
        <v>2668</v>
      </c>
      <c r="AP192" s="70" t="s">
        <v>2669</v>
      </c>
      <c r="AQ192" s="70" t="s">
        <v>2670</v>
      </c>
      <c r="AR192" s="70" t="s">
        <v>2671</v>
      </c>
      <c r="AY192" s="72">
        <v>4922.8100000000004</v>
      </c>
      <c r="AZ192" s="72">
        <v>0.4</v>
      </c>
      <c r="BA192" s="70" t="s">
        <v>67</v>
      </c>
      <c r="BB192" s="70" t="s">
        <v>1044</v>
      </c>
      <c r="BC192" s="70" t="s">
        <v>3044</v>
      </c>
      <c r="BD192" s="70" t="s">
        <v>444</v>
      </c>
      <c r="BE192" s="70" t="s">
        <v>74</v>
      </c>
      <c r="BF192" s="70" t="s">
        <v>445</v>
      </c>
      <c r="BG192" s="70" t="s">
        <v>2672</v>
      </c>
      <c r="BH192" s="60" t="str">
        <f t="shared" si="2"/>
        <v>Ver en Mapa</v>
      </c>
      <c r="BK192" s="70">
        <v>0</v>
      </c>
      <c r="BL192" s="70">
        <v>0</v>
      </c>
      <c r="BM192" s="70" t="s">
        <v>2847</v>
      </c>
    </row>
    <row r="193" spans="1:65" s="68" customFormat="1" ht="14.4" customHeight="1" x14ac:dyDescent="0.3">
      <c r="A193" s="70" t="str">
        <f>H193</f>
        <v>001518</v>
      </c>
      <c r="B193" s="70" t="s">
        <v>61</v>
      </c>
      <c r="C193" s="70" t="s">
        <v>273</v>
      </c>
      <c r="D193" s="70" t="s">
        <v>1533</v>
      </c>
      <c r="E193" s="70" t="s">
        <v>599</v>
      </c>
      <c r="F193" s="70" t="s">
        <v>590</v>
      </c>
      <c r="G193" s="70" t="s">
        <v>2763</v>
      </c>
      <c r="H193" s="70" t="s">
        <v>2487</v>
      </c>
      <c r="I193" s="70" t="s">
        <v>67</v>
      </c>
      <c r="J193" s="70" t="s">
        <v>1652</v>
      </c>
      <c r="K193" s="71">
        <v>45853</v>
      </c>
      <c r="L193" s="71">
        <v>46218</v>
      </c>
      <c r="M193" s="72">
        <v>10000</v>
      </c>
      <c r="N193" s="72">
        <v>10534.08</v>
      </c>
      <c r="O193" s="73">
        <v>0</v>
      </c>
      <c r="P193" s="73">
        <v>12</v>
      </c>
      <c r="Q193" s="70" t="s">
        <v>68</v>
      </c>
      <c r="R193" s="72">
        <v>1702.69</v>
      </c>
      <c r="S193" s="72">
        <v>696</v>
      </c>
      <c r="T193" s="72">
        <v>0</v>
      </c>
      <c r="U193" s="72">
        <v>0</v>
      </c>
      <c r="V193" s="72">
        <v>0</v>
      </c>
      <c r="W193" s="72">
        <v>8778.4</v>
      </c>
      <c r="X193" s="72">
        <v>0</v>
      </c>
      <c r="Y193" s="72">
        <v>0</v>
      </c>
      <c r="Z193" s="72">
        <v>0</v>
      </c>
      <c r="AA193" s="74">
        <v>0</v>
      </c>
      <c r="AB193" s="72">
        <v>0</v>
      </c>
      <c r="AC193" s="72">
        <v>2283</v>
      </c>
      <c r="AD193" s="71">
        <v>45919</v>
      </c>
      <c r="AE193" s="70" t="s">
        <v>69</v>
      </c>
      <c r="AF193" s="70" t="s">
        <v>2488</v>
      </c>
      <c r="AG193" s="70" t="s">
        <v>1653</v>
      </c>
      <c r="AI193" s="70" t="s">
        <v>523</v>
      </c>
      <c r="AJ193" s="70" t="s">
        <v>1879</v>
      </c>
      <c r="AK193" s="70" t="s">
        <v>1654</v>
      </c>
      <c r="AM193" s="70" t="s">
        <v>1655</v>
      </c>
      <c r="AN193" s="70" t="s">
        <v>2489</v>
      </c>
      <c r="AO193" s="70" t="s">
        <v>1656</v>
      </c>
      <c r="AP193" s="70" t="s">
        <v>2422</v>
      </c>
      <c r="AQ193" s="70" t="s">
        <v>1657</v>
      </c>
      <c r="AR193" s="70" t="s">
        <v>2490</v>
      </c>
      <c r="AY193" s="72">
        <v>16446.61</v>
      </c>
      <c r="AZ193" s="72">
        <v>0.31</v>
      </c>
      <c r="BA193" s="70" t="s">
        <v>67</v>
      </c>
      <c r="BB193" s="70" t="s">
        <v>1044</v>
      </c>
      <c r="BC193" s="70" t="s">
        <v>3045</v>
      </c>
      <c r="BD193" s="70" t="s">
        <v>541</v>
      </c>
      <c r="BE193" s="70" t="s">
        <v>74</v>
      </c>
      <c r="BF193" s="70" t="s">
        <v>296</v>
      </c>
      <c r="BG193" s="70" t="s">
        <v>1658</v>
      </c>
      <c r="BH193" s="60" t="str">
        <f t="shared" si="2"/>
        <v>Ver en Mapa</v>
      </c>
      <c r="BK193" s="70">
        <v>1</v>
      </c>
      <c r="BL193" s="70">
        <v>1</v>
      </c>
      <c r="BM193" s="70" t="s">
        <v>2847</v>
      </c>
    </row>
    <row r="194" spans="1:65" s="68" customFormat="1" ht="14.4" customHeight="1" x14ac:dyDescent="0.3">
      <c r="A194" s="70" t="str">
        <f>H194</f>
        <v>001532</v>
      </c>
      <c r="B194" s="70" t="s">
        <v>61</v>
      </c>
      <c r="C194" s="70" t="s">
        <v>273</v>
      </c>
      <c r="D194" s="70" t="s">
        <v>1533</v>
      </c>
      <c r="E194" s="70" t="s">
        <v>599</v>
      </c>
      <c r="F194" s="70" t="s">
        <v>590</v>
      </c>
      <c r="G194" s="70" t="s">
        <v>2763</v>
      </c>
      <c r="H194" s="70" t="s">
        <v>2421</v>
      </c>
      <c r="I194" s="70" t="s">
        <v>67</v>
      </c>
      <c r="J194" s="70" t="s">
        <v>1632</v>
      </c>
      <c r="K194" s="71">
        <v>45853</v>
      </c>
      <c r="L194" s="71">
        <v>46037</v>
      </c>
      <c r="M194" s="72">
        <v>5000</v>
      </c>
      <c r="N194" s="72">
        <v>5267.04</v>
      </c>
      <c r="O194" s="73">
        <v>0</v>
      </c>
      <c r="P194" s="73">
        <v>6</v>
      </c>
      <c r="Q194" s="70" t="s">
        <v>68</v>
      </c>
      <c r="R194" s="72">
        <v>1322.42</v>
      </c>
      <c r="S194" s="72">
        <v>348</v>
      </c>
      <c r="T194" s="72">
        <v>0</v>
      </c>
      <c r="U194" s="72">
        <v>0</v>
      </c>
      <c r="V194" s="72">
        <v>0</v>
      </c>
      <c r="W194" s="72">
        <v>3511.36</v>
      </c>
      <c r="X194" s="72">
        <v>0</v>
      </c>
      <c r="Y194" s="72">
        <v>0</v>
      </c>
      <c r="Z194" s="72">
        <v>0</v>
      </c>
      <c r="AA194" s="74">
        <v>0</v>
      </c>
      <c r="AB194" s="72">
        <v>0</v>
      </c>
      <c r="AC194" s="72">
        <v>1322.42</v>
      </c>
      <c r="AD194" s="71">
        <v>45915</v>
      </c>
      <c r="AE194" s="70" t="s">
        <v>69</v>
      </c>
      <c r="AF194" s="70" t="s">
        <v>2422</v>
      </c>
      <c r="AG194" s="70" t="s">
        <v>1633</v>
      </c>
      <c r="AI194" s="70" t="s">
        <v>324</v>
      </c>
      <c r="AJ194" s="70" t="s">
        <v>325</v>
      </c>
      <c r="AK194" s="70" t="s">
        <v>1634</v>
      </c>
      <c r="AM194" s="70" t="s">
        <v>1635</v>
      </c>
      <c r="AN194" s="70" t="s">
        <v>2423</v>
      </c>
      <c r="AO194" s="70" t="s">
        <v>1636</v>
      </c>
      <c r="AP194" s="70" t="s">
        <v>2424</v>
      </c>
      <c r="AQ194" s="70" t="s">
        <v>1637</v>
      </c>
      <c r="AR194" s="70" t="s">
        <v>2425</v>
      </c>
      <c r="AY194" s="72">
        <v>5057.66</v>
      </c>
      <c r="AZ194" s="72">
        <v>0.01</v>
      </c>
      <c r="BA194" s="70" t="s">
        <v>67</v>
      </c>
      <c r="BB194" s="70" t="s">
        <v>1044</v>
      </c>
      <c r="BC194" s="70" t="s">
        <v>3046</v>
      </c>
      <c r="BD194" s="70" t="s">
        <v>541</v>
      </c>
      <c r="BE194" s="70" t="s">
        <v>74</v>
      </c>
      <c r="BF194" s="70" t="s">
        <v>296</v>
      </c>
      <c r="BG194" s="70" t="s">
        <v>1638</v>
      </c>
      <c r="BH194" s="60" t="str">
        <f t="shared" si="2"/>
        <v>Ver en Mapa</v>
      </c>
      <c r="BK194" s="70">
        <v>0</v>
      </c>
      <c r="BL194" s="70">
        <v>0</v>
      </c>
      <c r="BM194" s="70" t="s">
        <v>2847</v>
      </c>
    </row>
    <row r="195" spans="1:65" s="68" customFormat="1" ht="14.4" customHeight="1" x14ac:dyDescent="0.3">
      <c r="A195" s="70" t="str">
        <f>H195</f>
        <v>001477</v>
      </c>
      <c r="B195" s="70" t="s">
        <v>61</v>
      </c>
      <c r="C195" s="70" t="s">
        <v>273</v>
      </c>
      <c r="D195" s="70" t="s">
        <v>1533</v>
      </c>
      <c r="E195" s="70" t="s">
        <v>599</v>
      </c>
      <c r="F195" s="70" t="s">
        <v>590</v>
      </c>
      <c r="G195" s="70" t="s">
        <v>2763</v>
      </c>
      <c r="H195" s="70" t="s">
        <v>2426</v>
      </c>
      <c r="I195" s="70" t="s">
        <v>67</v>
      </c>
      <c r="J195" s="70" t="s">
        <v>1770</v>
      </c>
      <c r="K195" s="71">
        <v>45862</v>
      </c>
      <c r="L195" s="71">
        <v>46046</v>
      </c>
      <c r="M195" s="72">
        <v>10000</v>
      </c>
      <c r="N195" s="72">
        <v>10534.08</v>
      </c>
      <c r="O195" s="73">
        <v>0</v>
      </c>
      <c r="P195" s="73">
        <v>6</v>
      </c>
      <c r="Q195" s="70" t="s">
        <v>68</v>
      </c>
      <c r="R195" s="72">
        <v>2586.83</v>
      </c>
      <c r="S195" s="72">
        <v>348</v>
      </c>
      <c r="T195" s="72">
        <v>0</v>
      </c>
      <c r="U195" s="72">
        <v>0</v>
      </c>
      <c r="V195" s="72">
        <v>0</v>
      </c>
      <c r="W195" s="72">
        <v>7022.72</v>
      </c>
      <c r="X195" s="72">
        <v>0</v>
      </c>
      <c r="Y195" s="72">
        <v>0</v>
      </c>
      <c r="Z195" s="72">
        <v>0</v>
      </c>
      <c r="AA195" s="74">
        <v>0</v>
      </c>
      <c r="AB195" s="72">
        <v>0</v>
      </c>
      <c r="AC195" s="72">
        <v>2350</v>
      </c>
      <c r="AD195" s="71">
        <v>45926</v>
      </c>
      <c r="AE195" s="70" t="s">
        <v>69</v>
      </c>
      <c r="AF195" s="70" t="s">
        <v>2427</v>
      </c>
      <c r="AG195" s="70" t="s">
        <v>1771</v>
      </c>
      <c r="AI195" s="70" t="s">
        <v>86</v>
      </c>
      <c r="AJ195" s="70" t="s">
        <v>87</v>
      </c>
      <c r="AM195" s="70" t="s">
        <v>1772</v>
      </c>
      <c r="AN195" s="70" t="s">
        <v>2428</v>
      </c>
      <c r="AO195" s="70" t="s">
        <v>1773</v>
      </c>
      <c r="AP195" s="70" t="s">
        <v>2429</v>
      </c>
      <c r="AQ195" s="70" t="s">
        <v>1774</v>
      </c>
      <c r="AR195" s="70" t="s">
        <v>2430</v>
      </c>
      <c r="AY195" s="72">
        <v>10099.01</v>
      </c>
      <c r="AZ195" s="72">
        <v>16.330692266666659</v>
      </c>
      <c r="BA195" s="70" t="s">
        <v>67</v>
      </c>
      <c r="BB195" s="70" t="s">
        <v>1044</v>
      </c>
      <c r="BC195" s="70" t="s">
        <v>3047</v>
      </c>
      <c r="BD195" s="70" t="s">
        <v>1021</v>
      </c>
      <c r="BE195" s="70" t="s">
        <v>74</v>
      </c>
      <c r="BF195" s="70" t="s">
        <v>204</v>
      </c>
      <c r="BG195" s="70" t="s">
        <v>1775</v>
      </c>
      <c r="BH195" s="60" t="str">
        <f t="shared" si="2"/>
        <v>Ver en Mapa</v>
      </c>
      <c r="BK195" s="70">
        <v>2</v>
      </c>
      <c r="BL195" s="70">
        <v>2</v>
      </c>
      <c r="BM195" s="70" t="s">
        <v>2847</v>
      </c>
    </row>
    <row r="196" spans="1:65" s="68" customFormat="1" ht="14.4" customHeight="1" x14ac:dyDescent="0.3">
      <c r="A196" s="70" t="str">
        <f>H196</f>
        <v>001503</v>
      </c>
      <c r="B196" s="70" t="s">
        <v>61</v>
      </c>
      <c r="C196" s="70" t="s">
        <v>273</v>
      </c>
      <c r="D196" s="70" t="s">
        <v>1533</v>
      </c>
      <c r="E196" s="70" t="s">
        <v>599</v>
      </c>
      <c r="F196" s="70" t="s">
        <v>590</v>
      </c>
      <c r="G196" s="70" t="s">
        <v>2763</v>
      </c>
      <c r="H196" s="70" t="s">
        <v>2431</v>
      </c>
      <c r="I196" s="70" t="s">
        <v>67</v>
      </c>
      <c r="J196" s="70" t="s">
        <v>1728</v>
      </c>
      <c r="K196" s="71">
        <v>45860</v>
      </c>
      <c r="L196" s="71">
        <v>46044</v>
      </c>
      <c r="M196" s="72">
        <v>5000</v>
      </c>
      <c r="N196" s="72">
        <v>5267.04</v>
      </c>
      <c r="O196" s="73">
        <v>0</v>
      </c>
      <c r="P196" s="73">
        <v>6</v>
      </c>
      <c r="Q196" s="70" t="s">
        <v>68</v>
      </c>
      <c r="R196" s="72">
        <v>1322.42</v>
      </c>
      <c r="S196" s="72">
        <v>348</v>
      </c>
      <c r="T196" s="72">
        <v>0</v>
      </c>
      <c r="U196" s="72">
        <v>0</v>
      </c>
      <c r="V196" s="72">
        <v>0</v>
      </c>
      <c r="W196" s="72">
        <v>3511.36</v>
      </c>
      <c r="X196" s="72">
        <v>0</v>
      </c>
      <c r="Y196" s="72">
        <v>0</v>
      </c>
      <c r="Z196" s="72">
        <v>0</v>
      </c>
      <c r="AA196" s="74">
        <v>0</v>
      </c>
      <c r="AB196" s="72">
        <v>0</v>
      </c>
      <c r="AC196" s="72">
        <v>1322.42</v>
      </c>
      <c r="AD196" s="71">
        <v>45922</v>
      </c>
      <c r="AE196" s="70" t="s">
        <v>69</v>
      </c>
      <c r="AF196" s="70" t="s">
        <v>2432</v>
      </c>
      <c r="AG196" s="70" t="s">
        <v>1729</v>
      </c>
      <c r="AI196" s="70" t="s">
        <v>307</v>
      </c>
      <c r="AJ196" s="70" t="s">
        <v>1504</v>
      </c>
      <c r="AM196" s="70" t="s">
        <v>1730</v>
      </c>
      <c r="AN196" s="70" t="s">
        <v>2433</v>
      </c>
      <c r="AO196" s="70" t="s">
        <v>1731</v>
      </c>
      <c r="AP196" s="70" t="s">
        <v>2434</v>
      </c>
      <c r="AQ196" s="70" t="s">
        <v>1732</v>
      </c>
      <c r="AR196" s="70" t="s">
        <v>2435</v>
      </c>
      <c r="AY196" s="72">
        <v>5057.66</v>
      </c>
      <c r="AZ196" s="72">
        <v>0.01</v>
      </c>
      <c r="BA196" s="70" t="s">
        <v>67</v>
      </c>
      <c r="BB196" s="70" t="s">
        <v>1044</v>
      </c>
      <c r="BC196" s="70" t="s">
        <v>1733</v>
      </c>
      <c r="BD196" s="70" t="s">
        <v>541</v>
      </c>
      <c r="BE196" s="70" t="s">
        <v>74</v>
      </c>
      <c r="BF196" s="70" t="s">
        <v>296</v>
      </c>
      <c r="BG196" s="70" t="s">
        <v>1734</v>
      </c>
      <c r="BH196" s="60" t="str">
        <f t="shared" si="2"/>
        <v>Ver en Mapa</v>
      </c>
      <c r="BK196" s="70">
        <v>0</v>
      </c>
      <c r="BL196" s="70">
        <v>0</v>
      </c>
      <c r="BM196" s="70" t="s">
        <v>2847</v>
      </c>
    </row>
    <row r="197" spans="1:65" s="68" customFormat="1" ht="14.4" customHeight="1" x14ac:dyDescent="0.3">
      <c r="A197" s="70" t="str">
        <f>H197</f>
        <v>001345</v>
      </c>
      <c r="B197" s="70" t="s">
        <v>61</v>
      </c>
      <c r="C197" s="70" t="s">
        <v>273</v>
      </c>
      <c r="D197" s="70" t="s">
        <v>1533</v>
      </c>
      <c r="E197" s="70" t="s">
        <v>599</v>
      </c>
      <c r="F197" s="70" t="s">
        <v>590</v>
      </c>
      <c r="G197" s="70" t="s">
        <v>2763</v>
      </c>
      <c r="H197" s="70" t="s">
        <v>2436</v>
      </c>
      <c r="I197" s="70" t="s">
        <v>67</v>
      </c>
      <c r="J197" s="70" t="s">
        <v>685</v>
      </c>
      <c r="K197" s="71">
        <v>45806</v>
      </c>
      <c r="L197" s="71">
        <v>45974</v>
      </c>
      <c r="M197" s="72">
        <v>5000.01</v>
      </c>
      <c r="N197" s="72">
        <v>5267.04</v>
      </c>
      <c r="O197" s="73">
        <v>0</v>
      </c>
      <c r="P197" s="73">
        <v>12</v>
      </c>
      <c r="Q197" s="70" t="s">
        <v>496</v>
      </c>
      <c r="R197" s="72">
        <v>673.4</v>
      </c>
      <c r="S197" s="72">
        <v>696</v>
      </c>
      <c r="T197" s="72">
        <v>0</v>
      </c>
      <c r="U197" s="72">
        <v>9</v>
      </c>
      <c r="V197" s="72">
        <v>0</v>
      </c>
      <c r="W197" s="72">
        <v>1316.77</v>
      </c>
      <c r="X197" s="72">
        <v>0.01</v>
      </c>
      <c r="Y197" s="72">
        <v>0.01</v>
      </c>
      <c r="Z197" s="72">
        <v>0</v>
      </c>
      <c r="AA197" s="72">
        <v>0</v>
      </c>
      <c r="AB197" s="72">
        <v>0</v>
      </c>
      <c r="AC197" s="72">
        <v>673.4</v>
      </c>
      <c r="AD197" s="71">
        <v>45930</v>
      </c>
      <c r="AE197" s="70" t="s">
        <v>69</v>
      </c>
      <c r="AF197" s="70" t="s">
        <v>2437</v>
      </c>
      <c r="AG197" s="70" t="s">
        <v>686</v>
      </c>
      <c r="AI197" s="70" t="s">
        <v>192</v>
      </c>
      <c r="AJ197" s="70" t="s">
        <v>193</v>
      </c>
      <c r="AM197" s="70" t="s">
        <v>982</v>
      </c>
      <c r="AN197" s="70" t="s">
        <v>2438</v>
      </c>
      <c r="AO197" s="70" t="s">
        <v>980</v>
      </c>
      <c r="AP197" s="70" t="s">
        <v>2439</v>
      </c>
      <c r="AQ197" s="70" t="s">
        <v>981</v>
      </c>
      <c r="AR197" s="70" t="s">
        <v>2440</v>
      </c>
      <c r="AY197" s="72">
        <v>1846.21</v>
      </c>
      <c r="AZ197" s="72">
        <v>0</v>
      </c>
      <c r="BA197" s="70" t="s">
        <v>67</v>
      </c>
      <c r="BB197" s="70" t="s">
        <v>1044</v>
      </c>
      <c r="BC197" s="70" t="s">
        <v>3048</v>
      </c>
      <c r="BD197" s="70" t="s">
        <v>687</v>
      </c>
      <c r="BE197" s="70" t="s">
        <v>74</v>
      </c>
      <c r="BF197" s="70" t="s">
        <v>273</v>
      </c>
      <c r="BH197" s="60" t="str">
        <f t="shared" si="2"/>
        <v>Ver en Mapa</v>
      </c>
      <c r="BK197" s="70">
        <v>0</v>
      </c>
      <c r="BL197" s="70">
        <v>0</v>
      </c>
      <c r="BM197" s="70" t="s">
        <v>2847</v>
      </c>
    </row>
    <row r="198" spans="1:65" s="68" customFormat="1" ht="14.4" customHeight="1" x14ac:dyDescent="0.3">
      <c r="A198" s="70" t="str">
        <f>H198</f>
        <v>001351</v>
      </c>
      <c r="B198" s="70" t="s">
        <v>61</v>
      </c>
      <c r="C198" s="70" t="s">
        <v>273</v>
      </c>
      <c r="D198" s="70" t="s">
        <v>1533</v>
      </c>
      <c r="E198" s="70" t="s">
        <v>599</v>
      </c>
      <c r="F198" s="70" t="s">
        <v>590</v>
      </c>
      <c r="G198" s="70" t="s">
        <v>2763</v>
      </c>
      <c r="H198" s="70" t="s">
        <v>1534</v>
      </c>
      <c r="I198" s="70" t="s">
        <v>67</v>
      </c>
      <c r="J198" s="70" t="s">
        <v>688</v>
      </c>
      <c r="K198" s="71">
        <v>45806</v>
      </c>
      <c r="L198" s="71">
        <v>45990</v>
      </c>
      <c r="M198" s="72">
        <v>5000</v>
      </c>
      <c r="N198" s="72">
        <v>5267.04</v>
      </c>
      <c r="O198" s="73">
        <v>0</v>
      </c>
      <c r="P198" s="73">
        <v>6</v>
      </c>
      <c r="Q198" s="70" t="s">
        <v>68</v>
      </c>
      <c r="R198" s="72">
        <v>1322.42</v>
      </c>
      <c r="S198" s="72">
        <v>348</v>
      </c>
      <c r="T198" s="72">
        <v>0</v>
      </c>
      <c r="U198" s="72">
        <v>0</v>
      </c>
      <c r="V198" s="72">
        <v>0</v>
      </c>
      <c r="W198" s="72">
        <v>1755.68</v>
      </c>
      <c r="X198" s="72">
        <v>0</v>
      </c>
      <c r="Y198" s="72">
        <v>0</v>
      </c>
      <c r="Z198" s="72">
        <v>0</v>
      </c>
      <c r="AA198" s="74">
        <v>0</v>
      </c>
      <c r="AB198" s="72">
        <v>0</v>
      </c>
      <c r="AC198" s="72">
        <v>1323</v>
      </c>
      <c r="AD198" s="71">
        <v>45929</v>
      </c>
      <c r="AE198" s="70" t="s">
        <v>69</v>
      </c>
      <c r="AF198" s="70" t="s">
        <v>1535</v>
      </c>
      <c r="AG198" s="70" t="s">
        <v>689</v>
      </c>
      <c r="AI198" s="70" t="s">
        <v>192</v>
      </c>
      <c r="AJ198" s="70" t="s">
        <v>193</v>
      </c>
      <c r="AM198" s="70" t="s">
        <v>985</v>
      </c>
      <c r="AN198" s="70" t="s">
        <v>1536</v>
      </c>
      <c r="AO198" s="70" t="s">
        <v>983</v>
      </c>
      <c r="AP198" s="70" t="s">
        <v>1537</v>
      </c>
      <c r="AQ198" s="70" t="s">
        <v>984</v>
      </c>
      <c r="AR198" s="70" t="s">
        <v>1538</v>
      </c>
      <c r="AY198" s="72">
        <v>2526.5</v>
      </c>
      <c r="AZ198" s="72">
        <v>2.3306922666666701</v>
      </c>
      <c r="BA198" s="70" t="s">
        <v>67</v>
      </c>
      <c r="BB198" s="70" t="s">
        <v>1044</v>
      </c>
      <c r="BC198" s="70" t="s">
        <v>3049</v>
      </c>
      <c r="BD198" s="70" t="s">
        <v>690</v>
      </c>
      <c r="BE198" s="70" t="s">
        <v>74</v>
      </c>
      <c r="BF198" s="70" t="s">
        <v>691</v>
      </c>
      <c r="BH198" s="60" t="str">
        <f t="shared" ref="BH198:BH220" si="3">HYPERLINK("https://www.google.com/maps/search/?api=1&amp;query=" &amp; SUBSTITUTE(SUBSTITUTE(BG198, "°", "%20"), """", ""), "Ver en Mapa")</f>
        <v>Ver en Mapa</v>
      </c>
      <c r="BK198" s="70">
        <v>0</v>
      </c>
      <c r="BL198" s="70">
        <v>0</v>
      </c>
      <c r="BM198" s="70" t="s">
        <v>2847</v>
      </c>
    </row>
    <row r="199" spans="1:65" s="68" customFormat="1" ht="14.4" customHeight="1" x14ac:dyDescent="0.3">
      <c r="A199" s="70" t="str">
        <f>H199</f>
        <v>001358</v>
      </c>
      <c r="B199" s="70" t="s">
        <v>61</v>
      </c>
      <c r="C199" s="70" t="s">
        <v>273</v>
      </c>
      <c r="D199" s="70" t="s">
        <v>1533</v>
      </c>
      <c r="E199" s="70" t="s">
        <v>599</v>
      </c>
      <c r="F199" s="70" t="s">
        <v>590</v>
      </c>
      <c r="G199" s="70" t="s">
        <v>2763</v>
      </c>
      <c r="H199" s="70" t="s">
        <v>2446</v>
      </c>
      <c r="I199" s="70" t="s">
        <v>67</v>
      </c>
      <c r="J199" s="70" t="s">
        <v>986</v>
      </c>
      <c r="K199" s="71">
        <v>45807</v>
      </c>
      <c r="L199" s="71">
        <v>45993</v>
      </c>
      <c r="M199" s="72">
        <v>5000</v>
      </c>
      <c r="N199" s="72">
        <v>5267.04</v>
      </c>
      <c r="O199" s="73">
        <v>0</v>
      </c>
      <c r="P199" s="73">
        <v>6</v>
      </c>
      <c r="Q199" s="70" t="s">
        <v>68</v>
      </c>
      <c r="R199" s="72">
        <v>1326.6200000000001</v>
      </c>
      <c r="S199" s="72">
        <v>348</v>
      </c>
      <c r="T199" s="72">
        <v>0</v>
      </c>
      <c r="U199" s="72">
        <v>0</v>
      </c>
      <c r="V199" s="72">
        <v>0</v>
      </c>
      <c r="W199" s="72">
        <v>1755.92</v>
      </c>
      <c r="X199" s="72">
        <v>0.24</v>
      </c>
      <c r="Y199" s="72">
        <v>0.24</v>
      </c>
      <c r="Z199" s="72">
        <v>0</v>
      </c>
      <c r="AA199" s="72">
        <v>0</v>
      </c>
      <c r="AB199" s="72">
        <v>0</v>
      </c>
      <c r="AC199" s="72">
        <v>1326.6200000000001</v>
      </c>
      <c r="AD199" s="71">
        <v>45931</v>
      </c>
      <c r="AE199" s="70" t="s">
        <v>69</v>
      </c>
      <c r="AF199" s="70" t="s">
        <v>2447</v>
      </c>
      <c r="AG199" s="70" t="s">
        <v>987</v>
      </c>
      <c r="AI199" s="70" t="s">
        <v>192</v>
      </c>
      <c r="AJ199" s="70" t="s">
        <v>193</v>
      </c>
      <c r="AM199" s="70" t="s">
        <v>988</v>
      </c>
      <c r="AN199" s="70" t="s">
        <v>2448</v>
      </c>
      <c r="AO199" s="70" t="s">
        <v>989</v>
      </c>
      <c r="AP199" s="70" t="s">
        <v>2449</v>
      </c>
      <c r="AQ199" s="70" t="s">
        <v>990</v>
      </c>
      <c r="AR199" s="70" t="s">
        <v>2450</v>
      </c>
      <c r="AY199" s="72">
        <v>2537.48</v>
      </c>
      <c r="AZ199" s="72">
        <v>0</v>
      </c>
      <c r="BA199" s="70" t="s">
        <v>67</v>
      </c>
      <c r="BB199" s="70" t="s">
        <v>1044</v>
      </c>
      <c r="BC199" s="70" t="s">
        <v>3050</v>
      </c>
      <c r="BD199" s="70" t="s">
        <v>506</v>
      </c>
      <c r="BE199" s="70" t="s">
        <v>74</v>
      </c>
      <c r="BF199" s="70" t="s">
        <v>273</v>
      </c>
      <c r="BH199" s="60" t="str">
        <f t="shared" si="3"/>
        <v>Ver en Mapa</v>
      </c>
      <c r="BK199" s="70">
        <v>1</v>
      </c>
      <c r="BL199" s="70">
        <v>1</v>
      </c>
      <c r="BM199" s="70" t="s">
        <v>2847</v>
      </c>
    </row>
    <row r="200" spans="1:65" s="68" customFormat="1" ht="14.4" customHeight="1" x14ac:dyDescent="0.3">
      <c r="A200" s="70" t="str">
        <f>H200</f>
        <v>001359</v>
      </c>
      <c r="B200" s="70" t="s">
        <v>61</v>
      </c>
      <c r="C200" s="70" t="s">
        <v>273</v>
      </c>
      <c r="D200" s="70" t="s">
        <v>1533</v>
      </c>
      <c r="E200" s="70" t="s">
        <v>599</v>
      </c>
      <c r="F200" s="70" t="s">
        <v>590</v>
      </c>
      <c r="G200" s="70" t="s">
        <v>2763</v>
      </c>
      <c r="H200" s="70" t="s">
        <v>2451</v>
      </c>
      <c r="I200" s="70" t="s">
        <v>67</v>
      </c>
      <c r="J200" s="70" t="s">
        <v>1024</v>
      </c>
      <c r="K200" s="71">
        <v>45807</v>
      </c>
      <c r="L200" s="71">
        <v>45993</v>
      </c>
      <c r="M200" s="72">
        <v>10000</v>
      </c>
      <c r="N200" s="72">
        <v>10534.08</v>
      </c>
      <c r="O200" s="73">
        <v>0</v>
      </c>
      <c r="P200" s="73">
        <v>6</v>
      </c>
      <c r="Q200" s="70" t="s">
        <v>68</v>
      </c>
      <c r="R200" s="72">
        <v>2595.2400000000002</v>
      </c>
      <c r="S200" s="72">
        <v>348</v>
      </c>
      <c r="T200" s="72">
        <v>0</v>
      </c>
      <c r="U200" s="72">
        <v>0</v>
      </c>
      <c r="V200" s="72">
        <v>0</v>
      </c>
      <c r="W200" s="72">
        <v>3511.36</v>
      </c>
      <c r="X200" s="72">
        <v>0</v>
      </c>
      <c r="Y200" s="72">
        <v>0</v>
      </c>
      <c r="Z200" s="72">
        <v>0</v>
      </c>
      <c r="AA200" s="74">
        <v>0</v>
      </c>
      <c r="AB200" s="72">
        <v>0</v>
      </c>
      <c r="AC200" s="72">
        <v>2595</v>
      </c>
      <c r="AD200" s="71">
        <v>45931</v>
      </c>
      <c r="AE200" s="70" t="s">
        <v>69</v>
      </c>
      <c r="AF200" s="70" t="s">
        <v>2443</v>
      </c>
      <c r="AG200" s="70" t="s">
        <v>1025</v>
      </c>
      <c r="AI200" s="70" t="s">
        <v>523</v>
      </c>
      <c r="AJ200" s="70" t="s">
        <v>1879</v>
      </c>
      <c r="AM200" s="70" t="s">
        <v>1026</v>
      </c>
      <c r="AN200" s="70" t="s">
        <v>2452</v>
      </c>
      <c r="AO200" s="70" t="s">
        <v>1027</v>
      </c>
      <c r="AP200" s="70" t="s">
        <v>2453</v>
      </c>
      <c r="AQ200" s="70" t="s">
        <v>1028</v>
      </c>
      <c r="AR200" s="70" t="s">
        <v>2454</v>
      </c>
      <c r="AY200" s="72">
        <v>5069.43</v>
      </c>
      <c r="AZ200" s="72">
        <v>5.05</v>
      </c>
      <c r="BA200" s="70" t="s">
        <v>67</v>
      </c>
      <c r="BB200" s="70" t="s">
        <v>1044</v>
      </c>
      <c r="BC200" s="70" t="s">
        <v>3051</v>
      </c>
      <c r="BD200" s="70" t="s">
        <v>1029</v>
      </c>
      <c r="BE200" s="70" t="s">
        <v>74</v>
      </c>
      <c r="BF200" s="70" t="s">
        <v>204</v>
      </c>
      <c r="BH200" s="60" t="str">
        <f t="shared" si="3"/>
        <v>Ver en Mapa</v>
      </c>
      <c r="BK200" s="70">
        <v>0</v>
      </c>
      <c r="BL200" s="70">
        <v>0</v>
      </c>
      <c r="BM200" s="70" t="s">
        <v>2847</v>
      </c>
    </row>
    <row r="201" spans="1:65" s="68" customFormat="1" ht="14.4" customHeight="1" x14ac:dyDescent="0.3">
      <c r="A201" s="70" t="str">
        <f>H201</f>
        <v>001249</v>
      </c>
      <c r="B201" s="70" t="s">
        <v>61</v>
      </c>
      <c r="C201" s="70" t="s">
        <v>273</v>
      </c>
      <c r="D201" s="70" t="s">
        <v>408</v>
      </c>
      <c r="E201" s="70" t="s">
        <v>409</v>
      </c>
      <c r="F201" s="70" t="s">
        <v>590</v>
      </c>
      <c r="G201" s="70" t="s">
        <v>2763</v>
      </c>
      <c r="H201" s="70" t="s">
        <v>2376</v>
      </c>
      <c r="I201" s="70" t="s">
        <v>67</v>
      </c>
      <c r="J201" s="70" t="s">
        <v>386</v>
      </c>
      <c r="K201" s="71">
        <v>45761</v>
      </c>
      <c r="L201" s="71">
        <v>46126</v>
      </c>
      <c r="M201" s="72">
        <v>250000</v>
      </c>
      <c r="N201" s="72">
        <v>250000</v>
      </c>
      <c r="O201" s="73">
        <v>0</v>
      </c>
      <c r="P201" s="73">
        <v>12</v>
      </c>
      <c r="Q201" s="70" t="s">
        <v>68</v>
      </c>
      <c r="R201" s="72">
        <v>26896.28</v>
      </c>
      <c r="S201" s="72">
        <v>0</v>
      </c>
      <c r="T201" s="72">
        <v>0</v>
      </c>
      <c r="U201" s="72">
        <v>0</v>
      </c>
      <c r="V201" s="72">
        <v>1</v>
      </c>
      <c r="W201" s="72">
        <v>160443.29</v>
      </c>
      <c r="X201" s="72">
        <v>26315.54</v>
      </c>
      <c r="Y201" s="72">
        <v>20211.14</v>
      </c>
      <c r="Z201" s="72">
        <v>6104.4000000000005</v>
      </c>
      <c r="AA201" s="72">
        <v>0</v>
      </c>
      <c r="AB201" s="72">
        <v>0</v>
      </c>
      <c r="AC201" s="72">
        <v>27477</v>
      </c>
      <c r="AD201" s="71">
        <v>45917</v>
      </c>
      <c r="AE201" s="70" t="s">
        <v>69</v>
      </c>
      <c r="AF201" s="70" t="s">
        <v>2377</v>
      </c>
      <c r="AG201" s="70" t="s">
        <v>412</v>
      </c>
      <c r="AI201" s="70" t="s">
        <v>387</v>
      </c>
      <c r="AJ201" s="70" t="s">
        <v>2378</v>
      </c>
      <c r="AK201" s="70" t="s">
        <v>388</v>
      </c>
      <c r="AY201" s="72">
        <v>166547.69</v>
      </c>
      <c r="AZ201" s="72">
        <v>0</v>
      </c>
      <c r="BA201" s="70" t="s">
        <v>280</v>
      </c>
      <c r="BB201" s="70" t="s">
        <v>281</v>
      </c>
      <c r="BC201" s="70" t="s">
        <v>389</v>
      </c>
      <c r="BD201" s="70" t="s">
        <v>390</v>
      </c>
      <c r="BE201" s="70" t="s">
        <v>74</v>
      </c>
      <c r="BF201" s="70" t="s">
        <v>391</v>
      </c>
      <c r="BH201" s="60" t="str">
        <f t="shared" si="3"/>
        <v>Ver en Mapa</v>
      </c>
      <c r="BK201" s="70">
        <v>2</v>
      </c>
      <c r="BL201" s="70">
        <v>2</v>
      </c>
      <c r="BM201" s="70" t="s">
        <v>2847</v>
      </c>
    </row>
    <row r="202" spans="1:65" s="68" customFormat="1" ht="14.4" customHeight="1" x14ac:dyDescent="0.3">
      <c r="A202" s="70" t="str">
        <f>H202</f>
        <v>001178</v>
      </c>
      <c r="B202" s="70" t="s">
        <v>61</v>
      </c>
      <c r="C202" s="70" t="s">
        <v>273</v>
      </c>
      <c r="D202" s="70" t="s">
        <v>286</v>
      </c>
      <c r="E202" s="70" t="s">
        <v>287</v>
      </c>
      <c r="F202" s="70" t="s">
        <v>590</v>
      </c>
      <c r="G202" s="70" t="s">
        <v>2763</v>
      </c>
      <c r="H202" s="70" t="s">
        <v>2366</v>
      </c>
      <c r="I202" s="70" t="s">
        <v>67</v>
      </c>
      <c r="J202" s="70" t="s">
        <v>326</v>
      </c>
      <c r="K202" s="71">
        <v>45688</v>
      </c>
      <c r="L202" s="71">
        <v>46054</v>
      </c>
      <c r="M202" s="72">
        <v>25000</v>
      </c>
      <c r="N202" s="72">
        <v>26335.190000000002</v>
      </c>
      <c r="O202" s="73">
        <v>0</v>
      </c>
      <c r="P202" s="73">
        <v>12</v>
      </c>
      <c r="Q202" s="70" t="s">
        <v>68</v>
      </c>
      <c r="R202" s="72">
        <v>3764.55</v>
      </c>
      <c r="S202" s="72">
        <v>696</v>
      </c>
      <c r="T202" s="72">
        <v>0</v>
      </c>
      <c r="U202" s="72">
        <v>0</v>
      </c>
      <c r="V202" s="72">
        <v>0</v>
      </c>
      <c r="W202" s="72">
        <v>11981.880000000001</v>
      </c>
      <c r="X202" s="72">
        <v>0</v>
      </c>
      <c r="Y202" s="72">
        <v>0</v>
      </c>
      <c r="Z202" s="72">
        <v>0</v>
      </c>
      <c r="AA202" s="74">
        <v>0</v>
      </c>
      <c r="AB202" s="72">
        <v>0</v>
      </c>
      <c r="AC202" s="72">
        <v>3765</v>
      </c>
      <c r="AD202" s="71">
        <v>45930</v>
      </c>
      <c r="AE202" s="70" t="s">
        <v>69</v>
      </c>
      <c r="AF202" s="70" t="s">
        <v>2367</v>
      </c>
      <c r="AG202" s="70" t="s">
        <v>327</v>
      </c>
      <c r="AI202" s="70" t="s">
        <v>328</v>
      </c>
      <c r="AJ202" s="70" t="s">
        <v>329</v>
      </c>
      <c r="AM202" s="70" t="s">
        <v>945</v>
      </c>
      <c r="AN202" s="70" t="s">
        <v>2368</v>
      </c>
      <c r="AO202" s="70" t="s">
        <v>943</v>
      </c>
      <c r="AP202" s="70" t="s">
        <v>2369</v>
      </c>
      <c r="AQ202" s="70" t="s">
        <v>944</v>
      </c>
      <c r="AR202" s="70" t="s">
        <v>2370</v>
      </c>
      <c r="AS202" s="70" t="s">
        <v>122</v>
      </c>
      <c r="AT202" s="68" t="s">
        <v>330</v>
      </c>
      <c r="AU202" s="70" t="s">
        <v>331</v>
      </c>
      <c r="AY202" s="72">
        <v>11978.28</v>
      </c>
      <c r="AZ202" s="72">
        <v>3.6</v>
      </c>
      <c r="BA202" s="70" t="s">
        <v>135</v>
      </c>
      <c r="BB202" s="70" t="s">
        <v>136</v>
      </c>
      <c r="BC202" s="70" t="s">
        <v>332</v>
      </c>
      <c r="BD202" s="70" t="s">
        <v>333</v>
      </c>
      <c r="BE202" s="70" t="s">
        <v>74</v>
      </c>
      <c r="BF202" s="70" t="s">
        <v>334</v>
      </c>
      <c r="BH202" s="60" t="str">
        <f t="shared" si="3"/>
        <v>Ver en Mapa</v>
      </c>
      <c r="BK202" s="70">
        <v>0</v>
      </c>
      <c r="BL202" s="70">
        <v>0</v>
      </c>
      <c r="BM202" s="70" t="s">
        <v>2847</v>
      </c>
    </row>
    <row r="203" spans="1:65" s="68" customFormat="1" ht="14.4" customHeight="1" x14ac:dyDescent="0.3">
      <c r="A203" s="70" t="str">
        <f>H203</f>
        <v>001287</v>
      </c>
      <c r="B203" s="70" t="s">
        <v>61</v>
      </c>
      <c r="C203" s="70" t="s">
        <v>273</v>
      </c>
      <c r="D203" s="70" t="s">
        <v>408</v>
      </c>
      <c r="E203" s="70" t="s">
        <v>409</v>
      </c>
      <c r="F203" s="70" t="s">
        <v>590</v>
      </c>
      <c r="G203" s="70" t="s">
        <v>2763</v>
      </c>
      <c r="H203" s="70" t="s">
        <v>2379</v>
      </c>
      <c r="I203" s="70" t="s">
        <v>67</v>
      </c>
      <c r="J203" s="70" t="s">
        <v>515</v>
      </c>
      <c r="K203" s="71">
        <v>45777</v>
      </c>
      <c r="L203" s="71">
        <v>46142</v>
      </c>
      <c r="M203" s="72">
        <v>20000</v>
      </c>
      <c r="N203" s="72">
        <v>21068.16</v>
      </c>
      <c r="O203" s="73">
        <v>0</v>
      </c>
      <c r="P203" s="73">
        <v>12</v>
      </c>
      <c r="Q203" s="70" t="s">
        <v>68</v>
      </c>
      <c r="R203" s="72">
        <v>3347.38</v>
      </c>
      <c r="S203" s="72">
        <v>696</v>
      </c>
      <c r="T203" s="72">
        <v>0</v>
      </c>
      <c r="U203" s="72">
        <v>0</v>
      </c>
      <c r="V203" s="72">
        <v>0</v>
      </c>
      <c r="W203" s="72">
        <v>12289.76</v>
      </c>
      <c r="X203" s="72">
        <v>0</v>
      </c>
      <c r="Y203" s="72">
        <v>0</v>
      </c>
      <c r="Z203" s="72">
        <v>0</v>
      </c>
      <c r="AA203" s="74">
        <v>0</v>
      </c>
      <c r="AB203" s="72">
        <v>0</v>
      </c>
      <c r="AC203" s="72">
        <v>3350</v>
      </c>
      <c r="AD203" s="71">
        <v>45930</v>
      </c>
      <c r="AE203" s="70" t="s">
        <v>69</v>
      </c>
      <c r="AF203" s="70" t="s">
        <v>2380</v>
      </c>
      <c r="AG203" s="70" t="s">
        <v>504</v>
      </c>
      <c r="AI203" s="70" t="s">
        <v>283</v>
      </c>
      <c r="AJ203" s="70" t="s">
        <v>284</v>
      </c>
      <c r="AK203" s="70" t="s">
        <v>505</v>
      </c>
      <c r="AM203" s="70" t="s">
        <v>963</v>
      </c>
      <c r="AN203" s="70" t="s">
        <v>2381</v>
      </c>
      <c r="AO203" s="70" t="s">
        <v>961</v>
      </c>
      <c r="AP203" s="70" t="s">
        <v>2382</v>
      </c>
      <c r="AQ203" s="70" t="s">
        <v>962</v>
      </c>
      <c r="AR203" s="70" t="s">
        <v>2383</v>
      </c>
      <c r="AY203" s="72">
        <v>23018.600000000002</v>
      </c>
      <c r="AZ203" s="72">
        <v>7.0823733333333294</v>
      </c>
      <c r="BA203" s="70" t="s">
        <v>67</v>
      </c>
      <c r="BB203" s="70" t="s">
        <v>1044</v>
      </c>
      <c r="BC203" s="70" t="s">
        <v>2918</v>
      </c>
      <c r="BD203" s="70" t="s">
        <v>506</v>
      </c>
      <c r="BE203" s="70" t="s">
        <v>74</v>
      </c>
      <c r="BF203" s="70" t="s">
        <v>273</v>
      </c>
      <c r="BH203" s="60" t="str">
        <f t="shared" si="3"/>
        <v>Ver en Mapa</v>
      </c>
      <c r="BK203" s="70">
        <v>1</v>
      </c>
      <c r="BL203" s="70">
        <v>1</v>
      </c>
      <c r="BM203" s="70" t="s">
        <v>2847</v>
      </c>
    </row>
    <row r="204" spans="1:65" s="68" customFormat="1" ht="14.4" customHeight="1" x14ac:dyDescent="0.3">
      <c r="A204" s="70" t="str">
        <f>H204</f>
        <v>001313</v>
      </c>
      <c r="B204" s="70" t="s">
        <v>61</v>
      </c>
      <c r="C204" s="70" t="s">
        <v>273</v>
      </c>
      <c r="D204" s="70" t="s">
        <v>1533</v>
      </c>
      <c r="E204" s="70" t="s">
        <v>599</v>
      </c>
      <c r="F204" s="70" t="s">
        <v>590</v>
      </c>
      <c r="G204" s="70" t="s">
        <v>2763</v>
      </c>
      <c r="H204" s="70" t="s">
        <v>2460</v>
      </c>
      <c r="I204" s="70" t="s">
        <v>67</v>
      </c>
      <c r="J204" s="70" t="s">
        <v>583</v>
      </c>
      <c r="K204" s="71">
        <v>45792</v>
      </c>
      <c r="L204" s="71">
        <v>46037</v>
      </c>
      <c r="M204" s="72">
        <v>10000</v>
      </c>
      <c r="N204" s="72">
        <v>10534.08</v>
      </c>
      <c r="O204" s="73">
        <v>0</v>
      </c>
      <c r="P204" s="73">
        <v>8</v>
      </c>
      <c r="Q204" s="70" t="s">
        <v>68</v>
      </c>
      <c r="R204" s="72">
        <v>2146.86</v>
      </c>
      <c r="S204" s="72">
        <v>464</v>
      </c>
      <c r="T204" s="72">
        <v>0</v>
      </c>
      <c r="U204" s="72">
        <v>0</v>
      </c>
      <c r="V204" s="72">
        <v>0</v>
      </c>
      <c r="W204" s="72">
        <v>5267.26</v>
      </c>
      <c r="X204" s="72">
        <v>0.22</v>
      </c>
      <c r="Y204" s="72">
        <v>0.22</v>
      </c>
      <c r="Z204" s="72">
        <v>0</v>
      </c>
      <c r="AA204" s="72">
        <v>0</v>
      </c>
      <c r="AB204" s="72">
        <v>0</v>
      </c>
      <c r="AC204" s="72">
        <v>2146.66</v>
      </c>
      <c r="AD204" s="71">
        <v>45915</v>
      </c>
      <c r="AE204" s="70" t="s">
        <v>69</v>
      </c>
      <c r="AF204" s="70" t="s">
        <v>2461</v>
      </c>
      <c r="AG204" s="70" t="s">
        <v>584</v>
      </c>
      <c r="AI204" s="70" t="s">
        <v>192</v>
      </c>
      <c r="AJ204" s="70" t="s">
        <v>193</v>
      </c>
      <c r="AM204" s="70" t="s">
        <v>993</v>
      </c>
      <c r="AN204" s="70" t="s">
        <v>2462</v>
      </c>
      <c r="AO204" s="70" t="s">
        <v>991</v>
      </c>
      <c r="AP204" s="70" t="s">
        <v>2463</v>
      </c>
      <c r="AQ204" s="70" t="s">
        <v>992</v>
      </c>
      <c r="AR204" s="70" t="s">
        <v>2464</v>
      </c>
      <c r="AY204" s="72">
        <v>8355.67</v>
      </c>
      <c r="AZ204" s="72">
        <v>0</v>
      </c>
      <c r="BA204" s="70" t="s">
        <v>67</v>
      </c>
      <c r="BB204" s="70" t="s">
        <v>1044</v>
      </c>
      <c r="BC204" s="70" t="s">
        <v>3054</v>
      </c>
      <c r="BD204" s="70" t="s">
        <v>600</v>
      </c>
      <c r="BE204" s="70" t="s">
        <v>74</v>
      </c>
      <c r="BF204" s="70" t="s">
        <v>545</v>
      </c>
      <c r="BH204" s="60" t="str">
        <f t="shared" si="3"/>
        <v>Ver en Mapa</v>
      </c>
      <c r="BK204" s="70">
        <v>0</v>
      </c>
      <c r="BL204" s="70">
        <v>0</v>
      </c>
      <c r="BM204" s="70" t="s">
        <v>2847</v>
      </c>
    </row>
    <row r="205" spans="1:65" s="68" customFormat="1" ht="14.4" customHeight="1" x14ac:dyDescent="0.3">
      <c r="A205" s="70" t="str">
        <f>H205</f>
        <v>001124</v>
      </c>
      <c r="B205" s="70" t="s">
        <v>61</v>
      </c>
      <c r="C205" s="70" t="s">
        <v>273</v>
      </c>
      <c r="D205" s="70" t="s">
        <v>408</v>
      </c>
      <c r="E205" s="70" t="s">
        <v>409</v>
      </c>
      <c r="F205" s="70" t="s">
        <v>590</v>
      </c>
      <c r="G205" s="70" t="s">
        <v>2763</v>
      </c>
      <c r="H205" s="70" t="s">
        <v>2465</v>
      </c>
      <c r="I205" s="70" t="s">
        <v>76</v>
      </c>
      <c r="J205" s="70" t="s">
        <v>596</v>
      </c>
      <c r="K205" s="71">
        <v>45796</v>
      </c>
      <c r="L205" s="71">
        <v>45980</v>
      </c>
      <c r="M205" s="72">
        <v>8000</v>
      </c>
      <c r="N205" s="72">
        <v>8000</v>
      </c>
      <c r="O205" s="73">
        <v>0</v>
      </c>
      <c r="P205" s="73">
        <v>6</v>
      </c>
      <c r="Q205" s="70" t="s">
        <v>68</v>
      </c>
      <c r="R205" s="72">
        <v>1534.39</v>
      </c>
      <c r="S205" s="72">
        <v>0</v>
      </c>
      <c r="T205" s="72">
        <v>0</v>
      </c>
      <c r="U205" s="72">
        <v>0</v>
      </c>
      <c r="V205" s="72">
        <v>0</v>
      </c>
      <c r="W205" s="72">
        <v>2887.08</v>
      </c>
      <c r="X205" s="72">
        <v>0</v>
      </c>
      <c r="Y205" s="72">
        <v>0</v>
      </c>
      <c r="Z205" s="74">
        <v>0</v>
      </c>
      <c r="AA205" s="72">
        <v>0</v>
      </c>
      <c r="AB205" s="72">
        <v>0</v>
      </c>
      <c r="AC205" s="72">
        <v>1534.39</v>
      </c>
      <c r="AD205" s="71">
        <v>45919</v>
      </c>
      <c r="AE205" s="70" t="s">
        <v>69</v>
      </c>
      <c r="AF205" s="70" t="s">
        <v>2466</v>
      </c>
      <c r="AG205" s="70" t="s">
        <v>597</v>
      </c>
      <c r="AI205" s="70" t="s">
        <v>598</v>
      </c>
      <c r="AJ205" s="70" t="s">
        <v>2467</v>
      </c>
      <c r="AM205" s="70" t="s">
        <v>948</v>
      </c>
      <c r="AN205" s="70" t="s">
        <v>2468</v>
      </c>
      <c r="AO205" s="70" t="s">
        <v>946</v>
      </c>
      <c r="AP205" s="70" t="s">
        <v>2469</v>
      </c>
      <c r="AQ205" s="70" t="s">
        <v>947</v>
      </c>
      <c r="AR205" s="70" t="s">
        <v>2470</v>
      </c>
      <c r="AY205" s="72">
        <v>2885.86</v>
      </c>
      <c r="AZ205" s="72">
        <v>1.22</v>
      </c>
      <c r="BA205" s="70" t="s">
        <v>280</v>
      </c>
      <c r="BB205" s="70" t="s">
        <v>281</v>
      </c>
      <c r="BC205" s="70" t="s">
        <v>2951</v>
      </c>
      <c r="BD205" s="70" t="s">
        <v>295</v>
      </c>
      <c r="BE205" s="70" t="s">
        <v>74</v>
      </c>
      <c r="BF205" s="70" t="s">
        <v>296</v>
      </c>
      <c r="BH205" s="60" t="str">
        <f t="shared" si="3"/>
        <v>Ver en Mapa</v>
      </c>
      <c r="BK205" s="70">
        <v>0</v>
      </c>
      <c r="BL205" s="70">
        <v>0</v>
      </c>
      <c r="BM205" s="70" t="s">
        <v>2846</v>
      </c>
    </row>
    <row r="206" spans="1:65" s="68" customFormat="1" ht="14.4" customHeight="1" x14ac:dyDescent="0.3">
      <c r="A206" s="70" t="str">
        <f>H206</f>
        <v>001252</v>
      </c>
      <c r="B206" s="70" t="s">
        <v>61</v>
      </c>
      <c r="C206" s="70" t="s">
        <v>273</v>
      </c>
      <c r="D206" s="70" t="s">
        <v>408</v>
      </c>
      <c r="E206" s="70" t="s">
        <v>409</v>
      </c>
      <c r="F206" s="70" t="s">
        <v>590</v>
      </c>
      <c r="G206" s="70" t="s">
        <v>2763</v>
      </c>
      <c r="H206" s="70" t="s">
        <v>2384</v>
      </c>
      <c r="I206" s="70" t="s">
        <v>67</v>
      </c>
      <c r="J206" s="70" t="s">
        <v>398</v>
      </c>
      <c r="K206" s="71">
        <v>45762</v>
      </c>
      <c r="L206" s="71">
        <v>46127</v>
      </c>
      <c r="M206" s="72">
        <v>7000</v>
      </c>
      <c r="N206" s="72">
        <v>7373.85</v>
      </c>
      <c r="O206" s="73">
        <v>0</v>
      </c>
      <c r="P206" s="73">
        <v>12</v>
      </c>
      <c r="Q206" s="70" t="s">
        <v>68</v>
      </c>
      <c r="R206" s="72">
        <v>1209.28</v>
      </c>
      <c r="S206" s="72">
        <v>696</v>
      </c>
      <c r="T206" s="72">
        <v>0</v>
      </c>
      <c r="U206" s="72">
        <v>0</v>
      </c>
      <c r="V206" s="72">
        <v>0</v>
      </c>
      <c r="W206" s="72">
        <v>4301.41</v>
      </c>
      <c r="X206" s="72">
        <v>0</v>
      </c>
      <c r="Y206" s="72">
        <v>0</v>
      </c>
      <c r="Z206" s="72">
        <v>0</v>
      </c>
      <c r="AA206" s="74">
        <v>0</v>
      </c>
      <c r="AB206" s="72">
        <v>0</v>
      </c>
      <c r="AC206" s="72">
        <v>1800</v>
      </c>
      <c r="AD206" s="71">
        <v>45924</v>
      </c>
      <c r="AE206" s="70" t="s">
        <v>69</v>
      </c>
      <c r="AF206" s="70" t="s">
        <v>2385</v>
      </c>
      <c r="AG206" s="70" t="s">
        <v>399</v>
      </c>
      <c r="AI206" s="70" t="s">
        <v>400</v>
      </c>
      <c r="AJ206" s="70" t="s">
        <v>1447</v>
      </c>
      <c r="AK206" s="70" t="s">
        <v>401</v>
      </c>
      <c r="AM206" s="70" t="s">
        <v>966</v>
      </c>
      <c r="AN206" s="70" t="s">
        <v>2386</v>
      </c>
      <c r="AO206" s="70" t="s">
        <v>964</v>
      </c>
      <c r="AP206" s="70" t="s">
        <v>2387</v>
      </c>
      <c r="AQ206" s="70" t="s">
        <v>965</v>
      </c>
      <c r="AR206" s="70" t="s">
        <v>2388</v>
      </c>
      <c r="AY206" s="72">
        <v>8035.4000000000005</v>
      </c>
      <c r="AZ206" s="72">
        <v>23.583514583333326</v>
      </c>
      <c r="BA206" s="70" t="s">
        <v>67</v>
      </c>
      <c r="BB206" s="70" t="s">
        <v>1044</v>
      </c>
      <c r="BC206" s="70" t="s">
        <v>402</v>
      </c>
      <c r="BD206" s="70" t="s">
        <v>403</v>
      </c>
      <c r="BE206" s="70" t="s">
        <v>74</v>
      </c>
      <c r="BF206" s="70" t="s">
        <v>204</v>
      </c>
      <c r="BH206" s="60" t="str">
        <f t="shared" si="3"/>
        <v>Ver en Mapa</v>
      </c>
      <c r="BK206" s="70">
        <v>2</v>
      </c>
      <c r="BL206" s="70">
        <v>1</v>
      </c>
      <c r="BM206" s="70" t="s">
        <v>2847</v>
      </c>
    </row>
    <row r="207" spans="1:65" s="68" customFormat="1" ht="14.4" customHeight="1" x14ac:dyDescent="0.3">
      <c r="A207" s="70" t="str">
        <f>H207</f>
        <v>001268</v>
      </c>
      <c r="B207" s="70" t="s">
        <v>61</v>
      </c>
      <c r="C207" s="70" t="s">
        <v>273</v>
      </c>
      <c r="D207" s="70" t="s">
        <v>408</v>
      </c>
      <c r="E207" s="70" t="s">
        <v>409</v>
      </c>
      <c r="F207" s="70" t="s">
        <v>590</v>
      </c>
      <c r="G207" s="70" t="s">
        <v>2763</v>
      </c>
      <c r="H207" s="70" t="s">
        <v>2389</v>
      </c>
      <c r="I207" s="70" t="s">
        <v>67</v>
      </c>
      <c r="J207" s="70" t="s">
        <v>433</v>
      </c>
      <c r="K207" s="71">
        <v>45770</v>
      </c>
      <c r="L207" s="71">
        <v>46135</v>
      </c>
      <c r="M207" s="72">
        <v>25000</v>
      </c>
      <c r="N207" s="72">
        <v>26335.190000000002</v>
      </c>
      <c r="O207" s="73">
        <v>0</v>
      </c>
      <c r="P207" s="73">
        <v>12</v>
      </c>
      <c r="Q207" s="70" t="s">
        <v>68</v>
      </c>
      <c r="R207" s="72">
        <v>3686.44</v>
      </c>
      <c r="S207" s="72">
        <v>696</v>
      </c>
      <c r="T207" s="72">
        <v>0</v>
      </c>
      <c r="U207" s="72">
        <v>0</v>
      </c>
      <c r="V207" s="72">
        <v>0</v>
      </c>
      <c r="W207" s="72">
        <v>15362.4</v>
      </c>
      <c r="X207" s="72">
        <v>0.20580000000000001</v>
      </c>
      <c r="Y207" s="72">
        <v>0.21</v>
      </c>
      <c r="Z207" s="72">
        <v>0</v>
      </c>
      <c r="AA207" s="72">
        <v>0</v>
      </c>
      <c r="AB207" s="72">
        <v>0</v>
      </c>
      <c r="AC207" s="72">
        <v>3686</v>
      </c>
      <c r="AD207" s="71">
        <v>45923</v>
      </c>
      <c r="AE207" s="70" t="s">
        <v>69</v>
      </c>
      <c r="AF207" s="70" t="s">
        <v>2390</v>
      </c>
      <c r="AG207" s="70" t="s">
        <v>434</v>
      </c>
      <c r="AI207" s="70" t="s">
        <v>86</v>
      </c>
      <c r="AJ207" s="70" t="s">
        <v>87</v>
      </c>
      <c r="AK207" s="70" t="s">
        <v>435</v>
      </c>
      <c r="AM207" s="70" t="s">
        <v>969</v>
      </c>
      <c r="AN207" s="70" t="s">
        <v>2391</v>
      </c>
      <c r="AO207" s="70" t="s">
        <v>967</v>
      </c>
      <c r="AP207" s="70" t="s">
        <v>2392</v>
      </c>
      <c r="AQ207" s="70" t="s">
        <v>968</v>
      </c>
      <c r="AR207" s="70" t="s">
        <v>2393</v>
      </c>
      <c r="AS207" s="70" t="s">
        <v>122</v>
      </c>
      <c r="AT207" s="68" t="s">
        <v>436</v>
      </c>
      <c r="AU207" s="70" t="s">
        <v>134</v>
      </c>
      <c r="AY207" s="72">
        <v>25399.29</v>
      </c>
      <c r="AZ207" s="72">
        <v>0</v>
      </c>
      <c r="BA207" s="70" t="s">
        <v>67</v>
      </c>
      <c r="BB207" s="70" t="s">
        <v>1044</v>
      </c>
      <c r="BC207" s="70" t="s">
        <v>437</v>
      </c>
      <c r="BD207" s="70" t="s">
        <v>438</v>
      </c>
      <c r="BE207" s="70" t="s">
        <v>74</v>
      </c>
      <c r="BF207" s="70" t="s">
        <v>438</v>
      </c>
      <c r="BH207" s="60" t="str">
        <f t="shared" si="3"/>
        <v>Ver en Mapa</v>
      </c>
      <c r="BK207" s="70">
        <v>0</v>
      </c>
      <c r="BL207" s="70">
        <v>0</v>
      </c>
      <c r="BM207" s="70" t="s">
        <v>2847</v>
      </c>
    </row>
    <row r="208" spans="1:65" s="68" customFormat="1" ht="14.4" customHeight="1" x14ac:dyDescent="0.3">
      <c r="A208" s="70" t="str">
        <f>H208</f>
        <v>001265</v>
      </c>
      <c r="B208" s="70" t="s">
        <v>61</v>
      </c>
      <c r="C208" s="70" t="s">
        <v>273</v>
      </c>
      <c r="D208" s="70" t="s">
        <v>408</v>
      </c>
      <c r="E208" s="70" t="s">
        <v>409</v>
      </c>
      <c r="F208" s="70" t="s">
        <v>590</v>
      </c>
      <c r="G208" s="70" t="s">
        <v>2763</v>
      </c>
      <c r="H208" s="70" t="s">
        <v>2394</v>
      </c>
      <c r="I208" s="70" t="s">
        <v>67</v>
      </c>
      <c r="J208" s="70" t="s">
        <v>446</v>
      </c>
      <c r="K208" s="71">
        <v>45770</v>
      </c>
      <c r="L208" s="71">
        <v>46135</v>
      </c>
      <c r="M208" s="72">
        <v>7000</v>
      </c>
      <c r="N208" s="72">
        <v>7373.85</v>
      </c>
      <c r="O208" s="73">
        <v>0</v>
      </c>
      <c r="P208" s="73">
        <v>12</v>
      </c>
      <c r="Q208" s="70" t="s">
        <v>68</v>
      </c>
      <c r="R208" s="72">
        <v>1209.28</v>
      </c>
      <c r="S208" s="72">
        <v>696</v>
      </c>
      <c r="T208" s="72">
        <v>0</v>
      </c>
      <c r="U208" s="72">
        <v>0</v>
      </c>
      <c r="V208" s="72">
        <v>0</v>
      </c>
      <c r="W208" s="72">
        <v>4301.41</v>
      </c>
      <c r="X208" s="72">
        <v>0</v>
      </c>
      <c r="Y208" s="72">
        <v>0</v>
      </c>
      <c r="Z208" s="72">
        <v>0</v>
      </c>
      <c r="AA208" s="74">
        <v>0</v>
      </c>
      <c r="AB208" s="72">
        <v>0</v>
      </c>
      <c r="AC208" s="72">
        <v>1210</v>
      </c>
      <c r="AD208" s="71">
        <v>45922</v>
      </c>
      <c r="AE208" s="70" t="s">
        <v>69</v>
      </c>
      <c r="AF208" s="70" t="s">
        <v>2395</v>
      </c>
      <c r="AG208" s="70" t="s">
        <v>447</v>
      </c>
      <c r="AI208" s="70" t="s">
        <v>448</v>
      </c>
      <c r="AJ208" s="70" t="s">
        <v>2396</v>
      </c>
      <c r="AK208" s="70" t="s">
        <v>449</v>
      </c>
      <c r="AM208" s="70" t="s">
        <v>976</v>
      </c>
      <c r="AN208" s="70" t="s">
        <v>2397</v>
      </c>
      <c r="AO208" s="70" t="s">
        <v>974</v>
      </c>
      <c r="AP208" s="70" t="s">
        <v>2398</v>
      </c>
      <c r="AQ208" s="70" t="s">
        <v>975</v>
      </c>
      <c r="AR208" s="70" t="s">
        <v>2399</v>
      </c>
      <c r="AY208" s="72">
        <v>8056.12</v>
      </c>
      <c r="AZ208" s="72">
        <v>2.86351458333333</v>
      </c>
      <c r="BA208" s="70" t="s">
        <v>67</v>
      </c>
      <c r="BB208" s="70" t="s">
        <v>1044</v>
      </c>
      <c r="BC208" s="70" t="s">
        <v>3055</v>
      </c>
      <c r="BD208" s="70" t="s">
        <v>450</v>
      </c>
      <c r="BE208" s="70" t="s">
        <v>74</v>
      </c>
      <c r="BF208" s="70" t="s">
        <v>285</v>
      </c>
      <c r="BH208" s="60" t="str">
        <f t="shared" si="3"/>
        <v>Ver en Mapa</v>
      </c>
      <c r="BK208" s="70">
        <v>0</v>
      </c>
      <c r="BL208" s="70">
        <v>0</v>
      </c>
      <c r="BM208" s="70" t="s">
        <v>2847</v>
      </c>
    </row>
    <row r="209" spans="1:65" s="68" customFormat="1" ht="14.4" customHeight="1" x14ac:dyDescent="0.3">
      <c r="A209" s="70" t="str">
        <f>H209</f>
        <v>001686</v>
      </c>
      <c r="B209" s="70" t="s">
        <v>61</v>
      </c>
      <c r="C209" s="70" t="s">
        <v>273</v>
      </c>
      <c r="D209" s="70" t="s">
        <v>1533</v>
      </c>
      <c r="E209" s="70" t="s">
        <v>599</v>
      </c>
      <c r="F209" s="70" t="s">
        <v>590</v>
      </c>
      <c r="G209" s="70" t="s">
        <v>2763</v>
      </c>
      <c r="H209" s="70" t="s">
        <v>2673</v>
      </c>
      <c r="I209" s="70" t="s">
        <v>67</v>
      </c>
      <c r="J209" s="70" t="s">
        <v>2674</v>
      </c>
      <c r="K209" s="71">
        <v>45877</v>
      </c>
      <c r="L209" s="71">
        <v>46045</v>
      </c>
      <c r="M209" s="72">
        <v>5000</v>
      </c>
      <c r="N209" s="72">
        <v>5267.04</v>
      </c>
      <c r="O209" s="73">
        <v>0</v>
      </c>
      <c r="P209" s="73">
        <v>12</v>
      </c>
      <c r="Q209" s="70" t="s">
        <v>496</v>
      </c>
      <c r="R209" s="72">
        <v>673.4</v>
      </c>
      <c r="S209" s="72">
        <v>696</v>
      </c>
      <c r="T209" s="72">
        <v>0</v>
      </c>
      <c r="U209" s="72">
        <v>4</v>
      </c>
      <c r="V209" s="72">
        <v>0</v>
      </c>
      <c r="W209" s="72">
        <v>3511.36</v>
      </c>
      <c r="X209" s="72">
        <v>0</v>
      </c>
      <c r="Y209" s="72">
        <v>0</v>
      </c>
      <c r="Z209" s="72">
        <v>0</v>
      </c>
      <c r="AA209" s="74">
        <v>0</v>
      </c>
      <c r="AB209" s="72">
        <v>0</v>
      </c>
      <c r="AC209" s="72">
        <v>674</v>
      </c>
      <c r="AD209" s="71">
        <v>45933</v>
      </c>
      <c r="AE209" s="70" t="s">
        <v>69</v>
      </c>
      <c r="AF209" s="70" t="s">
        <v>2675</v>
      </c>
      <c r="AG209" s="70" t="s">
        <v>2676</v>
      </c>
      <c r="AI209" s="70" t="s">
        <v>86</v>
      </c>
      <c r="AJ209" s="70" t="s">
        <v>87</v>
      </c>
      <c r="AK209" s="70" t="s">
        <v>2677</v>
      </c>
      <c r="AM209" s="70" t="s">
        <v>2678</v>
      </c>
      <c r="AN209" s="70" t="s">
        <v>2679</v>
      </c>
      <c r="AO209" s="70" t="s">
        <v>2680</v>
      </c>
      <c r="AP209" s="70" t="s">
        <v>2681</v>
      </c>
      <c r="AQ209" s="70" t="s">
        <v>2682</v>
      </c>
      <c r="AR209" s="70" t="s">
        <v>2683</v>
      </c>
      <c r="AY209" s="72">
        <v>4920.8100000000004</v>
      </c>
      <c r="AZ209" s="72">
        <v>2.4</v>
      </c>
      <c r="BA209" s="70" t="s">
        <v>67</v>
      </c>
      <c r="BB209" s="70" t="s">
        <v>1044</v>
      </c>
      <c r="BC209" s="70" t="s">
        <v>2684</v>
      </c>
      <c r="BD209" s="70" t="s">
        <v>2685</v>
      </c>
      <c r="BE209" s="70" t="s">
        <v>74</v>
      </c>
      <c r="BF209" s="70" t="s">
        <v>296</v>
      </c>
      <c r="BG209" s="70" t="s">
        <v>2686</v>
      </c>
      <c r="BH209" s="60" t="str">
        <f t="shared" si="3"/>
        <v>Ver en Mapa</v>
      </c>
      <c r="BK209" s="70">
        <v>0</v>
      </c>
      <c r="BL209" s="70">
        <v>0</v>
      </c>
      <c r="BM209" s="70" t="s">
        <v>2847</v>
      </c>
    </row>
    <row r="210" spans="1:65" s="68" customFormat="1" ht="14.4" customHeight="1" x14ac:dyDescent="0.3">
      <c r="A210" s="70" t="str">
        <f>H210</f>
        <v>001685</v>
      </c>
      <c r="B210" s="70" t="s">
        <v>61</v>
      </c>
      <c r="C210" s="70" t="s">
        <v>273</v>
      </c>
      <c r="D210" s="70" t="s">
        <v>1533</v>
      </c>
      <c r="E210" s="70" t="s">
        <v>599</v>
      </c>
      <c r="F210" s="70" t="s">
        <v>590</v>
      </c>
      <c r="G210" s="70" t="s">
        <v>2763</v>
      </c>
      <c r="H210" s="70" t="s">
        <v>2687</v>
      </c>
      <c r="I210" s="70" t="s">
        <v>67</v>
      </c>
      <c r="J210" s="70" t="s">
        <v>2688</v>
      </c>
      <c r="K210" s="71">
        <v>45877</v>
      </c>
      <c r="L210" s="71">
        <v>46242</v>
      </c>
      <c r="M210" s="72">
        <v>10000</v>
      </c>
      <c r="N210" s="72">
        <v>10534.08</v>
      </c>
      <c r="O210" s="73">
        <v>0</v>
      </c>
      <c r="P210" s="73">
        <v>12</v>
      </c>
      <c r="Q210" s="70" t="s">
        <v>68</v>
      </c>
      <c r="R210" s="72">
        <v>1702.69</v>
      </c>
      <c r="S210" s="72">
        <v>696</v>
      </c>
      <c r="T210" s="72">
        <v>0</v>
      </c>
      <c r="U210" s="72">
        <v>0</v>
      </c>
      <c r="V210" s="72">
        <v>0</v>
      </c>
      <c r="W210" s="72">
        <v>8778.4</v>
      </c>
      <c r="X210" s="72">
        <v>0</v>
      </c>
      <c r="Y210" s="72">
        <v>0</v>
      </c>
      <c r="Z210" s="72">
        <v>0</v>
      </c>
      <c r="AA210" s="74">
        <v>0</v>
      </c>
      <c r="AB210" s="72">
        <v>0</v>
      </c>
      <c r="AC210" s="72">
        <v>1703</v>
      </c>
      <c r="AD210" s="71">
        <v>45938</v>
      </c>
      <c r="AE210" s="70" t="s">
        <v>69</v>
      </c>
      <c r="AF210" s="70" t="s">
        <v>2689</v>
      </c>
      <c r="AG210" s="70" t="s">
        <v>2690</v>
      </c>
      <c r="AI210" s="70" t="s">
        <v>283</v>
      </c>
      <c r="AJ210" s="70" t="s">
        <v>284</v>
      </c>
      <c r="AM210" s="70" t="s">
        <v>2691</v>
      </c>
      <c r="AN210" s="70" t="s">
        <v>2692</v>
      </c>
      <c r="AO210" s="70" t="s">
        <v>2693</v>
      </c>
      <c r="AP210" s="70" t="s">
        <v>2694</v>
      </c>
      <c r="AQ210" s="70" t="s">
        <v>2695</v>
      </c>
      <c r="AR210" s="70" t="s">
        <v>2696</v>
      </c>
      <c r="AY210" s="72">
        <v>16446.3</v>
      </c>
      <c r="AZ210" s="72">
        <v>0.62</v>
      </c>
      <c r="BA210" s="70" t="s">
        <v>67</v>
      </c>
      <c r="BB210" s="70" t="s">
        <v>1044</v>
      </c>
      <c r="BC210" s="70" t="s">
        <v>2697</v>
      </c>
      <c r="BD210" s="70" t="s">
        <v>2581</v>
      </c>
      <c r="BE210" s="70" t="s">
        <v>74</v>
      </c>
      <c r="BF210" s="70" t="s">
        <v>296</v>
      </c>
      <c r="BG210" s="70" t="s">
        <v>2698</v>
      </c>
      <c r="BH210" s="60" t="str">
        <f t="shared" si="3"/>
        <v>Ver en Mapa</v>
      </c>
      <c r="BK210" s="70">
        <v>0</v>
      </c>
      <c r="BL210" s="70">
        <v>0</v>
      </c>
      <c r="BM210" s="70" t="s">
        <v>2847</v>
      </c>
    </row>
    <row r="211" spans="1:65" s="68" customFormat="1" ht="14.4" customHeight="1" x14ac:dyDescent="0.3">
      <c r="A211" s="70" t="str">
        <f>H211</f>
        <v>003324</v>
      </c>
      <c r="B211" s="70" t="s">
        <v>61</v>
      </c>
      <c r="C211" s="70" t="s">
        <v>273</v>
      </c>
      <c r="D211" s="70" t="s">
        <v>2882</v>
      </c>
      <c r="E211" s="70" t="s">
        <v>2883</v>
      </c>
      <c r="F211" s="70" t="s">
        <v>590</v>
      </c>
      <c r="G211" s="70" t="s">
        <v>2763</v>
      </c>
      <c r="H211" s="70" t="s">
        <v>2852</v>
      </c>
      <c r="I211" s="70" t="s">
        <v>67</v>
      </c>
      <c r="J211" s="70" t="s">
        <v>2853</v>
      </c>
      <c r="K211" s="71">
        <v>45933</v>
      </c>
      <c r="L211" s="71">
        <v>46115</v>
      </c>
      <c r="M211" s="72">
        <v>5000</v>
      </c>
      <c r="N211" s="72">
        <v>5267.04</v>
      </c>
      <c r="O211" s="73">
        <v>0</v>
      </c>
      <c r="P211" s="73">
        <v>6</v>
      </c>
      <c r="Q211" s="70" t="s">
        <v>68</v>
      </c>
      <c r="R211" s="72">
        <v>1318.22</v>
      </c>
      <c r="S211" s="72">
        <v>348</v>
      </c>
      <c r="T211" s="72">
        <v>0</v>
      </c>
      <c r="U211" s="72">
        <v>0</v>
      </c>
      <c r="V211" s="72">
        <v>0</v>
      </c>
      <c r="W211" s="72">
        <v>5267.04</v>
      </c>
      <c r="X211" s="72">
        <v>0</v>
      </c>
      <c r="Y211" s="72">
        <v>0</v>
      </c>
      <c r="Z211" s="72">
        <v>0</v>
      </c>
      <c r="AA211" s="72">
        <v>0</v>
      </c>
      <c r="AB211" s="72">
        <v>0</v>
      </c>
      <c r="AE211" s="70" t="s">
        <v>69</v>
      </c>
      <c r="AF211" s="70" t="s">
        <v>2854</v>
      </c>
      <c r="AG211" s="70" t="s">
        <v>2855</v>
      </c>
      <c r="AI211" s="70" t="s">
        <v>86</v>
      </c>
      <c r="AJ211" s="70" t="s">
        <v>87</v>
      </c>
      <c r="AK211" s="70" t="s">
        <v>2856</v>
      </c>
      <c r="AL211" s="70" t="s">
        <v>2854</v>
      </c>
      <c r="AM211" s="70" t="s">
        <v>2857</v>
      </c>
      <c r="AN211" s="70" t="s">
        <v>2858</v>
      </c>
      <c r="AO211" s="70" t="s">
        <v>2859</v>
      </c>
      <c r="AP211" s="70" t="s">
        <v>2854</v>
      </c>
      <c r="AQ211" s="70" t="s">
        <v>2860</v>
      </c>
      <c r="AR211" s="70" t="s">
        <v>2861</v>
      </c>
      <c r="AY211" s="72">
        <v>7561.29</v>
      </c>
      <c r="AZ211" s="72">
        <v>0</v>
      </c>
      <c r="BA211" s="70" t="s">
        <v>67</v>
      </c>
      <c r="BB211" s="70" t="s">
        <v>1044</v>
      </c>
      <c r="BC211" s="70" t="s">
        <v>2862</v>
      </c>
      <c r="BD211" s="70" t="s">
        <v>304</v>
      </c>
      <c r="BE211" s="70" t="s">
        <v>74</v>
      </c>
      <c r="BF211" s="70" t="s">
        <v>296</v>
      </c>
      <c r="BG211" s="70" t="s">
        <v>2863</v>
      </c>
      <c r="BH211" s="60" t="str">
        <f t="shared" si="3"/>
        <v>Ver en Mapa</v>
      </c>
      <c r="BK211" s="70">
        <v>0</v>
      </c>
      <c r="BL211" s="70">
        <v>0</v>
      </c>
      <c r="BM211" s="70" t="s">
        <v>2847</v>
      </c>
    </row>
    <row r="212" spans="1:65" s="68" customFormat="1" ht="14.4" customHeight="1" x14ac:dyDescent="0.3">
      <c r="A212" s="70" t="str">
        <f>H212</f>
        <v>001208</v>
      </c>
      <c r="B212" s="70" t="s">
        <v>61</v>
      </c>
      <c r="C212" s="70" t="s">
        <v>273</v>
      </c>
      <c r="D212" s="70" t="s">
        <v>286</v>
      </c>
      <c r="E212" s="70" t="s">
        <v>287</v>
      </c>
      <c r="F212" s="70" t="s">
        <v>2785</v>
      </c>
      <c r="G212" s="70" t="s">
        <v>2786</v>
      </c>
      <c r="H212" s="70" t="s">
        <v>1502</v>
      </c>
      <c r="I212" s="70" t="s">
        <v>67</v>
      </c>
      <c r="J212" s="70" t="s">
        <v>305</v>
      </c>
      <c r="K212" s="71">
        <v>45719</v>
      </c>
      <c r="L212" s="71">
        <v>46268</v>
      </c>
      <c r="M212" s="72">
        <v>100000</v>
      </c>
      <c r="N212" s="72">
        <v>105340.78</v>
      </c>
      <c r="O212" s="73">
        <v>0</v>
      </c>
      <c r="P212" s="73">
        <v>18</v>
      </c>
      <c r="Q212" s="70" t="s">
        <v>68</v>
      </c>
      <c r="R212" s="72">
        <v>15656.04</v>
      </c>
      <c r="S212" s="72">
        <v>1044</v>
      </c>
      <c r="T212" s="72">
        <v>0</v>
      </c>
      <c r="U212" s="72">
        <v>0</v>
      </c>
      <c r="V212" s="72">
        <v>0</v>
      </c>
      <c r="W212" s="72">
        <v>48493.48</v>
      </c>
      <c r="X212" s="72">
        <v>0</v>
      </c>
      <c r="Y212" s="74">
        <v>0</v>
      </c>
      <c r="Z212" s="74">
        <v>0</v>
      </c>
      <c r="AA212" s="74">
        <v>0</v>
      </c>
      <c r="AB212" s="72">
        <v>0</v>
      </c>
      <c r="AC212" s="72">
        <v>70000</v>
      </c>
      <c r="AD212" s="71">
        <v>45938</v>
      </c>
      <c r="AE212" s="70" t="s">
        <v>69</v>
      </c>
      <c r="AF212" s="70" t="s">
        <v>1503</v>
      </c>
      <c r="AG212" s="70" t="s">
        <v>306</v>
      </c>
      <c r="AI212" s="70" t="s">
        <v>307</v>
      </c>
      <c r="AJ212" s="70" t="s">
        <v>1504</v>
      </c>
      <c r="AK212" s="70" t="s">
        <v>308</v>
      </c>
      <c r="AM212" s="70" t="s">
        <v>940</v>
      </c>
      <c r="AN212" s="70" t="s">
        <v>1505</v>
      </c>
      <c r="AO212" s="70" t="s">
        <v>938</v>
      </c>
      <c r="AP212" s="70" t="s">
        <v>1506</v>
      </c>
      <c r="AQ212" s="70" t="s">
        <v>939</v>
      </c>
      <c r="AR212" s="70" t="s">
        <v>1507</v>
      </c>
      <c r="AS212" s="70" t="s">
        <v>122</v>
      </c>
      <c r="AT212" s="68" t="s">
        <v>309</v>
      </c>
      <c r="AU212" s="70" t="s">
        <v>310</v>
      </c>
      <c r="AY212" s="72">
        <v>126285.7</v>
      </c>
      <c r="AZ212" s="72">
        <v>45292.7811</v>
      </c>
      <c r="BA212" s="70" t="s">
        <v>67</v>
      </c>
      <c r="BB212" s="70" t="s">
        <v>1044</v>
      </c>
      <c r="BC212" s="70" t="s">
        <v>311</v>
      </c>
      <c r="BD212" s="70" t="s">
        <v>312</v>
      </c>
      <c r="BE212" s="70" t="s">
        <v>74</v>
      </c>
      <c r="BF212" s="70" t="s">
        <v>273</v>
      </c>
      <c r="BH212" s="60" t="str">
        <f t="shared" si="3"/>
        <v>Ver en Mapa</v>
      </c>
      <c r="BK212" s="70">
        <v>6</v>
      </c>
      <c r="BL212" s="70">
        <v>6</v>
      </c>
      <c r="BM212" s="70" t="s">
        <v>2847</v>
      </c>
    </row>
    <row r="213" spans="1:65" s="68" customFormat="1" ht="14.4" customHeight="1" x14ac:dyDescent="0.3">
      <c r="A213" s="70" t="str">
        <f>H213</f>
        <v>001405</v>
      </c>
      <c r="B213" s="70" t="s">
        <v>61</v>
      </c>
      <c r="C213" s="70" t="s">
        <v>392</v>
      </c>
      <c r="D213" s="70" t="s">
        <v>1544</v>
      </c>
      <c r="E213" s="70" t="s">
        <v>1068</v>
      </c>
      <c r="F213" s="70" t="s">
        <v>590</v>
      </c>
      <c r="G213" s="70" t="s">
        <v>2763</v>
      </c>
      <c r="H213" s="70" t="s">
        <v>2491</v>
      </c>
      <c r="I213" s="70" t="s">
        <v>67</v>
      </c>
      <c r="J213" s="70" t="s">
        <v>1184</v>
      </c>
      <c r="K213" s="71">
        <v>45824</v>
      </c>
      <c r="L213" s="71">
        <v>46007</v>
      </c>
      <c r="M213" s="72">
        <v>10000</v>
      </c>
      <c r="N213" s="72">
        <v>10534.08</v>
      </c>
      <c r="O213" s="73">
        <v>0</v>
      </c>
      <c r="P213" s="73">
        <v>6</v>
      </c>
      <c r="Q213" s="70" t="s">
        <v>68</v>
      </c>
      <c r="R213" s="72">
        <v>2582.63</v>
      </c>
      <c r="S213" s="72">
        <v>348</v>
      </c>
      <c r="T213" s="72">
        <v>0</v>
      </c>
      <c r="U213" s="72">
        <v>0</v>
      </c>
      <c r="V213" s="72">
        <v>0</v>
      </c>
      <c r="W213" s="72">
        <v>5267.04</v>
      </c>
      <c r="X213" s="72">
        <v>0</v>
      </c>
      <c r="Y213" s="72">
        <v>0</v>
      </c>
      <c r="Z213" s="72">
        <v>0</v>
      </c>
      <c r="AA213" s="74">
        <v>0</v>
      </c>
      <c r="AB213" s="72">
        <v>0</v>
      </c>
      <c r="AC213" s="72">
        <v>2583</v>
      </c>
      <c r="AD213" s="71">
        <v>45917</v>
      </c>
      <c r="AE213" s="70" t="s">
        <v>69</v>
      </c>
      <c r="AF213" s="70" t="s">
        <v>2492</v>
      </c>
      <c r="AG213" s="70" t="s">
        <v>1185</v>
      </c>
      <c r="AI213" s="70" t="s">
        <v>89</v>
      </c>
      <c r="AJ213" s="70" t="s">
        <v>90</v>
      </c>
      <c r="AK213" s="70" t="s">
        <v>1186</v>
      </c>
      <c r="AL213" s="70" t="s">
        <v>2493</v>
      </c>
      <c r="AM213" s="70" t="s">
        <v>1187</v>
      </c>
      <c r="AN213" s="70" t="s">
        <v>2494</v>
      </c>
      <c r="AO213" s="70" t="s">
        <v>1188</v>
      </c>
      <c r="AP213" s="70" t="s">
        <v>2495</v>
      </c>
      <c r="AQ213" s="70" t="s">
        <v>1189</v>
      </c>
      <c r="AR213" s="70" t="s">
        <v>2496</v>
      </c>
      <c r="AY213" s="72">
        <v>7572.8</v>
      </c>
      <c r="AZ213" s="72">
        <v>1.1018208</v>
      </c>
      <c r="BA213" s="70" t="s">
        <v>67</v>
      </c>
      <c r="BB213" s="70" t="s">
        <v>1044</v>
      </c>
      <c r="BC213" s="70" t="s">
        <v>2998</v>
      </c>
      <c r="BD213" s="70" t="s">
        <v>1191</v>
      </c>
      <c r="BE213" s="70" t="s">
        <v>74</v>
      </c>
      <c r="BF213" s="70" t="s">
        <v>392</v>
      </c>
      <c r="BG213" s="70" t="s">
        <v>1192</v>
      </c>
      <c r="BH213" s="60" t="str">
        <f t="shared" si="3"/>
        <v>Ver en Mapa</v>
      </c>
      <c r="BK213" s="70">
        <v>0</v>
      </c>
      <c r="BL213" s="70">
        <v>0</v>
      </c>
      <c r="BM213" s="70" t="s">
        <v>2847</v>
      </c>
    </row>
    <row r="214" spans="1:65" s="68" customFormat="1" ht="14.4" customHeight="1" x14ac:dyDescent="0.3">
      <c r="A214" s="70" t="str">
        <f>H214</f>
        <v>001449</v>
      </c>
      <c r="B214" s="70" t="s">
        <v>61</v>
      </c>
      <c r="C214" s="70" t="s">
        <v>392</v>
      </c>
      <c r="D214" s="70" t="s">
        <v>1544</v>
      </c>
      <c r="E214" s="70" t="s">
        <v>1068</v>
      </c>
      <c r="F214" s="70" t="s">
        <v>590</v>
      </c>
      <c r="G214" s="70" t="s">
        <v>2763</v>
      </c>
      <c r="H214" s="70" t="s">
        <v>2497</v>
      </c>
      <c r="I214" s="70" t="s">
        <v>67</v>
      </c>
      <c r="J214" s="70" t="s">
        <v>1365</v>
      </c>
      <c r="K214" s="71">
        <v>45834</v>
      </c>
      <c r="L214" s="71">
        <v>46023</v>
      </c>
      <c r="M214" s="72">
        <v>20000</v>
      </c>
      <c r="N214" s="72">
        <v>21068.16</v>
      </c>
      <c r="O214" s="73">
        <v>0</v>
      </c>
      <c r="P214" s="73">
        <v>6</v>
      </c>
      <c r="Q214" s="70" t="s">
        <v>68</v>
      </c>
      <c r="R214" s="72">
        <v>5115.67</v>
      </c>
      <c r="S214" s="72">
        <v>348</v>
      </c>
      <c r="T214" s="72">
        <v>0</v>
      </c>
      <c r="U214" s="72">
        <v>0</v>
      </c>
      <c r="V214" s="72">
        <v>0</v>
      </c>
      <c r="W214" s="72">
        <v>10534.08</v>
      </c>
      <c r="X214" s="72">
        <v>0</v>
      </c>
      <c r="Y214" s="72">
        <v>0</v>
      </c>
      <c r="Z214" s="72">
        <v>0</v>
      </c>
      <c r="AA214" s="72">
        <v>0</v>
      </c>
      <c r="AB214" s="72">
        <v>0</v>
      </c>
      <c r="AC214" s="72">
        <v>10811.34</v>
      </c>
      <c r="AD214" s="71">
        <v>45903</v>
      </c>
      <c r="AE214" s="70" t="s">
        <v>69</v>
      </c>
      <c r="AF214" s="70" t="s">
        <v>2498</v>
      </c>
      <c r="AG214" s="70" t="s">
        <v>2815</v>
      </c>
      <c r="AI214" s="70" t="s">
        <v>256</v>
      </c>
      <c r="AJ214" s="70" t="s">
        <v>257</v>
      </c>
      <c r="AM214" s="70" t="s">
        <v>1366</v>
      </c>
      <c r="AN214" s="70" t="s">
        <v>2499</v>
      </c>
      <c r="AO214" s="70" t="s">
        <v>1367</v>
      </c>
      <c r="AP214" s="70" t="s">
        <v>2500</v>
      </c>
      <c r="AQ214" s="70" t="s">
        <v>1368</v>
      </c>
      <c r="AR214" s="70" t="s">
        <v>2501</v>
      </c>
      <c r="AY214" s="72">
        <v>15173.01</v>
      </c>
      <c r="AZ214" s="72">
        <v>2.0768000000000002E-3</v>
      </c>
      <c r="BA214" s="70" t="s">
        <v>67</v>
      </c>
      <c r="BB214" s="70" t="s">
        <v>1044</v>
      </c>
      <c r="BC214" s="70" t="s">
        <v>2944</v>
      </c>
      <c r="BD214" s="70" t="s">
        <v>1696</v>
      </c>
      <c r="BE214" s="70" t="s">
        <v>74</v>
      </c>
      <c r="BF214" s="70" t="s">
        <v>392</v>
      </c>
      <c r="BG214" s="70" t="s">
        <v>1369</v>
      </c>
      <c r="BH214" s="60" t="str">
        <f t="shared" si="3"/>
        <v>Ver en Mapa</v>
      </c>
      <c r="BK214" s="70">
        <v>1</v>
      </c>
      <c r="BL214" s="70">
        <v>1</v>
      </c>
      <c r="BM214" s="70" t="s">
        <v>2847</v>
      </c>
    </row>
    <row r="215" spans="1:65" s="68" customFormat="1" ht="14.4" customHeight="1" x14ac:dyDescent="0.3">
      <c r="A215" s="70" t="str">
        <f>H215</f>
        <v>001388</v>
      </c>
      <c r="B215" s="70" t="s">
        <v>61</v>
      </c>
      <c r="C215" s="70" t="s">
        <v>392</v>
      </c>
      <c r="D215" s="70" t="s">
        <v>1551</v>
      </c>
      <c r="E215" s="70" t="s">
        <v>1131</v>
      </c>
      <c r="F215" s="70" t="s">
        <v>590</v>
      </c>
      <c r="G215" s="70" t="s">
        <v>2763</v>
      </c>
      <c r="H215" s="70" t="s">
        <v>2509</v>
      </c>
      <c r="I215" s="70" t="s">
        <v>67</v>
      </c>
      <c r="J215" s="70" t="s">
        <v>1132</v>
      </c>
      <c r="K215" s="71">
        <v>45818</v>
      </c>
      <c r="L215" s="71">
        <v>46001</v>
      </c>
      <c r="M215" s="72">
        <v>40000</v>
      </c>
      <c r="N215" s="72">
        <v>42136.31</v>
      </c>
      <c r="O215" s="73">
        <v>0</v>
      </c>
      <c r="P215" s="73">
        <v>6</v>
      </c>
      <c r="Q215" s="70" t="s">
        <v>68</v>
      </c>
      <c r="R215" s="72">
        <v>10156.530000000001</v>
      </c>
      <c r="S215" s="72">
        <v>348</v>
      </c>
      <c r="T215" s="72">
        <v>580</v>
      </c>
      <c r="U215" s="72">
        <v>0</v>
      </c>
      <c r="V215" s="72">
        <v>0</v>
      </c>
      <c r="W215" s="72">
        <v>14045.44</v>
      </c>
      <c r="X215" s="72">
        <v>579.05403586666705</v>
      </c>
      <c r="Y215" s="72">
        <v>0</v>
      </c>
      <c r="Z215" s="72">
        <v>0</v>
      </c>
      <c r="AA215" s="74">
        <v>0</v>
      </c>
      <c r="AB215" s="72">
        <v>580</v>
      </c>
      <c r="AC215" s="72">
        <v>10157</v>
      </c>
      <c r="AD215" s="71">
        <v>45941</v>
      </c>
      <c r="AE215" s="70" t="s">
        <v>69</v>
      </c>
      <c r="AF215" s="70" t="s">
        <v>2510</v>
      </c>
      <c r="AG215" s="70" t="s">
        <v>1133</v>
      </c>
      <c r="AI215" s="70" t="s">
        <v>1134</v>
      </c>
      <c r="AJ215" s="70" t="s">
        <v>2511</v>
      </c>
      <c r="AK215" s="70" t="s">
        <v>1135</v>
      </c>
      <c r="AL215" s="70" t="s">
        <v>2512</v>
      </c>
      <c r="AM215" s="70" t="s">
        <v>1136</v>
      </c>
      <c r="AN215" s="70" t="s">
        <v>2513</v>
      </c>
      <c r="AO215" s="70" t="s">
        <v>1137</v>
      </c>
      <c r="AP215" s="70" t="s">
        <v>2514</v>
      </c>
      <c r="AQ215" s="70" t="s">
        <v>1138</v>
      </c>
      <c r="AR215" s="70" t="s">
        <v>2515</v>
      </c>
      <c r="AY215" s="72">
        <v>20776.11</v>
      </c>
      <c r="AZ215" s="72">
        <v>0</v>
      </c>
      <c r="BA215" s="70" t="s">
        <v>67</v>
      </c>
      <c r="BB215" s="70" t="s">
        <v>1044</v>
      </c>
      <c r="BC215" s="70" t="s">
        <v>2873</v>
      </c>
      <c r="BD215" s="70" t="s">
        <v>1140</v>
      </c>
      <c r="BE215" s="70" t="s">
        <v>74</v>
      </c>
      <c r="BF215" s="70" t="s">
        <v>1141</v>
      </c>
      <c r="BG215" s="70" t="s">
        <v>1142</v>
      </c>
      <c r="BH215" s="60" t="str">
        <f t="shared" si="3"/>
        <v>Ver en Mapa</v>
      </c>
      <c r="BK215" s="70">
        <v>1</v>
      </c>
      <c r="BL215" s="70">
        <v>1</v>
      </c>
      <c r="BM215" s="70" t="s">
        <v>2847</v>
      </c>
    </row>
    <row r="216" spans="1:65" s="68" customFormat="1" ht="14.4" customHeight="1" x14ac:dyDescent="0.3">
      <c r="A216" s="70" t="str">
        <f>H216</f>
        <v>001364</v>
      </c>
      <c r="B216" s="70" t="s">
        <v>61</v>
      </c>
      <c r="C216" s="70" t="s">
        <v>392</v>
      </c>
      <c r="D216" s="70" t="s">
        <v>1545</v>
      </c>
      <c r="E216" s="70" t="s">
        <v>665</v>
      </c>
      <c r="F216" s="70" t="s">
        <v>590</v>
      </c>
      <c r="G216" s="70" t="s">
        <v>2763</v>
      </c>
      <c r="H216" s="70" t="s">
        <v>2522</v>
      </c>
      <c r="I216" s="70" t="s">
        <v>67</v>
      </c>
      <c r="J216" s="70" t="s">
        <v>1058</v>
      </c>
      <c r="K216" s="71">
        <v>45811</v>
      </c>
      <c r="L216" s="71">
        <v>45994</v>
      </c>
      <c r="M216" s="72">
        <v>10000</v>
      </c>
      <c r="N216" s="72">
        <v>10534.08</v>
      </c>
      <c r="O216" s="73">
        <v>0</v>
      </c>
      <c r="P216" s="73">
        <v>6</v>
      </c>
      <c r="Q216" s="70" t="s">
        <v>68</v>
      </c>
      <c r="R216" s="72">
        <v>2582.63</v>
      </c>
      <c r="S216" s="72">
        <v>348</v>
      </c>
      <c r="T216" s="72">
        <v>0</v>
      </c>
      <c r="U216" s="72">
        <v>0</v>
      </c>
      <c r="V216" s="72">
        <v>0</v>
      </c>
      <c r="W216" s="72">
        <v>3511.36</v>
      </c>
      <c r="X216" s="72">
        <v>0</v>
      </c>
      <c r="Y216" s="72">
        <v>0</v>
      </c>
      <c r="Z216" s="72">
        <v>0</v>
      </c>
      <c r="AA216" s="74">
        <v>0</v>
      </c>
      <c r="AB216" s="72">
        <v>0</v>
      </c>
      <c r="AC216" s="72">
        <v>2583</v>
      </c>
      <c r="AD216" s="71">
        <v>45933</v>
      </c>
      <c r="AE216" s="70" t="s">
        <v>69</v>
      </c>
      <c r="AF216" s="70" t="s">
        <v>2523</v>
      </c>
      <c r="AG216" s="70" t="s">
        <v>1059</v>
      </c>
      <c r="AI216" s="70" t="s">
        <v>1060</v>
      </c>
      <c r="AJ216" s="70" t="s">
        <v>2524</v>
      </c>
      <c r="AK216" s="70" t="s">
        <v>1061</v>
      </c>
      <c r="AL216" s="70" t="s">
        <v>2523</v>
      </c>
      <c r="AM216" s="70" t="s">
        <v>1062</v>
      </c>
      <c r="AN216" s="70" t="s">
        <v>2525</v>
      </c>
      <c r="AO216" s="70" t="s">
        <v>1063</v>
      </c>
      <c r="AP216" s="70" t="s">
        <v>2526</v>
      </c>
      <c r="AQ216" s="70" t="s">
        <v>1064</v>
      </c>
      <c r="AR216" s="70" t="s">
        <v>2527</v>
      </c>
      <c r="AY216" s="72">
        <v>5014.8</v>
      </c>
      <c r="AZ216" s="72">
        <v>34.47</v>
      </c>
      <c r="BA216" s="70" t="s">
        <v>67</v>
      </c>
      <c r="BB216" s="70" t="s">
        <v>1044</v>
      </c>
      <c r="BC216" s="70" t="s">
        <v>2970</v>
      </c>
      <c r="BD216" s="70" t="s">
        <v>1065</v>
      </c>
      <c r="BE216" s="70" t="s">
        <v>74</v>
      </c>
      <c r="BF216" s="70" t="s">
        <v>1066</v>
      </c>
      <c r="BG216" s="70" t="s">
        <v>1067</v>
      </c>
      <c r="BH216" s="60" t="str">
        <f t="shared" si="3"/>
        <v>Ver en Mapa</v>
      </c>
      <c r="BK216" s="70">
        <v>0</v>
      </c>
      <c r="BL216" s="70">
        <v>0</v>
      </c>
      <c r="BM216" s="70" t="s">
        <v>2847</v>
      </c>
    </row>
    <row r="217" spans="1:65" s="68" customFormat="1" ht="14.4" customHeight="1" x14ac:dyDescent="0.3">
      <c r="A217" s="70" t="str">
        <f>H217</f>
        <v>001368</v>
      </c>
      <c r="B217" s="70" t="s">
        <v>61</v>
      </c>
      <c r="C217" s="70" t="s">
        <v>392</v>
      </c>
      <c r="D217" s="70" t="s">
        <v>1544</v>
      </c>
      <c r="E217" s="70" t="s">
        <v>1068</v>
      </c>
      <c r="F217" s="70" t="s">
        <v>590</v>
      </c>
      <c r="G217" s="70" t="s">
        <v>2763</v>
      </c>
      <c r="H217" s="70" t="s">
        <v>1566</v>
      </c>
      <c r="I217" s="70" t="s">
        <v>67</v>
      </c>
      <c r="J217" s="70" t="s">
        <v>1069</v>
      </c>
      <c r="K217" s="71">
        <v>45811</v>
      </c>
      <c r="L217" s="71">
        <v>45979</v>
      </c>
      <c r="M217" s="72">
        <v>5000</v>
      </c>
      <c r="N217" s="72">
        <v>5267.04</v>
      </c>
      <c r="O217" s="73">
        <v>0</v>
      </c>
      <c r="P217" s="73">
        <v>24</v>
      </c>
      <c r="Q217" s="70" t="s">
        <v>469</v>
      </c>
      <c r="R217" s="72">
        <v>365.7</v>
      </c>
      <c r="S217" s="72">
        <v>1392</v>
      </c>
      <c r="T217" s="72">
        <v>0</v>
      </c>
      <c r="U217" s="72">
        <v>19</v>
      </c>
      <c r="V217" s="72">
        <v>0</v>
      </c>
      <c r="W217" s="72">
        <v>1097.3</v>
      </c>
      <c r="X217" s="72">
        <v>0</v>
      </c>
      <c r="Y217" s="72">
        <v>0</v>
      </c>
      <c r="Z217" s="72">
        <v>0</v>
      </c>
      <c r="AA217" s="74">
        <v>0</v>
      </c>
      <c r="AB217" s="72">
        <v>0</v>
      </c>
      <c r="AC217" s="72">
        <v>367</v>
      </c>
      <c r="AD217" s="71">
        <v>45940</v>
      </c>
      <c r="AE217" s="70" t="s">
        <v>69</v>
      </c>
      <c r="AF217" s="70" t="s">
        <v>1567</v>
      </c>
      <c r="AG217" s="70" t="s">
        <v>1070</v>
      </c>
      <c r="AI217" s="70" t="s">
        <v>379</v>
      </c>
      <c r="AJ217" s="70" t="s">
        <v>380</v>
      </c>
      <c r="AK217" s="70" t="s">
        <v>1071</v>
      </c>
      <c r="AL217" s="70" t="s">
        <v>1567</v>
      </c>
      <c r="AM217" s="70" t="s">
        <v>1072</v>
      </c>
      <c r="AN217" s="70" t="s">
        <v>1568</v>
      </c>
      <c r="AO217" s="70" t="s">
        <v>1073</v>
      </c>
      <c r="AP217" s="70" t="s">
        <v>1569</v>
      </c>
      <c r="AQ217" s="70" t="s">
        <v>1074</v>
      </c>
      <c r="AR217" s="70" t="s">
        <v>1570</v>
      </c>
      <c r="AY217" s="72">
        <v>1499.01</v>
      </c>
      <c r="AZ217" s="72">
        <v>39.490940799999997</v>
      </c>
      <c r="BA217" s="70" t="s">
        <v>67</v>
      </c>
      <c r="BB217" s="70" t="s">
        <v>1044</v>
      </c>
      <c r="BC217" s="70" t="s">
        <v>2980</v>
      </c>
      <c r="BD217" s="70" t="s">
        <v>1076</v>
      </c>
      <c r="BE217" s="70" t="s">
        <v>74</v>
      </c>
      <c r="BF217" s="70" t="s">
        <v>392</v>
      </c>
      <c r="BG217" s="70" t="s">
        <v>1077</v>
      </c>
      <c r="BH217" s="60" t="str">
        <f t="shared" si="3"/>
        <v>Ver en Mapa</v>
      </c>
      <c r="BK217" s="70">
        <v>0</v>
      </c>
      <c r="BL217" s="70">
        <v>0</v>
      </c>
      <c r="BM217" s="70" t="s">
        <v>2847</v>
      </c>
    </row>
    <row r="218" spans="1:65" s="68" customFormat="1" ht="14.4" customHeight="1" x14ac:dyDescent="0.3">
      <c r="A218" s="70" t="str">
        <f>H218</f>
        <v>001370</v>
      </c>
      <c r="B218" s="70" t="s">
        <v>61</v>
      </c>
      <c r="C218" s="70" t="s">
        <v>392</v>
      </c>
      <c r="D218" s="70" t="s">
        <v>1544</v>
      </c>
      <c r="E218" s="70" t="s">
        <v>1068</v>
      </c>
      <c r="F218" s="70" t="s">
        <v>590</v>
      </c>
      <c r="G218" s="70" t="s">
        <v>2763</v>
      </c>
      <c r="H218" s="70" t="s">
        <v>2528</v>
      </c>
      <c r="I218" s="70" t="s">
        <v>67</v>
      </c>
      <c r="J218" s="70" t="s">
        <v>1078</v>
      </c>
      <c r="K218" s="71">
        <v>45811</v>
      </c>
      <c r="L218" s="71">
        <v>45979</v>
      </c>
      <c r="M218" s="72">
        <v>5000</v>
      </c>
      <c r="N218" s="72">
        <v>5267.04</v>
      </c>
      <c r="O218" s="73">
        <v>0</v>
      </c>
      <c r="P218" s="73">
        <v>24</v>
      </c>
      <c r="Q218" s="70" t="s">
        <v>469</v>
      </c>
      <c r="R218" s="72">
        <v>365.7</v>
      </c>
      <c r="S218" s="72">
        <v>1392</v>
      </c>
      <c r="T218" s="72">
        <v>0</v>
      </c>
      <c r="U218" s="72">
        <v>19</v>
      </c>
      <c r="V218" s="72">
        <v>1</v>
      </c>
      <c r="W218" s="72">
        <v>1316.76</v>
      </c>
      <c r="X218" s="72">
        <v>365.41</v>
      </c>
      <c r="Y218" s="72">
        <v>219.46</v>
      </c>
      <c r="Z218" s="72">
        <v>88.24</v>
      </c>
      <c r="AA218" s="72">
        <v>57.71</v>
      </c>
      <c r="AB218" s="72">
        <v>0</v>
      </c>
      <c r="AC218" s="72">
        <v>365.7</v>
      </c>
      <c r="AD218" s="71">
        <v>45937</v>
      </c>
      <c r="AE218" s="70" t="s">
        <v>69</v>
      </c>
      <c r="AF218" s="70" t="s">
        <v>2529</v>
      </c>
      <c r="AG218" s="70" t="s">
        <v>1079</v>
      </c>
      <c r="AI218" s="70" t="s">
        <v>537</v>
      </c>
      <c r="AJ218" s="70" t="s">
        <v>1457</v>
      </c>
      <c r="AM218" s="70" t="s">
        <v>1080</v>
      </c>
      <c r="AN218" s="70" t="s">
        <v>2530</v>
      </c>
      <c r="AO218" s="70" t="s">
        <v>1081</v>
      </c>
      <c r="AP218" s="70" t="s">
        <v>2531</v>
      </c>
      <c r="AQ218" s="70" t="s">
        <v>1082</v>
      </c>
      <c r="AR218" s="70" t="s">
        <v>2532</v>
      </c>
      <c r="AY218" s="72">
        <v>1903.91</v>
      </c>
      <c r="AZ218" s="72">
        <v>0</v>
      </c>
      <c r="BA218" s="70" t="s">
        <v>67</v>
      </c>
      <c r="BB218" s="70" t="s">
        <v>1044</v>
      </c>
      <c r="BC218" s="70" t="s">
        <v>3060</v>
      </c>
      <c r="BD218" s="70" t="s">
        <v>641</v>
      </c>
      <c r="BE218" s="70" t="s">
        <v>74</v>
      </c>
      <c r="BF218" s="70" t="s">
        <v>392</v>
      </c>
      <c r="BG218" s="70" t="s">
        <v>1084</v>
      </c>
      <c r="BH218" s="60" t="str">
        <f t="shared" si="3"/>
        <v>Ver en Mapa</v>
      </c>
      <c r="BK218" s="70">
        <v>1</v>
      </c>
      <c r="BL218" s="70">
        <v>1</v>
      </c>
      <c r="BM218" s="70" t="s">
        <v>2847</v>
      </c>
    </row>
    <row r="219" spans="1:65" s="68" customFormat="1" ht="14.4" customHeight="1" x14ac:dyDescent="0.3">
      <c r="A219" s="70" t="str">
        <f>H219</f>
        <v>001427</v>
      </c>
      <c r="B219" s="70" t="s">
        <v>61</v>
      </c>
      <c r="C219" s="70" t="s">
        <v>392</v>
      </c>
      <c r="D219" s="70" t="s">
        <v>1551</v>
      </c>
      <c r="E219" s="70" t="s">
        <v>1131</v>
      </c>
      <c r="F219" s="70" t="s">
        <v>2802</v>
      </c>
      <c r="G219" s="70" t="s">
        <v>2803</v>
      </c>
      <c r="H219" s="70" t="s">
        <v>1552</v>
      </c>
      <c r="I219" s="70" t="s">
        <v>67</v>
      </c>
      <c r="J219" s="70" t="s">
        <v>1305</v>
      </c>
      <c r="K219" s="71">
        <v>45828</v>
      </c>
      <c r="L219" s="71">
        <v>46193</v>
      </c>
      <c r="M219" s="72">
        <v>20000</v>
      </c>
      <c r="N219" s="72">
        <v>21068.16</v>
      </c>
      <c r="O219" s="73">
        <v>0</v>
      </c>
      <c r="P219" s="73">
        <v>12</v>
      </c>
      <c r="Q219" s="70" t="s">
        <v>68</v>
      </c>
      <c r="R219" s="72">
        <v>3347.38</v>
      </c>
      <c r="S219" s="72">
        <v>696</v>
      </c>
      <c r="T219" s="72">
        <v>0</v>
      </c>
      <c r="U219" s="72">
        <v>0</v>
      </c>
      <c r="V219" s="72">
        <v>0</v>
      </c>
      <c r="W219" s="72">
        <v>15801.12</v>
      </c>
      <c r="X219" s="72">
        <v>0</v>
      </c>
      <c r="Y219" s="72">
        <v>0</v>
      </c>
      <c r="Z219" s="72">
        <v>0</v>
      </c>
      <c r="AA219" s="74">
        <v>0</v>
      </c>
      <c r="AB219" s="72">
        <v>0</v>
      </c>
      <c r="AC219" s="72">
        <v>3950</v>
      </c>
      <c r="AD219" s="71">
        <v>45940</v>
      </c>
      <c r="AE219" s="70" t="s">
        <v>69</v>
      </c>
      <c r="AF219" s="70" t="s">
        <v>1553</v>
      </c>
      <c r="AG219" s="70" t="s">
        <v>1306</v>
      </c>
      <c r="AI219" s="70" t="s">
        <v>537</v>
      </c>
      <c r="AJ219" s="70" t="s">
        <v>1457</v>
      </c>
      <c r="AK219" s="70" t="s">
        <v>1307</v>
      </c>
      <c r="AL219" s="70" t="s">
        <v>1553</v>
      </c>
      <c r="AM219" s="70" t="s">
        <v>1308</v>
      </c>
      <c r="AN219" s="70" t="s">
        <v>1554</v>
      </c>
      <c r="AO219" s="70" t="s">
        <v>1309</v>
      </c>
      <c r="AP219" s="70" t="s">
        <v>1555</v>
      </c>
      <c r="AQ219" s="70" t="s">
        <v>1310</v>
      </c>
      <c r="AR219" s="70" t="s">
        <v>1556</v>
      </c>
      <c r="AY219" s="72">
        <v>29581.600000000002</v>
      </c>
      <c r="AZ219" s="72">
        <v>22.85</v>
      </c>
      <c r="BA219" s="70" t="s">
        <v>67</v>
      </c>
      <c r="BB219" s="70" t="s">
        <v>1044</v>
      </c>
      <c r="BC219" s="70" t="s">
        <v>3003</v>
      </c>
      <c r="BD219" s="70" t="s">
        <v>1312</v>
      </c>
      <c r="BE219" s="70" t="s">
        <v>74</v>
      </c>
      <c r="BF219" s="70" t="s">
        <v>1141</v>
      </c>
      <c r="BG219" s="70" t="s">
        <v>1313</v>
      </c>
      <c r="BH219" s="60" t="str">
        <f t="shared" si="3"/>
        <v>Ver en Mapa</v>
      </c>
      <c r="BK219" s="70">
        <v>3</v>
      </c>
      <c r="BL219" s="70">
        <v>3</v>
      </c>
      <c r="BM219" s="70" t="s">
        <v>2847</v>
      </c>
    </row>
    <row r="220" spans="1:65" s="68" customFormat="1" ht="14.4" customHeight="1" x14ac:dyDescent="0.3">
      <c r="A220" s="70" t="str">
        <f>H220</f>
        <v>001460</v>
      </c>
      <c r="B220" s="70" t="s">
        <v>61</v>
      </c>
      <c r="C220" s="70" t="s">
        <v>392</v>
      </c>
      <c r="D220" s="70" t="s">
        <v>1545</v>
      </c>
      <c r="E220" s="70" t="s">
        <v>665</v>
      </c>
      <c r="F220" s="70" t="s">
        <v>2802</v>
      </c>
      <c r="G220" s="70" t="s">
        <v>2803</v>
      </c>
      <c r="H220" s="70" t="s">
        <v>2516</v>
      </c>
      <c r="I220" s="70" t="s">
        <v>67</v>
      </c>
      <c r="J220" s="70" t="s">
        <v>1557</v>
      </c>
      <c r="K220" s="71">
        <v>45839</v>
      </c>
      <c r="L220" s="71">
        <v>46204</v>
      </c>
      <c r="M220" s="72">
        <v>20000</v>
      </c>
      <c r="N220" s="72">
        <v>21068.16</v>
      </c>
      <c r="O220" s="73">
        <v>0</v>
      </c>
      <c r="P220" s="73">
        <v>12</v>
      </c>
      <c r="Q220" s="70" t="s">
        <v>68</v>
      </c>
      <c r="R220" s="72">
        <v>3347.38</v>
      </c>
      <c r="S220" s="72">
        <v>696</v>
      </c>
      <c r="T220" s="72">
        <v>0</v>
      </c>
      <c r="U220" s="72">
        <v>0</v>
      </c>
      <c r="V220" s="72">
        <v>0</v>
      </c>
      <c r="W220" s="72">
        <v>15801.12</v>
      </c>
      <c r="X220" s="72">
        <v>0</v>
      </c>
      <c r="Y220" s="72">
        <v>0</v>
      </c>
      <c r="Z220" s="72">
        <v>0</v>
      </c>
      <c r="AA220" s="74">
        <v>0</v>
      </c>
      <c r="AB220" s="72">
        <v>0</v>
      </c>
      <c r="AC220" s="72">
        <v>3800</v>
      </c>
      <c r="AD220" s="71">
        <v>45940</v>
      </c>
      <c r="AE220" s="70" t="s">
        <v>69</v>
      </c>
      <c r="AF220" s="70" t="s">
        <v>2517</v>
      </c>
      <c r="AG220" s="70" t="s">
        <v>1558</v>
      </c>
      <c r="AI220" s="70" t="s">
        <v>393</v>
      </c>
      <c r="AJ220" s="70" t="s">
        <v>394</v>
      </c>
      <c r="AK220" s="70" t="s">
        <v>1559</v>
      </c>
      <c r="AL220" s="70" t="s">
        <v>2518</v>
      </c>
      <c r="AM220" s="70" t="s">
        <v>1560</v>
      </c>
      <c r="AN220" s="70" t="s">
        <v>2519</v>
      </c>
      <c r="AO220" s="70" t="s">
        <v>1561</v>
      </c>
      <c r="AP220" s="70" t="s">
        <v>2520</v>
      </c>
      <c r="AQ220" s="70" t="s">
        <v>1562</v>
      </c>
      <c r="AR220" s="70" t="s">
        <v>2521</v>
      </c>
      <c r="AY220" s="72">
        <v>29578.600000000002</v>
      </c>
      <c r="AZ220" s="72">
        <v>25.85</v>
      </c>
      <c r="BA220" s="70" t="s">
        <v>67</v>
      </c>
      <c r="BB220" s="70" t="s">
        <v>1044</v>
      </c>
      <c r="BC220" s="70" t="s">
        <v>2872</v>
      </c>
      <c r="BD220" s="70" t="s">
        <v>1564</v>
      </c>
      <c r="BE220" s="70" t="s">
        <v>74</v>
      </c>
      <c r="BF220" s="70" t="s">
        <v>392</v>
      </c>
      <c r="BG220" s="70" t="s">
        <v>1565</v>
      </c>
      <c r="BH220" s="60" t="str">
        <f t="shared" si="3"/>
        <v>Ver en Mapa</v>
      </c>
      <c r="BK220" s="70">
        <v>2</v>
      </c>
      <c r="BL220" s="70">
        <v>2</v>
      </c>
      <c r="BM220" s="70" t="s">
        <v>2847</v>
      </c>
    </row>
    <row r="221" spans="1:65" x14ac:dyDescent="0.3">
      <c r="A221" s="1"/>
      <c r="M221" s="3"/>
      <c r="N221" s="3"/>
      <c r="O221" s="4"/>
      <c r="P221" s="4"/>
      <c r="Q221" s="1"/>
      <c r="R221" s="3"/>
      <c r="U221" s="3"/>
      <c r="V221" s="3"/>
      <c r="W221" s="3"/>
      <c r="AC221" s="3">
        <v>4495</v>
      </c>
      <c r="AD221" s="2">
        <v>45917</v>
      </c>
      <c r="AE221" s="1" t="s">
        <v>69</v>
      </c>
      <c r="AF221" s="1" t="s">
        <v>2361</v>
      </c>
      <c r="AG221" s="1" t="s">
        <v>298</v>
      </c>
      <c r="AH221"/>
      <c r="AI221" s="1" t="s">
        <v>299</v>
      </c>
      <c r="AJ221" s="1" t="s">
        <v>2362</v>
      </c>
      <c r="AK221" s="1" t="s">
        <v>300</v>
      </c>
      <c r="AL221"/>
      <c r="AM221" s="1" t="s">
        <v>937</v>
      </c>
      <c r="AN221" s="1" t="s">
        <v>2363</v>
      </c>
      <c r="AO221" s="1" t="s">
        <v>935</v>
      </c>
      <c r="AP221" s="1" t="s">
        <v>2364</v>
      </c>
      <c r="AQ221" s="1" t="s">
        <v>936</v>
      </c>
      <c r="AR221" s="1" t="s">
        <v>2365</v>
      </c>
      <c r="AS221" s="1" t="s">
        <v>122</v>
      </c>
      <c r="AT221" t="s">
        <v>301</v>
      </c>
      <c r="AU221" s="1" t="s">
        <v>302</v>
      </c>
      <c r="AV221"/>
      <c r="AW221"/>
      <c r="AX221"/>
      <c r="AY221" s="3">
        <v>11835.89</v>
      </c>
      <c r="AZ221" s="3">
        <v>0</v>
      </c>
      <c r="BA221" s="1" t="s">
        <v>135</v>
      </c>
      <c r="BB221" s="1" t="s">
        <v>136</v>
      </c>
      <c r="BC221" s="1" t="s">
        <v>303</v>
      </c>
      <c r="BD221" s="1" t="s">
        <v>304</v>
      </c>
      <c r="BE221" s="1" t="s">
        <v>74</v>
      </c>
      <c r="BF221" s="1" t="s">
        <v>296</v>
      </c>
      <c r="BG221"/>
      <c r="BH221" s="60" t="str">
        <f>HYPERLINK("https://www.google.com/maps/search/?api=1&amp;query=" &amp; SUBSTITUTE(SUBSTITUTE(BG221, "°", "%20"), """", ""), "Ver en Mapa")</f>
        <v>Ver en Mapa</v>
      </c>
      <c r="BI221"/>
      <c r="BJ221" s="1">
        <v>3</v>
      </c>
      <c r="BK221" s="1">
        <v>2</v>
      </c>
    </row>
    <row r="222" spans="1:65" x14ac:dyDescent="0.3">
      <c r="A222" s="1"/>
      <c r="M222" s="3"/>
      <c r="N222" s="3"/>
      <c r="O222" s="4"/>
      <c r="P222" s="4"/>
      <c r="Q222" s="1"/>
      <c r="R222" s="3"/>
      <c r="U222" s="3"/>
      <c r="V222" s="3"/>
      <c r="W222" s="3"/>
      <c r="AC222" s="3">
        <v>2000</v>
      </c>
      <c r="AD222" s="2">
        <v>45908</v>
      </c>
      <c r="AE222" s="1" t="s">
        <v>69</v>
      </c>
      <c r="AF222" s="1" t="s">
        <v>1514</v>
      </c>
      <c r="AG222" s="1" t="s">
        <v>480</v>
      </c>
      <c r="AH222"/>
      <c r="AI222" s="1" t="s">
        <v>481</v>
      </c>
      <c r="AJ222" s="1" t="s">
        <v>482</v>
      </c>
      <c r="AK222"/>
      <c r="AL222"/>
      <c r="AM222" s="1" t="s">
        <v>957</v>
      </c>
      <c r="AN222" s="1" t="s">
        <v>1515</v>
      </c>
      <c r="AO222" s="1" t="s">
        <v>955</v>
      </c>
      <c r="AP222" s="1" t="s">
        <v>1516</v>
      </c>
      <c r="AQ222" s="1" t="s">
        <v>956</v>
      </c>
      <c r="AR222" s="1" t="s">
        <v>1517</v>
      </c>
      <c r="AS222"/>
      <c r="AT222"/>
      <c r="AU222"/>
      <c r="AV222"/>
      <c r="AW222"/>
      <c r="AX222"/>
      <c r="AY222" s="3">
        <v>22520.45</v>
      </c>
      <c r="AZ222" s="3">
        <v>0</v>
      </c>
      <c r="BA222" s="1" t="s">
        <v>67</v>
      </c>
      <c r="BB222" s="1" t="s">
        <v>1044</v>
      </c>
      <c r="BC222" s="1" t="s">
        <v>483</v>
      </c>
      <c r="BD222" s="1" t="s">
        <v>484</v>
      </c>
      <c r="BE222" s="1" t="s">
        <v>74</v>
      </c>
      <c r="BF222" s="1" t="s">
        <v>296</v>
      </c>
      <c r="BG222"/>
      <c r="BH222" s="60" t="str">
        <f>HYPERLINK("https://www.google.com/maps/search/?api=1&amp;query=" &amp; SUBSTITUTE(SUBSTITUTE(BG222, "°", "%20"), """", ""), "Ver en Mapa")</f>
        <v>Ver en Mapa</v>
      </c>
      <c r="BI222"/>
      <c r="BJ222" s="1">
        <v>3</v>
      </c>
      <c r="BK222" s="1">
        <v>3</v>
      </c>
    </row>
    <row r="223" spans="1:65" x14ac:dyDescent="0.3">
      <c r="A223" s="1"/>
      <c r="M223" s="3"/>
      <c r="N223" s="3"/>
      <c r="O223" s="4"/>
      <c r="P223" s="4"/>
      <c r="Q223" s="1"/>
      <c r="R223" s="3"/>
      <c r="U223" s="3"/>
      <c r="V223" s="3"/>
      <c r="W223" s="3"/>
      <c r="AC223" s="3">
        <v>3000</v>
      </c>
      <c r="AD223" s="2">
        <v>45905</v>
      </c>
      <c r="AE223" s="1" t="s">
        <v>69</v>
      </c>
      <c r="AF223" s="1" t="s">
        <v>1515</v>
      </c>
      <c r="AG223" s="1" t="s">
        <v>486</v>
      </c>
      <c r="AH223"/>
      <c r="AI223" s="1" t="s">
        <v>487</v>
      </c>
      <c r="AJ223" s="1" t="s">
        <v>1519</v>
      </c>
      <c r="AK223"/>
      <c r="AL223"/>
      <c r="AM223" s="1" t="s">
        <v>960</v>
      </c>
      <c r="AN223" s="1" t="s">
        <v>1520</v>
      </c>
      <c r="AO223" s="1" t="s">
        <v>958</v>
      </c>
      <c r="AP223" s="1" t="s">
        <v>1521</v>
      </c>
      <c r="AQ223" s="1" t="s">
        <v>959</v>
      </c>
      <c r="AR223" s="1" t="s">
        <v>1514</v>
      </c>
      <c r="AS223"/>
      <c r="AT223"/>
      <c r="AU223"/>
      <c r="AV223"/>
      <c r="AW223"/>
      <c r="AX223"/>
      <c r="AY223" s="3">
        <v>33596.6</v>
      </c>
      <c r="AZ223" s="3">
        <v>0</v>
      </c>
      <c r="BA223" s="1" t="s">
        <v>67</v>
      </c>
      <c r="BB223" s="1" t="s">
        <v>1044</v>
      </c>
      <c r="BC223" s="1" t="s">
        <v>488</v>
      </c>
      <c r="BD223" s="1" t="s">
        <v>484</v>
      </c>
      <c r="BE223" s="1" t="s">
        <v>74</v>
      </c>
      <c r="BF223" s="1" t="s">
        <v>296</v>
      </c>
      <c r="BG223"/>
      <c r="BH223" s="60" t="str">
        <f>HYPERLINK("https://www.google.com/maps/search/?api=1&amp;query=" &amp; SUBSTITUTE(SUBSTITUTE(BG223, "°", "%20"), """", ""), "Ver en Mapa")</f>
        <v>Ver en Mapa</v>
      </c>
      <c r="BI223"/>
      <c r="BJ223" s="1">
        <v>3</v>
      </c>
      <c r="BK223" s="1">
        <v>3</v>
      </c>
    </row>
    <row r="224" spans="1:65" x14ac:dyDescent="0.3">
      <c r="A224" s="1"/>
      <c r="M224" s="3"/>
      <c r="N224" s="3"/>
      <c r="O224" s="4"/>
      <c r="P224" s="4"/>
      <c r="Q224" s="1"/>
      <c r="R224" s="3"/>
      <c r="U224" s="3"/>
      <c r="V224" s="3"/>
      <c r="W224" s="3"/>
      <c r="AC224" s="3">
        <v>30000</v>
      </c>
      <c r="AD224" s="2">
        <v>45866</v>
      </c>
      <c r="AE224" s="1" t="s">
        <v>69</v>
      </c>
      <c r="AF224" s="1" t="s">
        <v>315</v>
      </c>
      <c r="AG224" s="1" t="s">
        <v>316</v>
      </c>
      <c r="AH224"/>
      <c r="AI224" s="1" t="s">
        <v>98</v>
      </c>
      <c r="AJ224" s="1" t="s">
        <v>99</v>
      </c>
      <c r="AK224"/>
      <c r="AL224"/>
      <c r="AM224" s="1" t="s">
        <v>942</v>
      </c>
      <c r="AN224" s="1" t="s">
        <v>941</v>
      </c>
      <c r="AO224" s="1" t="s">
        <v>1253</v>
      </c>
      <c r="AP224" s="1" t="s">
        <v>1254</v>
      </c>
      <c r="AQ224" s="1" t="s">
        <v>1255</v>
      </c>
      <c r="AR224" s="1" t="s">
        <v>1256</v>
      </c>
      <c r="AS224" s="1" t="s">
        <v>122</v>
      </c>
      <c r="AT224" t="s">
        <v>317</v>
      </c>
      <c r="AU224" s="1" t="s">
        <v>318</v>
      </c>
      <c r="AV224" s="1" t="s">
        <v>122</v>
      </c>
      <c r="AW224" t="s">
        <v>319</v>
      </c>
      <c r="AX224" s="1" t="s">
        <v>320</v>
      </c>
      <c r="AY224" s="3">
        <v>90909.16</v>
      </c>
      <c r="AZ224" s="3">
        <v>0</v>
      </c>
      <c r="BA224" s="1" t="s">
        <v>67</v>
      </c>
      <c r="BB224" s="1" t="s">
        <v>77</v>
      </c>
      <c r="BC224" s="1" t="s">
        <v>321</v>
      </c>
      <c r="BD224" s="1" t="s">
        <v>322</v>
      </c>
      <c r="BE224" s="1" t="s">
        <v>74</v>
      </c>
      <c r="BF224" s="1" t="s">
        <v>323</v>
      </c>
      <c r="BG224"/>
      <c r="BH224" s="60" t="str">
        <f>HYPERLINK("https://www.google.com/maps/search/?api=1&amp;query=" &amp; SUBSTITUTE(SUBSTITUTE(BG224, "°", "%20"), """", ""), "Ver en Mapa")</f>
        <v>Ver en Mapa</v>
      </c>
      <c r="BI224"/>
      <c r="BJ224" s="1">
        <v>10</v>
      </c>
      <c r="BK224" s="1">
        <v>6</v>
      </c>
    </row>
    <row r="225" spans="1:63" x14ac:dyDescent="0.3">
      <c r="A225" s="1"/>
      <c r="M225" s="3"/>
      <c r="N225" s="3"/>
      <c r="O225" s="4"/>
      <c r="P225" s="4"/>
      <c r="Q225" s="1"/>
      <c r="R225" s="3"/>
      <c r="U225" s="3"/>
      <c r="V225" s="3"/>
      <c r="W225" s="3"/>
      <c r="AC225" s="3">
        <v>2583.63</v>
      </c>
      <c r="AD225" s="2">
        <v>45859</v>
      </c>
      <c r="AE225" s="1" t="s">
        <v>69</v>
      </c>
      <c r="AF225" s="1" t="s">
        <v>2472</v>
      </c>
      <c r="AG225" s="1" t="s">
        <v>1200</v>
      </c>
      <c r="AH225"/>
      <c r="AI225" s="1" t="s">
        <v>1201</v>
      </c>
      <c r="AJ225" s="1" t="s">
        <v>2049</v>
      </c>
      <c r="AK225"/>
      <c r="AL225"/>
      <c r="AM225" s="1" t="s">
        <v>1202</v>
      </c>
      <c r="AN225" s="1" t="s">
        <v>2473</v>
      </c>
      <c r="AO225" s="1" t="s">
        <v>1203</v>
      </c>
      <c r="AP225" s="1" t="s">
        <v>2474</v>
      </c>
      <c r="AQ225" s="1" t="s">
        <v>1204</v>
      </c>
      <c r="AR225" s="1" t="s">
        <v>2475</v>
      </c>
      <c r="AS225"/>
      <c r="AT225"/>
      <c r="AU225"/>
      <c r="AV225"/>
      <c r="AW225"/>
      <c r="AX225"/>
      <c r="AY225" s="3">
        <v>13898.17</v>
      </c>
      <c r="AZ225" s="3">
        <v>0</v>
      </c>
      <c r="BA225" s="1" t="s">
        <v>67</v>
      </c>
      <c r="BB225" s="1" t="s">
        <v>1044</v>
      </c>
      <c r="BC225" s="1" t="s">
        <v>1205</v>
      </c>
      <c r="BD225" s="1" t="s">
        <v>1206</v>
      </c>
      <c r="BE225" s="1" t="s">
        <v>74</v>
      </c>
      <c r="BF225" s="1" t="s">
        <v>285</v>
      </c>
      <c r="BG225" s="1" t="s">
        <v>1207</v>
      </c>
      <c r="BH225" s="60" t="str">
        <f>HYPERLINK("https://www.google.com/maps/search/?api=1&amp;query=" &amp; SUBSTITUTE(SUBSTITUTE(BG225, "°", "%20"), """", ""), "Ver en Mapa")</f>
        <v>Ver en Mapa</v>
      </c>
      <c r="BI225"/>
      <c r="BJ225" s="1">
        <v>3</v>
      </c>
      <c r="BK225" s="1">
        <v>3</v>
      </c>
    </row>
    <row r="226" spans="1:63" x14ac:dyDescent="0.3">
      <c r="A226" s="1"/>
      <c r="M226" s="3"/>
      <c r="N226" s="3"/>
      <c r="O226" s="4"/>
      <c r="P226" s="4"/>
      <c r="Q226" s="1"/>
      <c r="R226" s="3"/>
      <c r="U226" s="3"/>
      <c r="V226" s="3"/>
      <c r="W226" s="3"/>
      <c r="AC226" s="3">
        <v>5010</v>
      </c>
      <c r="AD226" s="2">
        <v>45885</v>
      </c>
      <c r="AE226" s="1" t="s">
        <v>69</v>
      </c>
      <c r="AF226" s="1" t="s">
        <v>441</v>
      </c>
      <c r="AG226" s="1" t="s">
        <v>442</v>
      </c>
      <c r="AH226"/>
      <c r="AI226" s="1" t="s">
        <v>86</v>
      </c>
      <c r="AJ226" s="1" t="s">
        <v>87</v>
      </c>
      <c r="AK226"/>
      <c r="AL226"/>
      <c r="AM226" s="1" t="s">
        <v>973</v>
      </c>
      <c r="AN226" s="1" t="s">
        <v>1295</v>
      </c>
      <c r="AO226" s="1" t="s">
        <v>970</v>
      </c>
      <c r="AP226" s="1" t="s">
        <v>971</v>
      </c>
      <c r="AQ226" s="1" t="s">
        <v>972</v>
      </c>
      <c r="AR226" s="1" t="s">
        <v>1296</v>
      </c>
      <c r="AS226"/>
      <c r="AT226"/>
      <c r="AU226"/>
      <c r="AV226"/>
      <c r="AW226"/>
      <c r="AX226"/>
      <c r="AY226" s="3">
        <v>24041.45</v>
      </c>
      <c r="AZ226" s="3">
        <v>0</v>
      </c>
      <c r="BA226" s="1" t="s">
        <v>67</v>
      </c>
      <c r="BB226" s="1" t="s">
        <v>1044</v>
      </c>
      <c r="BC226" s="1" t="s">
        <v>443</v>
      </c>
      <c r="BD226" s="1" t="s">
        <v>444</v>
      </c>
      <c r="BE226" s="1" t="s">
        <v>74</v>
      </c>
      <c r="BF226" s="1" t="s">
        <v>445</v>
      </c>
      <c r="BG226"/>
      <c r="BH226" s="60" t="str">
        <f>HYPERLINK("https://www.google.com/maps/search/?api=1&amp;query=" &amp; SUBSTITUTE(SUBSTITUTE(BG226, "°", "%20"), """", ""), "Ver en Mapa")</f>
        <v>Ver en Mapa</v>
      </c>
      <c r="BI226"/>
      <c r="BJ226" s="1">
        <v>3</v>
      </c>
      <c r="BK226" s="1">
        <v>3</v>
      </c>
    </row>
    <row r="227" spans="1:63" x14ac:dyDescent="0.3">
      <c r="A227" s="1"/>
      <c r="M227" s="3"/>
      <c r="N227" s="3"/>
      <c r="O227" s="4"/>
      <c r="P227" s="4"/>
      <c r="Q227" s="1"/>
      <c r="R227" s="3"/>
      <c r="U227" s="3"/>
      <c r="V227" s="3"/>
      <c r="W227" s="3"/>
      <c r="AA227" s="59"/>
      <c r="AC227" s="3">
        <v>2583</v>
      </c>
      <c r="AD227" s="2">
        <v>45917</v>
      </c>
      <c r="AE227" s="1" t="s">
        <v>69</v>
      </c>
      <c r="AF227" s="1" t="s">
        <v>2492</v>
      </c>
      <c r="AG227" s="1" t="s">
        <v>1185</v>
      </c>
      <c r="AH227"/>
      <c r="AI227" s="1" t="s">
        <v>89</v>
      </c>
      <c r="AJ227" s="1" t="s">
        <v>90</v>
      </c>
      <c r="AK227" s="1" t="s">
        <v>1186</v>
      </c>
      <c r="AL227" s="1" t="s">
        <v>2493</v>
      </c>
      <c r="AM227" s="1" t="s">
        <v>1187</v>
      </c>
      <c r="AN227" s="1" t="s">
        <v>2494</v>
      </c>
      <c r="AO227" s="1" t="s">
        <v>1188</v>
      </c>
      <c r="AP227" s="1" t="s">
        <v>2495</v>
      </c>
      <c r="AQ227" s="1" t="s">
        <v>1189</v>
      </c>
      <c r="AR227" s="1" t="s">
        <v>2496</v>
      </c>
      <c r="AS227"/>
      <c r="AT227"/>
      <c r="AU227"/>
      <c r="AV227"/>
      <c r="AW227"/>
      <c r="AX227"/>
      <c r="AY227" s="3">
        <v>7572.8</v>
      </c>
      <c r="AZ227" s="3">
        <v>1.1018208</v>
      </c>
      <c r="BA227" s="1" t="s">
        <v>67</v>
      </c>
      <c r="BB227" s="1" t="s">
        <v>1044</v>
      </c>
      <c r="BC227" s="1" t="s">
        <v>1190</v>
      </c>
      <c r="BD227" s="1" t="s">
        <v>1191</v>
      </c>
      <c r="BE227" s="1" t="s">
        <v>74</v>
      </c>
      <c r="BF227" s="1" t="s">
        <v>392</v>
      </c>
      <c r="BG227" s="1" t="s">
        <v>1192</v>
      </c>
      <c r="BH227" s="60" t="str">
        <f>HYPERLINK("https://www.google.com/maps/search/?api=1&amp;query=" &amp; SUBSTITUTE(SUBSTITUTE(BG227, "°", "%20"), """", ""), "Ver en Mapa")</f>
        <v>Ver en Mapa</v>
      </c>
      <c r="BI227"/>
      <c r="BJ227" s="1">
        <v>0</v>
      </c>
      <c r="BK227" s="1">
        <v>0</v>
      </c>
    </row>
    <row r="228" spans="1:63" x14ac:dyDescent="0.3">
      <c r="A228" s="1"/>
      <c r="M228" s="3"/>
      <c r="N228" s="3"/>
      <c r="O228" s="4"/>
      <c r="P228" s="4"/>
      <c r="Q228" s="1"/>
      <c r="R228" s="3"/>
      <c r="U228" s="3"/>
      <c r="V228" s="3"/>
      <c r="W228" s="3"/>
      <c r="Y228" s="59"/>
      <c r="Z228" s="59"/>
      <c r="AA228" s="59"/>
      <c r="AC228" s="3">
        <v>10811.34</v>
      </c>
      <c r="AD228" s="2">
        <v>45903</v>
      </c>
      <c r="AE228" s="1" t="s">
        <v>69</v>
      </c>
      <c r="AF228" s="1" t="s">
        <v>2498</v>
      </c>
      <c r="AG228" s="1" t="s">
        <v>2815</v>
      </c>
      <c r="AH228"/>
      <c r="AI228" s="1" t="s">
        <v>256</v>
      </c>
      <c r="AJ228" s="1" t="s">
        <v>257</v>
      </c>
      <c r="AK228"/>
      <c r="AL228"/>
      <c r="AM228" s="1" t="s">
        <v>1366</v>
      </c>
      <c r="AN228" s="1" t="s">
        <v>2499</v>
      </c>
      <c r="AO228" s="1" t="s">
        <v>1367</v>
      </c>
      <c r="AP228" s="1" t="s">
        <v>2500</v>
      </c>
      <c r="AQ228" s="1" t="s">
        <v>1368</v>
      </c>
      <c r="AR228" s="1" t="s">
        <v>2501</v>
      </c>
      <c r="AS228"/>
      <c r="AT228"/>
      <c r="AU228"/>
      <c r="AV228"/>
      <c r="AW228"/>
      <c r="AX228"/>
      <c r="AY228" s="3">
        <v>15115.01</v>
      </c>
      <c r="AZ228" s="3">
        <v>5115.6713845333334</v>
      </c>
      <c r="BA228" s="1" t="s">
        <v>67</v>
      </c>
      <c r="BB228" s="1" t="s">
        <v>1044</v>
      </c>
      <c r="BC228" s="1" t="s">
        <v>2816</v>
      </c>
      <c r="BD228" s="1" t="s">
        <v>1696</v>
      </c>
      <c r="BE228" s="1" t="s">
        <v>74</v>
      </c>
      <c r="BF228" s="1" t="s">
        <v>392</v>
      </c>
      <c r="BG228" s="1" t="s">
        <v>1369</v>
      </c>
      <c r="BH228" s="60" t="str">
        <f>HYPERLINK("https://www.google.com/maps/search/?api=1&amp;query=" &amp; SUBSTITUTE(SUBSTITUTE(BG228, "°", "%20"), """", ""), "Ver en Mapa")</f>
        <v>Ver en Mapa</v>
      </c>
      <c r="BI228"/>
      <c r="BJ228" s="1">
        <v>1</v>
      </c>
      <c r="BK228" s="1">
        <v>1</v>
      </c>
    </row>
    <row r="229" spans="1:63" x14ac:dyDescent="0.3">
      <c r="A229" s="1"/>
      <c r="M229" s="3"/>
      <c r="N229" s="3"/>
      <c r="O229" s="4"/>
      <c r="P229" s="4"/>
      <c r="Q229" s="1"/>
      <c r="R229" s="3"/>
      <c r="U229" s="3"/>
      <c r="V229" s="3"/>
      <c r="W229" s="3"/>
      <c r="AC229" s="3">
        <v>1730</v>
      </c>
      <c r="AD229" s="2">
        <v>45909</v>
      </c>
      <c r="AE229" s="1" t="s">
        <v>69</v>
      </c>
      <c r="AF229" s="1" t="s">
        <v>2503</v>
      </c>
      <c r="AG229" s="1" t="s">
        <v>1371</v>
      </c>
      <c r="AH229"/>
      <c r="AI229" s="1" t="s">
        <v>1372</v>
      </c>
      <c r="AJ229" s="1" t="s">
        <v>2504</v>
      </c>
      <c r="AK229" s="1" t="s">
        <v>1373</v>
      </c>
      <c r="AL229" s="1" t="s">
        <v>2505</v>
      </c>
      <c r="AM229" s="1" t="s">
        <v>1374</v>
      </c>
      <c r="AN229" s="1" t="s">
        <v>2506</v>
      </c>
      <c r="AO229" s="1" t="s">
        <v>1375</v>
      </c>
      <c r="AP229" s="1" t="s">
        <v>2507</v>
      </c>
      <c r="AQ229" s="1" t="s">
        <v>1376</v>
      </c>
      <c r="AR229" s="1" t="s">
        <v>2508</v>
      </c>
      <c r="AS229"/>
      <c r="AT229"/>
      <c r="AU229"/>
      <c r="AV229"/>
      <c r="AW229"/>
      <c r="AX229"/>
      <c r="AY229" s="3">
        <v>21363.71</v>
      </c>
      <c r="AZ229" s="3">
        <v>0</v>
      </c>
      <c r="BA229" s="1" t="s">
        <v>67</v>
      </c>
      <c r="BB229" s="1" t="s">
        <v>1044</v>
      </c>
      <c r="BC229" s="1" t="s">
        <v>1377</v>
      </c>
      <c r="BD229" s="1" t="s">
        <v>641</v>
      </c>
      <c r="BE229" s="1" t="s">
        <v>74</v>
      </c>
      <c r="BF229" s="1" t="s">
        <v>392</v>
      </c>
      <c r="BG229" s="1" t="s">
        <v>1378</v>
      </c>
      <c r="BH229" s="60" t="str">
        <f>HYPERLINK("https://www.google.com/maps/search/?api=1&amp;query=" &amp; SUBSTITUTE(SUBSTITUTE(BG229, "°", "%20"), """", ""), "Ver en Mapa")</f>
        <v>Ver en Mapa</v>
      </c>
      <c r="BI229"/>
      <c r="BJ229" s="1">
        <v>1</v>
      </c>
      <c r="BK229" s="1">
        <v>1</v>
      </c>
    </row>
    <row r="230" spans="1:63" x14ac:dyDescent="0.3">
      <c r="A230" s="1"/>
      <c r="M230" s="3"/>
      <c r="N230" s="3"/>
      <c r="O230" s="4"/>
      <c r="P230" s="4"/>
      <c r="Q230" s="1"/>
      <c r="R230" s="3"/>
      <c r="U230" s="3"/>
      <c r="V230" s="3"/>
      <c r="W230" s="3"/>
      <c r="Y230" s="59"/>
      <c r="AA230" s="59"/>
      <c r="AC230" s="3">
        <v>10157</v>
      </c>
      <c r="AD230" s="2">
        <v>45910</v>
      </c>
      <c r="AE230" s="1" t="s">
        <v>69</v>
      </c>
      <c r="AF230" s="1" t="s">
        <v>2510</v>
      </c>
      <c r="AG230" s="1" t="s">
        <v>1133</v>
      </c>
      <c r="AH230"/>
      <c r="AI230" s="1" t="s">
        <v>1134</v>
      </c>
      <c r="AJ230" s="1" t="s">
        <v>2511</v>
      </c>
      <c r="AK230" s="1" t="s">
        <v>1135</v>
      </c>
      <c r="AL230" s="1" t="s">
        <v>2512</v>
      </c>
      <c r="AM230" s="1" t="s">
        <v>1136</v>
      </c>
      <c r="AN230" s="1" t="s">
        <v>2513</v>
      </c>
      <c r="AO230" s="1" t="s">
        <v>1137</v>
      </c>
      <c r="AP230" s="1" t="s">
        <v>2514</v>
      </c>
      <c r="AQ230" s="1" t="s">
        <v>1138</v>
      </c>
      <c r="AR230" s="1" t="s">
        <v>2515</v>
      </c>
      <c r="AS230"/>
      <c r="AT230"/>
      <c r="AU230"/>
      <c r="AV230"/>
      <c r="AW230"/>
      <c r="AX230"/>
      <c r="AY230" s="3">
        <v>30295.11</v>
      </c>
      <c r="AZ230" s="3">
        <v>0.48499999999999999</v>
      </c>
      <c r="BA230" s="1" t="s">
        <v>67</v>
      </c>
      <c r="BB230" s="1" t="s">
        <v>1044</v>
      </c>
      <c r="BC230" s="1" t="s">
        <v>1139</v>
      </c>
      <c r="BD230" s="1" t="s">
        <v>1140</v>
      </c>
      <c r="BE230" s="1" t="s">
        <v>74</v>
      </c>
      <c r="BF230" s="1" t="s">
        <v>1141</v>
      </c>
      <c r="BG230" s="1" t="s">
        <v>1142</v>
      </c>
      <c r="BH230" s="60" t="str">
        <f>HYPERLINK("https://www.google.com/maps/search/?api=1&amp;query=" &amp; SUBSTITUTE(SUBSTITUTE(BG230, "°", "%20"), """", ""), "Ver en Mapa")</f>
        <v>Ver en Mapa</v>
      </c>
      <c r="BI230"/>
      <c r="BJ230" s="1">
        <v>0</v>
      </c>
      <c r="BK230" s="1">
        <v>0</v>
      </c>
    </row>
    <row r="231" spans="1:63" x14ac:dyDescent="0.3">
      <c r="A231" s="1"/>
      <c r="M231" s="3"/>
      <c r="N231" s="3"/>
      <c r="O231" s="4"/>
      <c r="P231" s="4"/>
      <c r="Q231" s="1"/>
      <c r="R231" s="3"/>
      <c r="U231" s="3"/>
      <c r="V231" s="3"/>
      <c r="W231" s="3"/>
      <c r="AC231"/>
      <c r="AD231"/>
      <c r="AE231" s="1" t="s">
        <v>69</v>
      </c>
      <c r="AF231" s="1" t="s">
        <v>2701</v>
      </c>
      <c r="AG231" s="1" t="s">
        <v>2702</v>
      </c>
      <c r="AH231"/>
      <c r="AI231" s="1" t="s">
        <v>2703</v>
      </c>
      <c r="AJ231" s="1" t="s">
        <v>2704</v>
      </c>
      <c r="AK231" s="1" t="s">
        <v>2705</v>
      </c>
      <c r="AL231"/>
      <c r="AM231" s="1" t="s">
        <v>2706</v>
      </c>
      <c r="AN231" s="1" t="s">
        <v>2707</v>
      </c>
      <c r="AO231" s="1" t="s">
        <v>2708</v>
      </c>
      <c r="AP231" s="1" t="s">
        <v>2709</v>
      </c>
      <c r="AQ231" s="1" t="s">
        <v>2710</v>
      </c>
      <c r="AR231" s="1" t="s">
        <v>2711</v>
      </c>
      <c r="AS231"/>
      <c r="AT231"/>
      <c r="AU231"/>
      <c r="AV231"/>
      <c r="AW231"/>
      <c r="AX231"/>
      <c r="AY231" s="3">
        <v>40110.6</v>
      </c>
      <c r="AZ231" s="3">
        <v>0</v>
      </c>
      <c r="BA231" s="1" t="s">
        <v>67</v>
      </c>
      <c r="BB231" s="1" t="s">
        <v>1044</v>
      </c>
      <c r="BC231" s="1" t="s">
        <v>2712</v>
      </c>
      <c r="BD231" s="1" t="s">
        <v>2713</v>
      </c>
      <c r="BE231" s="1" t="s">
        <v>74</v>
      </c>
      <c r="BF231" s="1" t="s">
        <v>392</v>
      </c>
      <c r="BG231" s="1" t="s">
        <v>2714</v>
      </c>
      <c r="BH231" s="60" t="str">
        <f>HYPERLINK("https://www.google.com/maps/search/?api=1&amp;query=" &amp; SUBSTITUTE(SUBSTITUTE(BG231, "°", "%20"), """", ""), "Ver en Mapa")</f>
        <v>Ver en Mapa</v>
      </c>
      <c r="BI231"/>
      <c r="BJ231" s="1">
        <v>1</v>
      </c>
      <c r="BK231" s="1">
        <v>1</v>
      </c>
    </row>
    <row r="232" spans="1:63" x14ac:dyDescent="0.3">
      <c r="A232" s="1"/>
      <c r="M232" s="3"/>
      <c r="N232" s="3"/>
      <c r="O232" s="4"/>
      <c r="P232" s="4"/>
      <c r="Q232" s="1"/>
      <c r="R232" s="3"/>
      <c r="U232" s="3"/>
      <c r="V232" s="3"/>
      <c r="W232" s="3"/>
      <c r="AC232" s="3">
        <v>3348</v>
      </c>
      <c r="AD232" s="2">
        <v>45870</v>
      </c>
      <c r="AE232" s="1" t="s">
        <v>69</v>
      </c>
      <c r="AF232" s="1" t="s">
        <v>2517</v>
      </c>
      <c r="AG232" s="1" t="s">
        <v>1558</v>
      </c>
      <c r="AH232"/>
      <c r="AI232" s="1" t="s">
        <v>393</v>
      </c>
      <c r="AJ232" s="1" t="s">
        <v>394</v>
      </c>
      <c r="AK232" s="1" t="s">
        <v>1559</v>
      </c>
      <c r="AL232" s="1" t="s">
        <v>2518</v>
      </c>
      <c r="AM232" s="1" t="s">
        <v>1560</v>
      </c>
      <c r="AN232" s="1" t="s">
        <v>2519</v>
      </c>
      <c r="AO232" s="1" t="s">
        <v>1561</v>
      </c>
      <c r="AP232" s="1" t="s">
        <v>2520</v>
      </c>
      <c r="AQ232" s="1" t="s">
        <v>1562</v>
      </c>
      <c r="AR232" s="1" t="s">
        <v>2521</v>
      </c>
      <c r="AS232"/>
      <c r="AT232"/>
      <c r="AU232"/>
      <c r="AV232"/>
      <c r="AW232"/>
      <c r="AX232"/>
      <c r="AY232" s="3">
        <v>36820.6</v>
      </c>
      <c r="AZ232" s="3">
        <v>0</v>
      </c>
      <c r="BA232" s="1" t="s">
        <v>67</v>
      </c>
      <c r="BB232" s="1" t="s">
        <v>1044</v>
      </c>
      <c r="BC232" s="1" t="s">
        <v>1563</v>
      </c>
      <c r="BD232" s="1" t="s">
        <v>1564</v>
      </c>
      <c r="BE232" s="1" t="s">
        <v>74</v>
      </c>
      <c r="BF232" s="1" t="s">
        <v>392</v>
      </c>
      <c r="BG232" s="1" t="s">
        <v>1565</v>
      </c>
      <c r="BH232" s="60" t="str">
        <f>HYPERLINK("https://www.google.com/maps/search/?api=1&amp;query=" &amp; SUBSTITUTE(SUBSTITUTE(BG232, "°", "%20"), """", ""), "Ver en Mapa")</f>
        <v>Ver en Mapa</v>
      </c>
      <c r="BI232"/>
      <c r="BJ232" s="1">
        <v>1</v>
      </c>
      <c r="BK232" s="1">
        <v>1</v>
      </c>
    </row>
    <row r="233" spans="1:63" x14ac:dyDescent="0.3">
      <c r="A233" s="1"/>
      <c r="M233" s="3"/>
      <c r="N233" s="3"/>
      <c r="O233" s="4"/>
      <c r="P233" s="4"/>
      <c r="Q233" s="1"/>
      <c r="R233" s="3"/>
      <c r="U233" s="3"/>
      <c r="V233" s="3"/>
      <c r="W233" s="3"/>
      <c r="AA233" s="59"/>
      <c r="AC233" s="3">
        <v>2582</v>
      </c>
      <c r="AD233" s="2">
        <v>45903</v>
      </c>
      <c r="AE233" s="1" t="s">
        <v>69</v>
      </c>
      <c r="AF233" s="1" t="s">
        <v>2523</v>
      </c>
      <c r="AG233" s="1" t="s">
        <v>1059</v>
      </c>
      <c r="AH233"/>
      <c r="AI233" s="1" t="s">
        <v>1060</v>
      </c>
      <c r="AJ233" s="1" t="s">
        <v>2524</v>
      </c>
      <c r="AK233" s="1" t="s">
        <v>1061</v>
      </c>
      <c r="AL233" s="1" t="s">
        <v>2523</v>
      </c>
      <c r="AM233" s="1" t="s">
        <v>1062</v>
      </c>
      <c r="AN233" s="1" t="s">
        <v>2525</v>
      </c>
      <c r="AO233" s="1" t="s">
        <v>1063</v>
      </c>
      <c r="AP233" s="1" t="s">
        <v>2526</v>
      </c>
      <c r="AQ233" s="1" t="s">
        <v>1064</v>
      </c>
      <c r="AR233" s="1" t="s">
        <v>2527</v>
      </c>
      <c r="AS233"/>
      <c r="AT233"/>
      <c r="AU233"/>
      <c r="AV233"/>
      <c r="AW233"/>
      <c r="AX233"/>
      <c r="AY233" s="3">
        <v>7539.8</v>
      </c>
      <c r="AZ233" s="3">
        <v>34.101820799999999</v>
      </c>
      <c r="BA233" s="1" t="s">
        <v>67</v>
      </c>
      <c r="BB233" s="1" t="s">
        <v>1044</v>
      </c>
      <c r="BC233" s="1" t="s">
        <v>343</v>
      </c>
      <c r="BD233" s="1" t="s">
        <v>1065</v>
      </c>
      <c r="BE233" s="1" t="s">
        <v>74</v>
      </c>
      <c r="BF233" s="1" t="s">
        <v>1066</v>
      </c>
      <c r="BG233" s="1" t="s">
        <v>1067</v>
      </c>
      <c r="BH233" s="60" t="str">
        <f>HYPERLINK("https://www.google.com/maps/search/?api=1&amp;query=" &amp; SUBSTITUTE(SUBSTITUTE(BG233, "°", "%20"), """", ""), "Ver en Mapa")</f>
        <v>Ver en Mapa</v>
      </c>
      <c r="BI233"/>
      <c r="BJ233" s="1">
        <v>0</v>
      </c>
      <c r="BK233" s="1">
        <v>0</v>
      </c>
    </row>
    <row r="234" spans="1:63" x14ac:dyDescent="0.3">
      <c r="A234" s="1"/>
      <c r="M234" s="3"/>
      <c r="N234" s="3"/>
      <c r="O234" s="4"/>
      <c r="P234" s="4"/>
      <c r="Q234" s="1"/>
      <c r="R234" s="3"/>
      <c r="U234" s="3"/>
      <c r="V234" s="3"/>
      <c r="W234" s="3"/>
      <c r="AA234" s="59"/>
      <c r="AC234" s="3">
        <v>367</v>
      </c>
      <c r="AD234" s="2">
        <v>45915</v>
      </c>
      <c r="AE234" s="1" t="s">
        <v>69</v>
      </c>
      <c r="AF234" s="1" t="s">
        <v>1567</v>
      </c>
      <c r="AG234" s="1" t="s">
        <v>1070</v>
      </c>
      <c r="AH234"/>
      <c r="AI234" s="1" t="s">
        <v>379</v>
      </c>
      <c r="AJ234" s="1" t="s">
        <v>380</v>
      </c>
      <c r="AK234" s="1" t="s">
        <v>1071</v>
      </c>
      <c r="AL234" s="1" t="s">
        <v>1567</v>
      </c>
      <c r="AM234" s="1" t="s">
        <v>1072</v>
      </c>
      <c r="AN234" s="1" t="s">
        <v>1568</v>
      </c>
      <c r="AO234" s="1" t="s">
        <v>1073</v>
      </c>
      <c r="AP234" s="1" t="s">
        <v>1569</v>
      </c>
      <c r="AQ234" s="1" t="s">
        <v>1074</v>
      </c>
      <c r="AR234" s="1" t="s">
        <v>1570</v>
      </c>
      <c r="AS234"/>
      <c r="AT234"/>
      <c r="AU234"/>
      <c r="AV234"/>
      <c r="AW234"/>
      <c r="AX234"/>
      <c r="AY234" s="3">
        <v>2745.01</v>
      </c>
      <c r="AZ234" s="3">
        <v>24.292847999999999</v>
      </c>
      <c r="BA234" s="1" t="s">
        <v>67</v>
      </c>
      <c r="BB234" s="1" t="s">
        <v>1044</v>
      </c>
      <c r="BC234" s="1" t="s">
        <v>1075</v>
      </c>
      <c r="BD234" s="1" t="s">
        <v>1076</v>
      </c>
      <c r="BE234" s="1" t="s">
        <v>74</v>
      </c>
      <c r="BF234" s="1" t="s">
        <v>392</v>
      </c>
      <c r="BG234" s="1" t="s">
        <v>1077</v>
      </c>
      <c r="BH234" s="60" t="str">
        <f>HYPERLINK("https://www.google.com/maps/search/?api=1&amp;query=" &amp; SUBSTITUTE(SUBSTITUTE(BG234, "°", "%20"), """", ""), "Ver en Mapa")</f>
        <v>Ver en Mapa</v>
      </c>
      <c r="BI234"/>
      <c r="BJ234" s="1">
        <v>0</v>
      </c>
      <c r="BK234" s="1">
        <v>0</v>
      </c>
    </row>
    <row r="235" spans="1:63" x14ac:dyDescent="0.3">
      <c r="A235" s="1"/>
      <c r="M235" s="3"/>
      <c r="N235" s="3"/>
      <c r="O235" s="4"/>
      <c r="P235" s="4"/>
      <c r="Q235" s="1"/>
      <c r="R235" s="3"/>
      <c r="U235" s="3"/>
      <c r="V235" s="3"/>
      <c r="W235" s="3"/>
      <c r="AA235" s="59"/>
      <c r="AC235" s="3">
        <v>365.7</v>
      </c>
      <c r="AD235" s="2">
        <v>45916</v>
      </c>
      <c r="AE235" s="1" t="s">
        <v>69</v>
      </c>
      <c r="AF235" s="1" t="s">
        <v>2529</v>
      </c>
      <c r="AG235" s="1" t="s">
        <v>1079</v>
      </c>
      <c r="AH235"/>
      <c r="AI235" s="1" t="s">
        <v>537</v>
      </c>
      <c r="AJ235" s="1" t="s">
        <v>1457</v>
      </c>
      <c r="AK235"/>
      <c r="AL235"/>
      <c r="AM235" s="1" t="s">
        <v>1080</v>
      </c>
      <c r="AN235" s="1" t="s">
        <v>2530</v>
      </c>
      <c r="AO235" s="1" t="s">
        <v>1081</v>
      </c>
      <c r="AP235" s="1" t="s">
        <v>2531</v>
      </c>
      <c r="AQ235" s="1" t="s">
        <v>1082</v>
      </c>
      <c r="AR235" s="1" t="s">
        <v>2532</v>
      </c>
      <c r="AS235"/>
      <c r="AT235"/>
      <c r="AU235"/>
      <c r="AV235"/>
      <c r="AW235"/>
      <c r="AX235"/>
      <c r="AY235" s="3">
        <v>2769.01</v>
      </c>
      <c r="AZ235" s="3">
        <v>0.292848</v>
      </c>
      <c r="BA235" s="1" t="s">
        <v>67</v>
      </c>
      <c r="BB235" s="1" t="s">
        <v>1044</v>
      </c>
      <c r="BC235" s="1" t="s">
        <v>1083</v>
      </c>
      <c r="BD235" s="1" t="s">
        <v>641</v>
      </c>
      <c r="BE235" s="1" t="s">
        <v>74</v>
      </c>
      <c r="BF235" s="1" t="s">
        <v>392</v>
      </c>
      <c r="BG235" s="1" t="s">
        <v>1084</v>
      </c>
      <c r="BH235" s="60" t="str">
        <f>HYPERLINK("https://www.google.com/maps/search/?api=1&amp;query=" &amp; SUBSTITUTE(SUBSTITUTE(BG235, "°", "%20"), """", ""), "Ver en Mapa")</f>
        <v>Ver en Mapa</v>
      </c>
      <c r="BI235"/>
      <c r="BJ235" s="1">
        <v>0</v>
      </c>
      <c r="BK235" s="1">
        <v>0</v>
      </c>
    </row>
    <row r="236" spans="1:63" x14ac:dyDescent="0.3">
      <c r="A236" s="1"/>
      <c r="M236" s="3"/>
      <c r="N236" s="3"/>
      <c r="O236" s="4"/>
      <c r="P236" s="4"/>
      <c r="Q236" s="1"/>
      <c r="R236" s="3"/>
      <c r="U236" s="3"/>
      <c r="V236" s="3"/>
      <c r="W236" s="3"/>
      <c r="AC236" s="3">
        <v>1550</v>
      </c>
      <c r="AD236" s="2">
        <v>45909</v>
      </c>
      <c r="AE236" s="1" t="s">
        <v>69</v>
      </c>
      <c r="AF236" s="1" t="s">
        <v>1540</v>
      </c>
      <c r="AG236" s="1" t="s">
        <v>1209</v>
      </c>
      <c r="AH236"/>
      <c r="AI236" s="1" t="s">
        <v>98</v>
      </c>
      <c r="AJ236" s="1" t="s">
        <v>99</v>
      </c>
      <c r="AK236"/>
      <c r="AL236"/>
      <c r="AM236" s="1" t="s">
        <v>1210</v>
      </c>
      <c r="AN236" s="1" t="s">
        <v>1541</v>
      </c>
      <c r="AO236" s="1" t="s">
        <v>1211</v>
      </c>
      <c r="AP236" s="1" t="s">
        <v>1542</v>
      </c>
      <c r="AQ236" s="1" t="s">
        <v>1212</v>
      </c>
      <c r="AR236" s="1" t="s">
        <v>1543</v>
      </c>
      <c r="AS236"/>
      <c r="AT236"/>
      <c r="AU236"/>
      <c r="AV236"/>
      <c r="AW236"/>
      <c r="AX236"/>
      <c r="AY236" s="3">
        <v>7111.6900000000005</v>
      </c>
      <c r="AZ236" s="3">
        <v>0</v>
      </c>
      <c r="BA236" s="1" t="s">
        <v>67</v>
      </c>
      <c r="BB236" s="1" t="s">
        <v>1044</v>
      </c>
      <c r="BC236" s="1" t="s">
        <v>1213</v>
      </c>
      <c r="BD236" s="1" t="s">
        <v>1214</v>
      </c>
      <c r="BE236" s="1" t="s">
        <v>74</v>
      </c>
      <c r="BF236" s="1" t="s">
        <v>670</v>
      </c>
      <c r="BG236" s="1" t="s">
        <v>1215</v>
      </c>
      <c r="BH236" s="60" t="str">
        <f>HYPERLINK("https://www.google.com/maps/search/?api=1&amp;query=" &amp; SUBSTITUTE(SUBSTITUTE(BG236, "°", "%20"), """", ""), "Ver en Mapa")</f>
        <v>Ver en Mapa</v>
      </c>
      <c r="BI236"/>
      <c r="BJ236" s="1">
        <v>4</v>
      </c>
      <c r="BK236" s="1">
        <v>4</v>
      </c>
    </row>
    <row r="237" spans="1:63" x14ac:dyDescent="0.3">
      <c r="A237" s="1"/>
      <c r="M237" s="3"/>
      <c r="N237" s="3"/>
      <c r="O237" s="4"/>
      <c r="P237" s="4"/>
      <c r="Q237" s="1"/>
      <c r="R237" s="3"/>
      <c r="U237" s="3"/>
      <c r="V237" s="3"/>
      <c r="W237" s="3"/>
      <c r="AC237" s="3">
        <v>750</v>
      </c>
      <c r="AD237" s="2">
        <v>45918</v>
      </c>
      <c r="AE237" s="1" t="s">
        <v>69</v>
      </c>
      <c r="AF237" s="1" t="s">
        <v>661</v>
      </c>
      <c r="AG237" s="1" t="s">
        <v>662</v>
      </c>
      <c r="AH237"/>
      <c r="AI237" s="1" t="s">
        <v>481</v>
      </c>
      <c r="AJ237" s="1" t="s">
        <v>482</v>
      </c>
      <c r="AK237"/>
      <c r="AL237"/>
      <c r="AM237" s="1" t="s">
        <v>997</v>
      </c>
      <c r="AN237" s="1" t="s">
        <v>1030</v>
      </c>
      <c r="AO237" s="1" t="s">
        <v>994</v>
      </c>
      <c r="AP237" s="1" t="s">
        <v>995</v>
      </c>
      <c r="AQ237" s="1" t="s">
        <v>996</v>
      </c>
      <c r="AR237" s="1" t="s">
        <v>1031</v>
      </c>
      <c r="AS237"/>
      <c r="AT237"/>
      <c r="AU237"/>
      <c r="AV237"/>
      <c r="AW237"/>
      <c r="AX237"/>
      <c r="AY237" s="3">
        <v>23637.41</v>
      </c>
      <c r="AZ237" s="3">
        <v>0</v>
      </c>
      <c r="BA237" s="1" t="s">
        <v>67</v>
      </c>
      <c r="BB237" s="1" t="s">
        <v>1044</v>
      </c>
      <c r="BC237" s="1" t="s">
        <v>663</v>
      </c>
      <c r="BD237" s="1" t="s">
        <v>664</v>
      </c>
      <c r="BE237" s="1" t="s">
        <v>74</v>
      </c>
      <c r="BF237" s="1" t="s">
        <v>392</v>
      </c>
      <c r="BG237"/>
      <c r="BH237" s="60" t="str">
        <f>HYPERLINK("https://www.google.com/maps/search/?api=1&amp;query=" &amp; SUBSTITUTE(SUBSTITUTE(BG237, "°", "%20"), """", ""), "Ver en Mapa")</f>
        <v>Ver en Mapa</v>
      </c>
      <c r="BI237"/>
      <c r="BJ237" s="1">
        <v>2</v>
      </c>
      <c r="BK237" s="1">
        <v>2</v>
      </c>
    </row>
    <row r="238" spans="1:63" x14ac:dyDescent="0.3">
      <c r="A238" s="1"/>
      <c r="M238" s="3"/>
      <c r="N238" s="3"/>
      <c r="O238" s="4"/>
      <c r="P238" s="4"/>
      <c r="Q238" s="1"/>
      <c r="R238" s="3"/>
      <c r="U238" s="3"/>
      <c r="V238" s="3"/>
      <c r="W238" s="3"/>
      <c r="AC238" s="3">
        <v>800</v>
      </c>
      <c r="AD238" s="2">
        <v>45896</v>
      </c>
      <c r="AE238" s="1" t="s">
        <v>69</v>
      </c>
      <c r="AF238" s="1" t="s">
        <v>1547</v>
      </c>
      <c r="AG238" s="1" t="s">
        <v>667</v>
      </c>
      <c r="AH238"/>
      <c r="AI238" s="1" t="s">
        <v>481</v>
      </c>
      <c r="AJ238" s="1" t="s">
        <v>482</v>
      </c>
      <c r="AK238"/>
      <c r="AL238"/>
      <c r="AM238" s="1" t="s">
        <v>1000</v>
      </c>
      <c r="AN238" s="1" t="s">
        <v>1548</v>
      </c>
      <c r="AO238" s="1" t="s">
        <v>998</v>
      </c>
      <c r="AP238" s="1" t="s">
        <v>1549</v>
      </c>
      <c r="AQ238" s="1" t="s">
        <v>999</v>
      </c>
      <c r="AR238" s="1" t="s">
        <v>1550</v>
      </c>
      <c r="AS238"/>
      <c r="AT238"/>
      <c r="AU238"/>
      <c r="AV238"/>
      <c r="AW238"/>
      <c r="AX238"/>
      <c r="AY238" s="3">
        <v>9326.92</v>
      </c>
      <c r="AZ238" s="3">
        <v>0</v>
      </c>
      <c r="BA238" s="1" t="s">
        <v>67</v>
      </c>
      <c r="BB238" s="1" t="s">
        <v>1044</v>
      </c>
      <c r="BC238" s="1" t="s">
        <v>668</v>
      </c>
      <c r="BD238" s="1" t="s">
        <v>669</v>
      </c>
      <c r="BE238" s="1" t="s">
        <v>74</v>
      </c>
      <c r="BF238" s="1" t="s">
        <v>670</v>
      </c>
      <c r="BG238"/>
      <c r="BH238" s="60" t="str">
        <f>HYPERLINK("https://www.google.com/maps/search/?api=1&amp;query=" &amp; SUBSTITUTE(SUBSTITUTE(BG238, "°", "%20"), """", ""), "Ver en Mapa")</f>
        <v>Ver en Mapa</v>
      </c>
      <c r="BI238"/>
      <c r="BJ238" s="1">
        <v>2</v>
      </c>
      <c r="BK238" s="1">
        <v>2</v>
      </c>
    </row>
    <row r="239" spans="1:63" x14ac:dyDescent="0.3">
      <c r="A239" s="1"/>
      <c r="M239" s="3"/>
      <c r="N239" s="3"/>
      <c r="O239" s="4"/>
      <c r="P239" s="4"/>
      <c r="Q239" s="1"/>
      <c r="R239" s="3"/>
      <c r="U239" s="3"/>
      <c r="V239" s="3"/>
      <c r="W239" s="3"/>
      <c r="AC239" s="3">
        <v>3925</v>
      </c>
      <c r="AD239" s="2">
        <v>45903</v>
      </c>
      <c r="AE239" s="1" t="s">
        <v>69</v>
      </c>
      <c r="AF239" s="1" t="s">
        <v>1553</v>
      </c>
      <c r="AG239" s="1" t="s">
        <v>1306</v>
      </c>
      <c r="AH239"/>
      <c r="AI239" s="1" t="s">
        <v>537</v>
      </c>
      <c r="AJ239" s="1" t="s">
        <v>1457</v>
      </c>
      <c r="AK239" s="1" t="s">
        <v>1307</v>
      </c>
      <c r="AL239" s="1" t="s">
        <v>1553</v>
      </c>
      <c r="AM239" s="1" t="s">
        <v>1308</v>
      </c>
      <c r="AN239" s="1" t="s">
        <v>1554</v>
      </c>
      <c r="AO239" s="1" t="s">
        <v>1309</v>
      </c>
      <c r="AP239" s="1" t="s">
        <v>1555</v>
      </c>
      <c r="AQ239" s="1" t="s">
        <v>1310</v>
      </c>
      <c r="AR239" s="1" t="s">
        <v>1556</v>
      </c>
      <c r="AS239"/>
      <c r="AT239"/>
      <c r="AU239"/>
      <c r="AV239"/>
      <c r="AW239"/>
      <c r="AX239"/>
      <c r="AY239" s="3">
        <v>32951.599999999999</v>
      </c>
      <c r="AZ239" s="3">
        <v>0</v>
      </c>
      <c r="BA239" s="1" t="s">
        <v>67</v>
      </c>
      <c r="BB239" s="1" t="s">
        <v>1044</v>
      </c>
      <c r="BC239" s="1" t="s">
        <v>1311</v>
      </c>
      <c r="BD239" s="1" t="s">
        <v>1312</v>
      </c>
      <c r="BE239" s="1" t="s">
        <v>74</v>
      </c>
      <c r="BF239" s="1" t="s">
        <v>1141</v>
      </c>
      <c r="BG239" s="1" t="s">
        <v>1313</v>
      </c>
      <c r="BH239" s="60" t="str">
        <f>HYPERLINK("https://www.google.com/maps/search/?api=1&amp;query=" &amp; SUBSTITUTE(SUBSTITUTE(BG239, "°", "%20"), """", ""), "Ver en Mapa")</f>
        <v>Ver en Mapa</v>
      </c>
      <c r="BI239"/>
      <c r="BJ239" s="1">
        <v>2</v>
      </c>
      <c r="BK239" s="1">
        <v>2</v>
      </c>
    </row>
    <row r="240" spans="1:63" x14ac:dyDescent="0.3">
      <c r="A240" s="1"/>
      <c r="M240" s="3"/>
      <c r="N240" s="3"/>
      <c r="O240" s="4"/>
      <c r="P240" s="4"/>
      <c r="Q240" s="1"/>
      <c r="R240" s="3"/>
      <c r="U240" s="3"/>
      <c r="V240" s="3"/>
      <c r="W240" s="3"/>
      <c r="AC240" s="3">
        <v>6000</v>
      </c>
      <c r="AD240" s="2">
        <v>45883</v>
      </c>
      <c r="AE240" s="1" t="s">
        <v>69</v>
      </c>
      <c r="AF240" s="1" t="s">
        <v>637</v>
      </c>
      <c r="AG240" s="1" t="s">
        <v>671</v>
      </c>
      <c r="AH240"/>
      <c r="AI240" s="1" t="s">
        <v>638</v>
      </c>
      <c r="AJ240" s="1" t="s">
        <v>639</v>
      </c>
      <c r="AK240"/>
      <c r="AL240"/>
      <c r="AM240" s="1" t="s">
        <v>1004</v>
      </c>
      <c r="AN240" s="1" t="s">
        <v>1086</v>
      </c>
      <c r="AO240" s="1" t="s">
        <v>1001</v>
      </c>
      <c r="AP240" s="1" t="s">
        <v>1002</v>
      </c>
      <c r="AQ240" s="1" t="s">
        <v>1003</v>
      </c>
      <c r="AR240" s="1" t="s">
        <v>1087</v>
      </c>
      <c r="AS240"/>
      <c r="AT240"/>
      <c r="AU240"/>
      <c r="AV240"/>
      <c r="AW240"/>
      <c r="AX240"/>
      <c r="AY240" s="3">
        <v>33386.6</v>
      </c>
      <c r="AZ240" s="3">
        <v>0</v>
      </c>
      <c r="BA240" s="1" t="s">
        <v>67</v>
      </c>
      <c r="BB240" s="1" t="s">
        <v>1044</v>
      </c>
      <c r="BC240" s="1" t="s">
        <v>640</v>
      </c>
      <c r="BD240" s="1" t="s">
        <v>641</v>
      </c>
      <c r="BE240" s="1" t="s">
        <v>74</v>
      </c>
      <c r="BF240" s="1" t="s">
        <v>392</v>
      </c>
      <c r="BG240"/>
      <c r="BH240" s="60" t="str">
        <f>HYPERLINK("https://www.google.com/maps/search/?api=1&amp;query=" &amp; SUBSTITUTE(SUBSTITUTE(BG240, "°", "%20"), """", ""), "Ver en Mapa")</f>
        <v>Ver en Mapa</v>
      </c>
      <c r="BI240"/>
      <c r="BJ240" s="1">
        <v>3</v>
      </c>
      <c r="BK240" s="1">
        <v>3</v>
      </c>
    </row>
  </sheetData>
  <autoFilter ref="A4:BN240" xr:uid="{3FF29257-4E1E-4161-9FCB-A4010DBD6FF1}"/>
  <sortState xmlns:xlrd2="http://schemas.microsoft.com/office/spreadsheetml/2017/richdata2" ref="A5:BM240">
    <sortCondition descending="1" ref="O5:O240"/>
  </sortState>
  <conditionalFormatting sqref="O4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16:O1048576 O1:O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3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32:O16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131">
    <cfRule type="colorScale" priority="881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8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38AEE-5617-4490-819E-D33687946AB8}">
  <sheetPr codeName="Hoja2"/>
  <dimension ref="A5:BV63"/>
  <sheetViews>
    <sheetView topLeftCell="I1" workbookViewId="0">
      <selection activeCell="O1" sqref="O1:O1048576"/>
    </sheetView>
  </sheetViews>
  <sheetFormatPr baseColWidth="10" defaultRowHeight="14.4" x14ac:dyDescent="0.3"/>
  <cols>
    <col min="1" max="1" width="0" hidden="1" customWidth="1"/>
    <col min="2" max="2" width="39" bestFit="1" customWidth="1"/>
    <col min="3" max="3" width="18.33203125" bestFit="1" customWidth="1"/>
    <col min="5" max="5" width="30.21875" bestFit="1" customWidth="1"/>
    <col min="7" max="7" width="28.21875" bestFit="1" customWidth="1"/>
    <col min="10" max="10" width="38.33203125" bestFit="1" customWidth="1"/>
    <col min="15" max="15" width="13.77734375" bestFit="1" customWidth="1"/>
    <col min="24" max="53" width="11.5546875" customWidth="1"/>
    <col min="54" max="54" width="38" bestFit="1" customWidth="1"/>
    <col min="58" max="58" width="14.77734375" bestFit="1" customWidth="1"/>
    <col min="59" max="59" width="32.77734375" bestFit="1" customWidth="1"/>
    <col min="60" max="60" width="32.77734375" customWidth="1"/>
  </cols>
  <sheetData>
    <row r="5" spans="1:74" x14ac:dyDescent="0.3">
      <c r="B5" s="6" t="s">
        <v>3061</v>
      </c>
      <c r="R5" s="3"/>
      <c r="W5" s="3"/>
      <c r="X5" s="57"/>
      <c r="BM5" s="62" t="s">
        <v>344</v>
      </c>
      <c r="BN5" s="62"/>
      <c r="BO5" s="62"/>
      <c r="BP5" s="62"/>
      <c r="BQ5" s="10"/>
      <c r="BR5" s="63" t="s">
        <v>345</v>
      </c>
      <c r="BS5" s="63"/>
      <c r="BT5" s="63"/>
      <c r="BU5" s="63"/>
      <c r="BV5" s="63"/>
    </row>
    <row r="6" spans="1:74" s="43" customFormat="1" ht="69" x14ac:dyDescent="0.25">
      <c r="A6" s="56" t="s">
        <v>6</v>
      </c>
      <c r="B6" s="36" t="s">
        <v>0</v>
      </c>
      <c r="C6" s="36" t="s">
        <v>1</v>
      </c>
      <c r="D6" s="37" t="s">
        <v>2</v>
      </c>
      <c r="E6" s="37" t="s">
        <v>3</v>
      </c>
      <c r="F6" s="37" t="s">
        <v>4</v>
      </c>
      <c r="G6" s="37" t="s">
        <v>5</v>
      </c>
      <c r="H6" s="37" t="s">
        <v>6</v>
      </c>
      <c r="I6" s="36" t="s">
        <v>7</v>
      </c>
      <c r="J6" s="36" t="s">
        <v>8</v>
      </c>
      <c r="K6" s="38" t="s">
        <v>9</v>
      </c>
      <c r="L6" s="38" t="s">
        <v>10</v>
      </c>
      <c r="M6" s="39" t="s">
        <v>11</v>
      </c>
      <c r="N6" s="39" t="s">
        <v>12</v>
      </c>
      <c r="O6" s="44" t="s">
        <v>13</v>
      </c>
      <c r="P6" s="40" t="s">
        <v>14</v>
      </c>
      <c r="Q6" s="36" t="s">
        <v>15</v>
      </c>
      <c r="R6" s="39" t="s">
        <v>16</v>
      </c>
      <c r="S6" s="39" t="s">
        <v>17</v>
      </c>
      <c r="T6" s="39" t="s">
        <v>18</v>
      </c>
      <c r="U6" s="41" t="s">
        <v>19</v>
      </c>
      <c r="V6" s="39" t="s">
        <v>20</v>
      </c>
      <c r="W6" s="39" t="s">
        <v>21</v>
      </c>
      <c r="X6" s="58" t="s">
        <v>22</v>
      </c>
      <c r="Y6" s="41" t="s">
        <v>23</v>
      </c>
      <c r="Z6" s="41" t="s">
        <v>24</v>
      </c>
      <c r="AA6" s="41" t="s">
        <v>25</v>
      </c>
      <c r="AB6" s="41" t="s">
        <v>26</v>
      </c>
      <c r="AC6" s="39" t="s">
        <v>27</v>
      </c>
      <c r="AD6" s="38" t="s">
        <v>28</v>
      </c>
      <c r="AE6" s="37" t="s">
        <v>29</v>
      </c>
      <c r="AF6" s="37" t="s">
        <v>30</v>
      </c>
      <c r="AG6" s="37" t="s">
        <v>31</v>
      </c>
      <c r="AH6" s="37" t="s">
        <v>32</v>
      </c>
      <c r="AI6" s="37" t="s">
        <v>33</v>
      </c>
      <c r="AJ6" s="37" t="s">
        <v>34</v>
      </c>
      <c r="AK6" s="37" t="s">
        <v>35</v>
      </c>
      <c r="AL6" s="37" t="s">
        <v>36</v>
      </c>
      <c r="AM6" s="36" t="s">
        <v>1005</v>
      </c>
      <c r="AN6" s="36" t="s">
        <v>1006</v>
      </c>
      <c r="AO6" s="36" t="s">
        <v>1007</v>
      </c>
      <c r="AP6" s="36" t="s">
        <v>1008</v>
      </c>
      <c r="AQ6" s="36" t="s">
        <v>1009</v>
      </c>
      <c r="AR6" s="36" t="s">
        <v>1010</v>
      </c>
      <c r="AS6" s="36" t="s">
        <v>43</v>
      </c>
      <c r="AT6" s="42" t="s">
        <v>44</v>
      </c>
      <c r="AU6" s="36" t="s">
        <v>45</v>
      </c>
      <c r="AV6" s="36" t="s">
        <v>46</v>
      </c>
      <c r="AW6" s="42" t="s">
        <v>47</v>
      </c>
      <c r="AX6" s="36" t="s">
        <v>48</v>
      </c>
      <c r="AY6" s="39" t="s">
        <v>49</v>
      </c>
      <c r="AZ6" s="39" t="s">
        <v>50</v>
      </c>
      <c r="BA6" s="37" t="s">
        <v>51</v>
      </c>
      <c r="BB6" s="37" t="s">
        <v>52</v>
      </c>
      <c r="BC6" s="36" t="s">
        <v>53</v>
      </c>
      <c r="BD6" s="36" t="s">
        <v>54</v>
      </c>
      <c r="BE6" s="37" t="s">
        <v>55</v>
      </c>
      <c r="BF6" s="36" t="s">
        <v>56</v>
      </c>
      <c r="BG6" s="36" t="s">
        <v>1011</v>
      </c>
      <c r="BH6" s="36" t="s">
        <v>1085</v>
      </c>
      <c r="BI6" s="38" t="s">
        <v>57</v>
      </c>
      <c r="BJ6" s="37" t="s">
        <v>58</v>
      </c>
      <c r="BK6" s="36" t="s">
        <v>59</v>
      </c>
      <c r="BL6" s="36" t="s">
        <v>60</v>
      </c>
    </row>
    <row r="7" spans="1:74" ht="14.4" customHeight="1" x14ac:dyDescent="0.3">
      <c r="A7">
        <v>1039</v>
      </c>
      <c r="B7" t="s">
        <v>61</v>
      </c>
      <c r="C7" t="s">
        <v>62</v>
      </c>
      <c r="D7">
        <v>8</v>
      </c>
      <c r="E7" t="s">
        <v>64</v>
      </c>
      <c r="F7">
        <v>20</v>
      </c>
      <c r="G7" t="s">
        <v>2784</v>
      </c>
      <c r="H7">
        <v>1039</v>
      </c>
      <c r="I7">
        <v>1</v>
      </c>
      <c r="J7" t="s">
        <v>110</v>
      </c>
      <c r="K7" s="5">
        <v>45322</v>
      </c>
      <c r="L7" s="5">
        <v>45566</v>
      </c>
      <c r="M7">
        <v>15000.01</v>
      </c>
      <c r="N7">
        <v>15801.12</v>
      </c>
      <c r="O7">
        <v>498</v>
      </c>
      <c r="P7">
        <v>8</v>
      </c>
      <c r="Q7" t="s">
        <v>68</v>
      </c>
      <c r="R7">
        <v>3393.84</v>
      </c>
      <c r="S7">
        <v>464</v>
      </c>
      <c r="T7">
        <v>3480</v>
      </c>
      <c r="U7">
        <v>0</v>
      </c>
      <c r="V7">
        <v>5</v>
      </c>
      <c r="W7">
        <v>11656.93</v>
      </c>
      <c r="X7">
        <v>21138.720000000001</v>
      </c>
      <c r="Y7">
        <v>11656.93</v>
      </c>
      <c r="Z7">
        <v>5022.2700000000004</v>
      </c>
      <c r="AA7">
        <v>979.52</v>
      </c>
      <c r="AB7">
        <v>3480</v>
      </c>
      <c r="AC7">
        <v>3400</v>
      </c>
      <c r="AD7" s="5">
        <v>45413</v>
      </c>
      <c r="AE7" t="s">
        <v>69</v>
      </c>
      <c r="AF7">
        <v>5551538204</v>
      </c>
      <c r="AI7" t="s">
        <v>70</v>
      </c>
      <c r="AJ7">
        <v>6215017</v>
      </c>
      <c r="AY7">
        <v>21138.720000000001</v>
      </c>
      <c r="AZ7">
        <v>0</v>
      </c>
      <c r="BA7">
        <v>1</v>
      </c>
      <c r="BB7" t="s">
        <v>72</v>
      </c>
      <c r="BC7" t="s">
        <v>112</v>
      </c>
      <c r="BD7" t="s">
        <v>88</v>
      </c>
      <c r="BE7" t="s">
        <v>74</v>
      </c>
      <c r="BF7" t="s">
        <v>75</v>
      </c>
      <c r="BH7" t="s">
        <v>2715</v>
      </c>
      <c r="BK7">
        <v>17</v>
      </c>
      <c r="BL7">
        <v>17</v>
      </c>
      <c r="BM7" t="s">
        <v>2846</v>
      </c>
    </row>
    <row r="8" spans="1:74" ht="14.4" customHeight="1" x14ac:dyDescent="0.3">
      <c r="A8">
        <v>1004</v>
      </c>
      <c r="B8" t="s">
        <v>61</v>
      </c>
      <c r="C8" t="s">
        <v>62</v>
      </c>
      <c r="D8">
        <v>5</v>
      </c>
      <c r="E8" t="s">
        <v>66</v>
      </c>
      <c r="F8">
        <v>20</v>
      </c>
      <c r="G8" t="s">
        <v>2784</v>
      </c>
      <c r="H8">
        <v>1004</v>
      </c>
      <c r="I8">
        <v>1</v>
      </c>
      <c r="J8" t="s">
        <v>79</v>
      </c>
      <c r="K8" s="5">
        <v>45142</v>
      </c>
      <c r="L8" s="5">
        <v>45508</v>
      </c>
      <c r="M8">
        <v>50000</v>
      </c>
      <c r="N8">
        <v>52670.39</v>
      </c>
      <c r="O8">
        <v>497</v>
      </c>
      <c r="P8">
        <v>12</v>
      </c>
      <c r="Q8" t="s">
        <v>68</v>
      </c>
      <c r="R8">
        <v>8403.93</v>
      </c>
      <c r="S8">
        <v>696</v>
      </c>
      <c r="T8">
        <v>1715.44</v>
      </c>
      <c r="U8">
        <v>0</v>
      </c>
      <c r="V8">
        <v>2.6</v>
      </c>
      <c r="W8">
        <v>18787.5</v>
      </c>
      <c r="X8">
        <v>23943.170000000002</v>
      </c>
      <c r="Y8">
        <v>18787.48</v>
      </c>
      <c r="Z8">
        <v>2512.25</v>
      </c>
      <c r="AA8">
        <v>928</v>
      </c>
      <c r="AB8">
        <v>1715.44</v>
      </c>
      <c r="AC8">
        <v>4200</v>
      </c>
      <c r="AD8" s="5">
        <v>45709</v>
      </c>
      <c r="AE8" t="s">
        <v>69</v>
      </c>
      <c r="AF8">
        <v>7443086818</v>
      </c>
      <c r="AG8" t="s">
        <v>81</v>
      </c>
      <c r="AI8" t="s">
        <v>82</v>
      </c>
      <c r="AJ8">
        <v>6122014</v>
      </c>
      <c r="AY8">
        <v>23943.19</v>
      </c>
      <c r="AZ8">
        <v>0</v>
      </c>
      <c r="BA8">
        <v>1</v>
      </c>
      <c r="BB8" t="s">
        <v>77</v>
      </c>
      <c r="BC8" t="s">
        <v>84</v>
      </c>
      <c r="BD8" t="s">
        <v>85</v>
      </c>
      <c r="BE8" t="s">
        <v>74</v>
      </c>
      <c r="BF8" t="s">
        <v>75</v>
      </c>
      <c r="BH8" t="s">
        <v>2715</v>
      </c>
      <c r="BK8">
        <v>20</v>
      </c>
      <c r="BL8">
        <v>19</v>
      </c>
      <c r="BM8" t="s">
        <v>2846</v>
      </c>
    </row>
    <row r="9" spans="1:74" ht="14.4" customHeight="1" x14ac:dyDescent="0.3">
      <c r="A9">
        <v>1027</v>
      </c>
      <c r="B9" t="s">
        <v>61</v>
      </c>
      <c r="C9" t="s">
        <v>62</v>
      </c>
      <c r="D9">
        <v>5</v>
      </c>
      <c r="E9" t="s">
        <v>66</v>
      </c>
      <c r="F9">
        <v>20</v>
      </c>
      <c r="G9" t="s">
        <v>2784</v>
      </c>
      <c r="H9">
        <v>1027</v>
      </c>
      <c r="I9">
        <v>1</v>
      </c>
      <c r="J9" t="s">
        <v>92</v>
      </c>
      <c r="K9" s="5">
        <v>45268</v>
      </c>
      <c r="L9" s="5">
        <v>45634</v>
      </c>
      <c r="M9">
        <v>40000</v>
      </c>
      <c r="N9">
        <v>42136.31</v>
      </c>
      <c r="O9">
        <v>491</v>
      </c>
      <c r="P9">
        <v>12</v>
      </c>
      <c r="Q9" t="s">
        <v>68</v>
      </c>
      <c r="R9">
        <v>7264.24</v>
      </c>
      <c r="S9">
        <v>696</v>
      </c>
      <c r="T9">
        <v>3480</v>
      </c>
      <c r="U9">
        <v>0</v>
      </c>
      <c r="V9">
        <v>6.8</v>
      </c>
      <c r="W9">
        <v>31607.600000000002</v>
      </c>
      <c r="X9">
        <v>53407.880000000005</v>
      </c>
      <c r="Y9">
        <v>31607.600000000002</v>
      </c>
      <c r="Z9">
        <v>17392.28</v>
      </c>
      <c r="AA9">
        <v>928</v>
      </c>
      <c r="AB9">
        <v>3480</v>
      </c>
      <c r="AC9">
        <v>1500</v>
      </c>
      <c r="AD9" s="5">
        <v>45549</v>
      </c>
      <c r="AE9" t="s">
        <v>69</v>
      </c>
      <c r="AF9">
        <v>7227163914</v>
      </c>
      <c r="AI9" t="s">
        <v>94</v>
      </c>
      <c r="AJ9">
        <v>2433019</v>
      </c>
      <c r="AY9">
        <v>53407.880000000005</v>
      </c>
      <c r="AZ9">
        <v>0</v>
      </c>
      <c r="BA9">
        <v>1</v>
      </c>
      <c r="BB9" t="s">
        <v>72</v>
      </c>
      <c r="BC9" t="s">
        <v>96</v>
      </c>
      <c r="BD9" t="s">
        <v>97</v>
      </c>
      <c r="BE9" t="s">
        <v>74</v>
      </c>
      <c r="BF9" t="s">
        <v>75</v>
      </c>
      <c r="BH9" t="s">
        <v>2715</v>
      </c>
      <c r="BK9">
        <v>19</v>
      </c>
      <c r="BL9">
        <v>19</v>
      </c>
      <c r="BM9" t="s">
        <v>2847</v>
      </c>
    </row>
    <row r="10" spans="1:74" ht="14.4" customHeight="1" x14ac:dyDescent="0.3">
      <c r="A10">
        <v>1037</v>
      </c>
      <c r="B10" t="s">
        <v>61</v>
      </c>
      <c r="C10" t="s">
        <v>62</v>
      </c>
      <c r="D10">
        <v>5</v>
      </c>
      <c r="E10" t="s">
        <v>66</v>
      </c>
      <c r="F10">
        <v>20</v>
      </c>
      <c r="G10" t="s">
        <v>2784</v>
      </c>
      <c r="H10">
        <v>1037</v>
      </c>
      <c r="I10">
        <v>1</v>
      </c>
      <c r="J10" t="s">
        <v>104</v>
      </c>
      <c r="K10" s="5">
        <v>45322</v>
      </c>
      <c r="L10" s="5">
        <v>45566</v>
      </c>
      <c r="M10">
        <v>20000</v>
      </c>
      <c r="N10">
        <v>21068.16</v>
      </c>
      <c r="O10">
        <v>439</v>
      </c>
      <c r="P10">
        <v>8</v>
      </c>
      <c r="Q10" t="s">
        <v>68</v>
      </c>
      <c r="R10">
        <v>4505.78</v>
      </c>
      <c r="S10">
        <v>464</v>
      </c>
      <c r="T10">
        <v>2320</v>
      </c>
      <c r="U10">
        <v>0</v>
      </c>
      <c r="V10">
        <v>3</v>
      </c>
      <c r="W10">
        <v>10454.49</v>
      </c>
      <c r="X10">
        <v>16530.25</v>
      </c>
      <c r="Y10">
        <v>10454.51</v>
      </c>
      <c r="Z10">
        <v>2888.83</v>
      </c>
      <c r="AA10">
        <v>866.91</v>
      </c>
      <c r="AB10">
        <v>2320</v>
      </c>
      <c r="AC10">
        <v>4520</v>
      </c>
      <c r="AD10" s="5">
        <v>45498</v>
      </c>
      <c r="AE10" t="s">
        <v>69</v>
      </c>
      <c r="AF10">
        <v>7224419211</v>
      </c>
      <c r="AI10" t="s">
        <v>70</v>
      </c>
      <c r="AJ10">
        <v>6215017</v>
      </c>
      <c r="AK10" t="s">
        <v>106</v>
      </c>
      <c r="AL10">
        <v>7224419212</v>
      </c>
      <c r="AY10">
        <v>16530.23</v>
      </c>
      <c r="AZ10">
        <v>0</v>
      </c>
      <c r="BA10">
        <v>1</v>
      </c>
      <c r="BB10" t="s">
        <v>72</v>
      </c>
      <c r="BC10" t="s">
        <v>108</v>
      </c>
      <c r="BD10" t="s">
        <v>73</v>
      </c>
      <c r="BE10" t="s">
        <v>74</v>
      </c>
      <c r="BF10" t="s">
        <v>75</v>
      </c>
      <c r="BH10" t="s">
        <v>2715</v>
      </c>
      <c r="BK10">
        <v>18</v>
      </c>
      <c r="BL10">
        <v>18</v>
      </c>
      <c r="BM10" t="s">
        <v>2846</v>
      </c>
    </row>
    <row r="11" spans="1:74" ht="14.4" customHeight="1" x14ac:dyDescent="0.3">
      <c r="A11">
        <v>1035</v>
      </c>
      <c r="B11" t="s">
        <v>61</v>
      </c>
      <c r="C11" t="s">
        <v>62</v>
      </c>
      <c r="D11">
        <v>14</v>
      </c>
      <c r="E11" t="s">
        <v>114</v>
      </c>
      <c r="F11">
        <v>85</v>
      </c>
      <c r="G11" t="s">
        <v>2849</v>
      </c>
      <c r="H11">
        <v>1035</v>
      </c>
      <c r="I11">
        <v>2</v>
      </c>
      <c r="J11" t="s">
        <v>116</v>
      </c>
      <c r="K11" s="5">
        <v>45492</v>
      </c>
      <c r="L11" s="5">
        <v>45857</v>
      </c>
      <c r="M11">
        <v>40000</v>
      </c>
      <c r="N11">
        <v>42136.31</v>
      </c>
      <c r="O11">
        <v>209</v>
      </c>
      <c r="P11">
        <v>12</v>
      </c>
      <c r="Q11" t="s">
        <v>68</v>
      </c>
      <c r="R11">
        <v>6476.17</v>
      </c>
      <c r="S11">
        <v>696</v>
      </c>
      <c r="T11">
        <v>2900</v>
      </c>
      <c r="U11">
        <v>0</v>
      </c>
      <c r="V11">
        <v>4.9000000000000004</v>
      </c>
      <c r="W11">
        <v>23860.74</v>
      </c>
      <c r="X11">
        <v>34611.040000000001</v>
      </c>
      <c r="Y11">
        <v>23860.73</v>
      </c>
      <c r="Z11">
        <v>7502.31</v>
      </c>
      <c r="AA11">
        <v>348</v>
      </c>
      <c r="AB11">
        <v>2900</v>
      </c>
      <c r="AC11">
        <v>1000</v>
      </c>
      <c r="AD11" s="5">
        <v>45771</v>
      </c>
      <c r="AE11" t="s">
        <v>69</v>
      </c>
      <c r="AF11">
        <v>7222671821</v>
      </c>
      <c r="AG11" t="s">
        <v>118</v>
      </c>
      <c r="AI11" t="s">
        <v>86</v>
      </c>
      <c r="AJ11">
        <v>8711021</v>
      </c>
      <c r="AK11" t="s">
        <v>119</v>
      </c>
      <c r="AL11">
        <v>5529416705</v>
      </c>
      <c r="AM11" t="s">
        <v>695</v>
      </c>
      <c r="AN11">
        <v>7221455287</v>
      </c>
      <c r="AO11" t="s">
        <v>692</v>
      </c>
      <c r="AP11">
        <v>5553343631</v>
      </c>
      <c r="AQ11" t="s">
        <v>694</v>
      </c>
      <c r="AR11">
        <v>7224863196</v>
      </c>
      <c r="AY11">
        <v>34611.050000000003</v>
      </c>
      <c r="AZ11">
        <v>0</v>
      </c>
      <c r="BA11">
        <v>1</v>
      </c>
      <c r="BB11" t="s">
        <v>72</v>
      </c>
      <c r="BC11" t="s">
        <v>2877</v>
      </c>
      <c r="BD11" t="s">
        <v>88</v>
      </c>
      <c r="BE11" t="s">
        <v>74</v>
      </c>
      <c r="BF11" t="s">
        <v>75</v>
      </c>
      <c r="BH11" t="s">
        <v>2715</v>
      </c>
      <c r="BK11">
        <v>14</v>
      </c>
      <c r="BL11">
        <v>14</v>
      </c>
      <c r="BM11" t="s">
        <v>2847</v>
      </c>
    </row>
    <row r="12" spans="1:74" ht="14.4" customHeight="1" x14ac:dyDescent="0.3">
      <c r="A12">
        <v>1295</v>
      </c>
      <c r="B12" t="s">
        <v>61</v>
      </c>
      <c r="C12" t="s">
        <v>62</v>
      </c>
      <c r="D12">
        <v>37</v>
      </c>
      <c r="E12" t="s">
        <v>409</v>
      </c>
      <c r="F12">
        <v>85</v>
      </c>
      <c r="G12" t="s">
        <v>2849</v>
      </c>
      <c r="H12">
        <v>1295</v>
      </c>
      <c r="I12">
        <v>1</v>
      </c>
      <c r="J12" t="s">
        <v>517</v>
      </c>
      <c r="K12" s="5">
        <v>45784</v>
      </c>
      <c r="L12" s="5">
        <v>45968</v>
      </c>
      <c r="M12">
        <v>5000</v>
      </c>
      <c r="N12">
        <v>5267.04</v>
      </c>
      <c r="O12">
        <v>127</v>
      </c>
      <c r="P12">
        <v>6</v>
      </c>
      <c r="Q12" t="s">
        <v>68</v>
      </c>
      <c r="R12">
        <v>1322.42</v>
      </c>
      <c r="S12">
        <v>348</v>
      </c>
      <c r="T12">
        <v>2320</v>
      </c>
      <c r="U12">
        <v>0</v>
      </c>
      <c r="V12">
        <v>4.6000000000000014</v>
      </c>
      <c r="W12">
        <v>5091.62</v>
      </c>
      <c r="X12">
        <v>8312.09</v>
      </c>
      <c r="Y12">
        <v>4213.78</v>
      </c>
      <c r="Z12">
        <v>1546.31</v>
      </c>
      <c r="AA12">
        <v>232</v>
      </c>
      <c r="AB12">
        <v>2320</v>
      </c>
      <c r="AC12">
        <v>1200</v>
      </c>
      <c r="AD12" s="5">
        <v>45826</v>
      </c>
      <c r="AE12" t="s">
        <v>69</v>
      </c>
      <c r="AF12">
        <v>7205451836</v>
      </c>
      <c r="AG12" t="s">
        <v>519</v>
      </c>
      <c r="AI12" t="s">
        <v>379</v>
      </c>
      <c r="AJ12">
        <v>6112023</v>
      </c>
      <c r="AM12" t="s">
        <v>733</v>
      </c>
      <c r="AN12">
        <v>7297364541</v>
      </c>
      <c r="AO12" t="s">
        <v>730</v>
      </c>
      <c r="AP12">
        <v>7471491786</v>
      </c>
      <c r="AQ12" t="s">
        <v>732</v>
      </c>
      <c r="AR12">
        <v>5513416476</v>
      </c>
      <c r="AY12">
        <v>9576.5</v>
      </c>
      <c r="AZ12">
        <v>0</v>
      </c>
      <c r="BA12">
        <v>1</v>
      </c>
      <c r="BB12" t="s">
        <v>1044</v>
      </c>
      <c r="BC12" t="s">
        <v>520</v>
      </c>
      <c r="BD12" t="s">
        <v>424</v>
      </c>
      <c r="BE12" t="s">
        <v>74</v>
      </c>
      <c r="BF12" t="s">
        <v>338</v>
      </c>
      <c r="BH12" t="s">
        <v>2715</v>
      </c>
      <c r="BK12">
        <v>5</v>
      </c>
      <c r="BL12">
        <v>5</v>
      </c>
      <c r="BM12" t="s">
        <v>2847</v>
      </c>
    </row>
    <row r="13" spans="1:74" ht="14.4" customHeight="1" x14ac:dyDescent="0.3">
      <c r="A13">
        <v>1378</v>
      </c>
      <c r="B13" t="s">
        <v>61</v>
      </c>
      <c r="C13" t="s">
        <v>62</v>
      </c>
      <c r="D13">
        <v>29</v>
      </c>
      <c r="E13" t="s">
        <v>184</v>
      </c>
      <c r="F13">
        <v>39</v>
      </c>
      <c r="G13" t="s">
        <v>2763</v>
      </c>
      <c r="H13">
        <v>1378</v>
      </c>
      <c r="I13">
        <v>1</v>
      </c>
      <c r="J13" t="s">
        <v>1089</v>
      </c>
      <c r="K13" s="5">
        <v>45814</v>
      </c>
      <c r="L13" s="5">
        <v>46179</v>
      </c>
      <c r="M13">
        <v>30000</v>
      </c>
      <c r="N13">
        <v>31602.23</v>
      </c>
      <c r="O13">
        <v>99</v>
      </c>
      <c r="P13">
        <v>12</v>
      </c>
      <c r="Q13" t="s">
        <v>68</v>
      </c>
      <c r="R13">
        <v>4992.07</v>
      </c>
      <c r="S13">
        <v>696</v>
      </c>
      <c r="T13">
        <v>2320</v>
      </c>
      <c r="U13">
        <v>0</v>
      </c>
      <c r="V13">
        <v>4</v>
      </c>
      <c r="W13">
        <v>31602.23</v>
      </c>
      <c r="X13">
        <v>22288.296699999999</v>
      </c>
      <c r="Y13">
        <v>10534.08</v>
      </c>
      <c r="Z13">
        <v>9202.2199999999993</v>
      </c>
      <c r="AA13">
        <v>232</v>
      </c>
      <c r="AB13">
        <v>2320</v>
      </c>
      <c r="AE13" t="s">
        <v>69</v>
      </c>
      <c r="AF13">
        <v>7226159497</v>
      </c>
      <c r="AG13">
        <v>7226159497</v>
      </c>
      <c r="AI13" t="s">
        <v>1090</v>
      </c>
      <c r="AJ13">
        <v>2097013</v>
      </c>
      <c r="AK13" t="s">
        <v>342</v>
      </c>
      <c r="AL13">
        <v>7861219357</v>
      </c>
      <c r="AM13" t="s">
        <v>1091</v>
      </c>
      <c r="AN13">
        <v>7223712601</v>
      </c>
      <c r="AO13" t="s">
        <v>1092</v>
      </c>
      <c r="AP13">
        <v>7226839207</v>
      </c>
      <c r="AQ13" t="s">
        <v>1093</v>
      </c>
      <c r="AR13">
        <v>9517772748</v>
      </c>
      <c r="AY13">
        <v>61760.880000000005</v>
      </c>
      <c r="AZ13">
        <v>0</v>
      </c>
      <c r="BA13">
        <v>1</v>
      </c>
      <c r="BB13" t="s">
        <v>1044</v>
      </c>
      <c r="BC13" t="s">
        <v>2963</v>
      </c>
      <c r="BD13" t="s">
        <v>452</v>
      </c>
      <c r="BE13" t="s">
        <v>74</v>
      </c>
      <c r="BF13" t="s">
        <v>75</v>
      </c>
      <c r="BG13" t="s">
        <v>1094</v>
      </c>
      <c r="BH13" t="s">
        <v>2715</v>
      </c>
      <c r="BK13">
        <v>4</v>
      </c>
      <c r="BL13">
        <v>4</v>
      </c>
      <c r="BM13" t="s">
        <v>2847</v>
      </c>
    </row>
    <row r="14" spans="1:74" ht="14.4" customHeight="1" x14ac:dyDescent="0.3">
      <c r="A14">
        <v>1304</v>
      </c>
      <c r="B14" t="s">
        <v>61</v>
      </c>
      <c r="C14" t="s">
        <v>62</v>
      </c>
      <c r="D14">
        <v>37</v>
      </c>
      <c r="E14" t="s">
        <v>409</v>
      </c>
      <c r="F14">
        <v>85</v>
      </c>
      <c r="G14" t="s">
        <v>2849</v>
      </c>
      <c r="H14">
        <v>1304</v>
      </c>
      <c r="I14">
        <v>1</v>
      </c>
      <c r="J14" t="s">
        <v>551</v>
      </c>
      <c r="K14" s="5">
        <v>45786</v>
      </c>
      <c r="L14" s="5">
        <v>46151</v>
      </c>
      <c r="M14">
        <v>10000</v>
      </c>
      <c r="N14">
        <v>10534.08</v>
      </c>
      <c r="O14">
        <v>97</v>
      </c>
      <c r="P14">
        <v>12</v>
      </c>
      <c r="Q14" t="s">
        <v>68</v>
      </c>
      <c r="R14">
        <v>1702.69</v>
      </c>
      <c r="S14">
        <v>696</v>
      </c>
      <c r="T14">
        <v>2320</v>
      </c>
      <c r="U14">
        <v>0</v>
      </c>
      <c r="V14">
        <v>4</v>
      </c>
      <c r="W14">
        <v>9656.24</v>
      </c>
      <c r="X14">
        <v>9130.4600000000009</v>
      </c>
      <c r="Y14">
        <v>3511.36</v>
      </c>
      <c r="Z14">
        <v>3067.41</v>
      </c>
      <c r="AA14">
        <v>231.69</v>
      </c>
      <c r="AB14">
        <v>2320</v>
      </c>
      <c r="AC14">
        <v>1703</v>
      </c>
      <c r="AD14" s="5">
        <v>45817</v>
      </c>
      <c r="AE14" t="s">
        <v>69</v>
      </c>
      <c r="AF14">
        <v>7226786248</v>
      </c>
      <c r="AG14" t="s">
        <v>552</v>
      </c>
      <c r="AI14" t="s">
        <v>283</v>
      </c>
      <c r="AJ14">
        <v>8944098</v>
      </c>
      <c r="AM14" t="s">
        <v>751</v>
      </c>
      <c r="AN14">
        <v>7294499383</v>
      </c>
      <c r="AO14" t="s">
        <v>749</v>
      </c>
      <c r="AP14">
        <v>7223487516</v>
      </c>
      <c r="AQ14" t="s">
        <v>750</v>
      </c>
      <c r="AR14">
        <v>7227871773</v>
      </c>
      <c r="AY14">
        <v>20643.3</v>
      </c>
      <c r="AZ14">
        <v>0</v>
      </c>
      <c r="BA14">
        <v>1</v>
      </c>
      <c r="BB14" t="s">
        <v>1044</v>
      </c>
      <c r="BC14" t="s">
        <v>2907</v>
      </c>
      <c r="BD14" t="s">
        <v>125</v>
      </c>
      <c r="BE14" t="s">
        <v>74</v>
      </c>
      <c r="BF14" t="s">
        <v>75</v>
      </c>
      <c r="BH14" t="s">
        <v>2715</v>
      </c>
      <c r="BK14">
        <v>4</v>
      </c>
      <c r="BL14">
        <v>4</v>
      </c>
      <c r="BM14" t="s">
        <v>2847</v>
      </c>
    </row>
    <row r="15" spans="1:74" ht="14.4" customHeight="1" x14ac:dyDescent="0.3">
      <c r="A15">
        <v>1451</v>
      </c>
      <c r="B15" t="s">
        <v>61</v>
      </c>
      <c r="C15" t="s">
        <v>62</v>
      </c>
      <c r="D15">
        <v>40</v>
      </c>
      <c r="E15" t="s">
        <v>617</v>
      </c>
      <c r="F15">
        <v>85</v>
      </c>
      <c r="G15" t="s">
        <v>2849</v>
      </c>
      <c r="H15">
        <v>1451</v>
      </c>
      <c r="I15">
        <v>1</v>
      </c>
      <c r="J15" t="s">
        <v>1358</v>
      </c>
      <c r="K15" s="5">
        <v>45834</v>
      </c>
      <c r="L15" s="5">
        <v>46204</v>
      </c>
      <c r="M15">
        <v>10000</v>
      </c>
      <c r="N15">
        <v>10534.08</v>
      </c>
      <c r="O15">
        <v>74</v>
      </c>
      <c r="P15">
        <v>12</v>
      </c>
      <c r="Q15" t="s">
        <v>68</v>
      </c>
      <c r="R15">
        <v>1713.2</v>
      </c>
      <c r="S15">
        <v>696</v>
      </c>
      <c r="T15">
        <v>1160</v>
      </c>
      <c r="U15">
        <v>0</v>
      </c>
      <c r="V15">
        <v>2.2999999999999998</v>
      </c>
      <c r="W15">
        <v>10199.44</v>
      </c>
      <c r="X15">
        <v>5129.5902880000003</v>
      </c>
      <c r="Y15">
        <v>2298.88</v>
      </c>
      <c r="Z15">
        <v>1554.71</v>
      </c>
      <c r="AA15">
        <v>116</v>
      </c>
      <c r="AB15">
        <v>1160</v>
      </c>
      <c r="AC15">
        <v>1750</v>
      </c>
      <c r="AD15" s="5">
        <v>45873</v>
      </c>
      <c r="AE15" t="s">
        <v>69</v>
      </c>
      <c r="AF15">
        <v>7297872956</v>
      </c>
      <c r="AG15" t="s">
        <v>1359</v>
      </c>
      <c r="AI15" t="s">
        <v>1360</v>
      </c>
      <c r="AJ15">
        <v>6999041</v>
      </c>
      <c r="AM15" t="s">
        <v>1361</v>
      </c>
      <c r="AN15">
        <v>7223669091</v>
      </c>
      <c r="AO15" t="s">
        <v>1362</v>
      </c>
      <c r="AP15">
        <v>7293461613</v>
      </c>
      <c r="AQ15" t="s">
        <v>1363</v>
      </c>
      <c r="AR15">
        <v>7297053779</v>
      </c>
      <c r="AY15">
        <v>20026.36</v>
      </c>
      <c r="AZ15">
        <v>0</v>
      </c>
      <c r="BA15">
        <v>1</v>
      </c>
      <c r="BB15" t="s">
        <v>1044</v>
      </c>
      <c r="BC15" t="s">
        <v>3016</v>
      </c>
      <c r="BD15" t="s">
        <v>125</v>
      </c>
      <c r="BE15" t="s">
        <v>74</v>
      </c>
      <c r="BF15" t="s">
        <v>75</v>
      </c>
      <c r="BG15" t="s">
        <v>1364</v>
      </c>
      <c r="BH15" t="s">
        <v>2715</v>
      </c>
      <c r="BK15">
        <v>3</v>
      </c>
      <c r="BL15">
        <v>3</v>
      </c>
      <c r="BM15" t="s">
        <v>2847</v>
      </c>
    </row>
    <row r="16" spans="1:74" ht="14.4" customHeight="1" x14ac:dyDescent="0.3">
      <c r="A16">
        <v>1092</v>
      </c>
      <c r="B16" t="s">
        <v>61</v>
      </c>
      <c r="C16" t="s">
        <v>62</v>
      </c>
      <c r="D16">
        <v>14</v>
      </c>
      <c r="E16" t="s">
        <v>114</v>
      </c>
      <c r="F16">
        <v>85</v>
      </c>
      <c r="G16" t="s">
        <v>2849</v>
      </c>
      <c r="H16">
        <v>1092</v>
      </c>
      <c r="I16">
        <v>1</v>
      </c>
      <c r="J16" t="s">
        <v>127</v>
      </c>
      <c r="K16" s="5">
        <v>45544</v>
      </c>
      <c r="L16" s="5">
        <v>46090</v>
      </c>
      <c r="M16">
        <v>100000</v>
      </c>
      <c r="N16">
        <v>105340.78</v>
      </c>
      <c r="O16">
        <v>64</v>
      </c>
      <c r="P16">
        <v>18</v>
      </c>
      <c r="Q16" t="s">
        <v>68</v>
      </c>
      <c r="R16">
        <v>12169.550000000001</v>
      </c>
      <c r="S16">
        <v>1044</v>
      </c>
      <c r="T16">
        <v>1160</v>
      </c>
      <c r="U16">
        <v>0</v>
      </c>
      <c r="V16">
        <v>2.8</v>
      </c>
      <c r="W16">
        <v>66786.83</v>
      </c>
      <c r="X16">
        <v>34749.96</v>
      </c>
      <c r="Y16">
        <v>19799.080000000002</v>
      </c>
      <c r="Z16">
        <v>13674.880000000001</v>
      </c>
      <c r="AA16">
        <v>116</v>
      </c>
      <c r="AB16">
        <v>1160</v>
      </c>
      <c r="AC16">
        <v>3500</v>
      </c>
      <c r="AD16" s="5">
        <v>45904</v>
      </c>
      <c r="AE16" t="s">
        <v>69</v>
      </c>
      <c r="AF16">
        <v>7223738393</v>
      </c>
      <c r="AG16" t="s">
        <v>129</v>
      </c>
      <c r="AI16" t="s">
        <v>130</v>
      </c>
      <c r="AJ16">
        <v>6622022</v>
      </c>
      <c r="AK16" t="s">
        <v>132</v>
      </c>
      <c r="AM16" t="s">
        <v>699</v>
      </c>
      <c r="AN16">
        <v>7261160740</v>
      </c>
      <c r="AO16" t="s">
        <v>696</v>
      </c>
      <c r="AP16">
        <v>7296204394</v>
      </c>
      <c r="AQ16" t="s">
        <v>698</v>
      </c>
      <c r="AR16">
        <v>5610030464</v>
      </c>
      <c r="AS16" t="s">
        <v>122</v>
      </c>
      <c r="AT16" t="s">
        <v>133</v>
      </c>
      <c r="AU16" t="s">
        <v>134</v>
      </c>
      <c r="AY16">
        <v>81737.710000000006</v>
      </c>
      <c r="AZ16">
        <v>0</v>
      </c>
      <c r="BA16">
        <v>4</v>
      </c>
      <c r="BB16" t="s">
        <v>136</v>
      </c>
      <c r="BC16" t="s">
        <v>2905</v>
      </c>
      <c r="BD16" t="s">
        <v>97</v>
      </c>
      <c r="BE16" t="s">
        <v>74</v>
      </c>
      <c r="BF16" t="s">
        <v>75</v>
      </c>
      <c r="BH16" t="s">
        <v>2715</v>
      </c>
      <c r="BK16">
        <v>7</v>
      </c>
      <c r="BL16">
        <v>7</v>
      </c>
      <c r="BM16" t="s">
        <v>2847</v>
      </c>
    </row>
    <row r="17" spans="1:65" ht="14.4" customHeight="1" x14ac:dyDescent="0.3">
      <c r="A17">
        <v>1312</v>
      </c>
      <c r="B17" t="s">
        <v>61</v>
      </c>
      <c r="C17" t="s">
        <v>62</v>
      </c>
      <c r="D17">
        <v>37</v>
      </c>
      <c r="E17" t="s">
        <v>409</v>
      </c>
      <c r="F17">
        <v>85</v>
      </c>
      <c r="G17" t="s">
        <v>2849</v>
      </c>
      <c r="H17">
        <v>1312</v>
      </c>
      <c r="I17">
        <v>1</v>
      </c>
      <c r="J17" t="s">
        <v>560</v>
      </c>
      <c r="K17" s="5">
        <v>45790</v>
      </c>
      <c r="L17" s="5">
        <v>46155</v>
      </c>
      <c r="M17">
        <v>10000</v>
      </c>
      <c r="N17">
        <v>10534.08</v>
      </c>
      <c r="O17">
        <v>62</v>
      </c>
      <c r="P17">
        <v>12</v>
      </c>
      <c r="Q17" t="s">
        <v>68</v>
      </c>
      <c r="R17">
        <v>1702.69</v>
      </c>
      <c r="S17">
        <v>696</v>
      </c>
      <c r="T17">
        <v>1740</v>
      </c>
      <c r="U17">
        <v>0</v>
      </c>
      <c r="V17">
        <v>3</v>
      </c>
      <c r="W17">
        <v>8778.4</v>
      </c>
      <c r="X17">
        <v>6840.77</v>
      </c>
      <c r="Y17">
        <v>2633.52</v>
      </c>
      <c r="Z17">
        <v>2300.56</v>
      </c>
      <c r="AA17">
        <v>166.69</v>
      </c>
      <c r="AB17">
        <v>1740</v>
      </c>
      <c r="AC17">
        <v>1702.69</v>
      </c>
      <c r="AD17" s="5">
        <v>45853</v>
      </c>
      <c r="AE17" t="s">
        <v>69</v>
      </c>
      <c r="AF17">
        <v>7223586415</v>
      </c>
      <c r="AG17" t="s">
        <v>561</v>
      </c>
      <c r="AI17" t="s">
        <v>89</v>
      </c>
      <c r="AJ17">
        <v>6211023</v>
      </c>
      <c r="AM17" t="s">
        <v>742</v>
      </c>
      <c r="AN17">
        <v>7224444593</v>
      </c>
      <c r="AO17" t="s">
        <v>740</v>
      </c>
      <c r="AP17">
        <v>7228160540</v>
      </c>
      <c r="AQ17" t="s">
        <v>741</v>
      </c>
      <c r="AR17">
        <v>7223635713</v>
      </c>
      <c r="AY17">
        <v>18353.61</v>
      </c>
      <c r="AZ17">
        <v>0</v>
      </c>
      <c r="BA17">
        <v>1</v>
      </c>
      <c r="BB17" t="s">
        <v>1044</v>
      </c>
      <c r="BC17" t="s">
        <v>2993</v>
      </c>
      <c r="BD17" t="s">
        <v>452</v>
      </c>
      <c r="BE17" t="s">
        <v>74</v>
      </c>
      <c r="BF17" t="s">
        <v>75</v>
      </c>
      <c r="BH17" t="s">
        <v>2715</v>
      </c>
      <c r="BK17">
        <v>4</v>
      </c>
      <c r="BL17">
        <v>4</v>
      </c>
      <c r="BM17" t="s">
        <v>2847</v>
      </c>
    </row>
    <row r="18" spans="1:65" ht="14.4" customHeight="1" x14ac:dyDescent="0.3">
      <c r="A18">
        <v>1431</v>
      </c>
      <c r="B18" t="s">
        <v>61</v>
      </c>
      <c r="C18" t="s">
        <v>62</v>
      </c>
      <c r="D18">
        <v>40</v>
      </c>
      <c r="E18" t="s">
        <v>617</v>
      </c>
      <c r="F18">
        <v>85</v>
      </c>
      <c r="G18" t="s">
        <v>2849</v>
      </c>
      <c r="H18">
        <v>1431</v>
      </c>
      <c r="I18">
        <v>1</v>
      </c>
      <c r="J18" t="s">
        <v>1329</v>
      </c>
      <c r="K18" s="5">
        <v>45832</v>
      </c>
      <c r="L18" s="5">
        <v>46015</v>
      </c>
      <c r="M18">
        <v>5000</v>
      </c>
      <c r="N18">
        <v>5267.04</v>
      </c>
      <c r="O18">
        <v>50</v>
      </c>
      <c r="P18">
        <v>6</v>
      </c>
      <c r="Q18" t="s">
        <v>68</v>
      </c>
      <c r="R18">
        <v>1320.32</v>
      </c>
      <c r="S18">
        <v>348</v>
      </c>
      <c r="T18">
        <v>1160</v>
      </c>
      <c r="U18">
        <v>0</v>
      </c>
      <c r="V18">
        <v>1.5</v>
      </c>
      <c r="W18">
        <v>4111.67</v>
      </c>
      <c r="X18">
        <v>3080.63</v>
      </c>
      <c r="Y18">
        <v>1478.15</v>
      </c>
      <c r="Z18">
        <v>384.48</v>
      </c>
      <c r="AA18">
        <v>58</v>
      </c>
      <c r="AB18">
        <v>1160</v>
      </c>
      <c r="AC18">
        <v>1300</v>
      </c>
      <c r="AD18" s="5">
        <v>45929</v>
      </c>
      <c r="AE18" t="s">
        <v>69</v>
      </c>
      <c r="AF18">
        <v>5642385924</v>
      </c>
      <c r="AG18" t="s">
        <v>1330</v>
      </c>
      <c r="AI18" t="s">
        <v>526</v>
      </c>
      <c r="AJ18">
        <v>6131023</v>
      </c>
      <c r="AK18" t="s">
        <v>1331</v>
      </c>
      <c r="AL18">
        <v>5642385924</v>
      </c>
      <c r="AM18" t="s">
        <v>752</v>
      </c>
      <c r="AN18">
        <v>7293358332</v>
      </c>
      <c r="AO18" t="s">
        <v>1332</v>
      </c>
      <c r="AP18">
        <v>7225310616</v>
      </c>
      <c r="AQ18" t="s">
        <v>1333</v>
      </c>
      <c r="AR18">
        <v>5665416876</v>
      </c>
      <c r="AY18">
        <v>6867.58</v>
      </c>
      <c r="AZ18">
        <v>0</v>
      </c>
      <c r="BA18">
        <v>1</v>
      </c>
      <c r="BB18" t="s">
        <v>1044</v>
      </c>
      <c r="BC18" t="s">
        <v>2984</v>
      </c>
      <c r="BD18" t="s">
        <v>337</v>
      </c>
      <c r="BE18" t="s">
        <v>74</v>
      </c>
      <c r="BF18" t="s">
        <v>338</v>
      </c>
      <c r="BG18" t="s">
        <v>1334</v>
      </c>
      <c r="BH18" t="s">
        <v>2715</v>
      </c>
      <c r="BK18">
        <v>3</v>
      </c>
      <c r="BL18">
        <v>3</v>
      </c>
      <c r="BM18" t="s">
        <v>2847</v>
      </c>
    </row>
    <row r="19" spans="1:65" ht="14.4" customHeight="1" x14ac:dyDescent="0.3">
      <c r="A19">
        <v>1194</v>
      </c>
      <c r="B19" t="s">
        <v>61</v>
      </c>
      <c r="C19" t="s">
        <v>62</v>
      </c>
      <c r="D19">
        <v>29</v>
      </c>
      <c r="E19" t="s">
        <v>184</v>
      </c>
      <c r="F19">
        <v>85</v>
      </c>
      <c r="G19" t="s">
        <v>2849</v>
      </c>
      <c r="H19">
        <v>1194</v>
      </c>
      <c r="I19">
        <v>1</v>
      </c>
      <c r="J19" t="s">
        <v>139</v>
      </c>
      <c r="K19" s="5">
        <v>45714</v>
      </c>
      <c r="L19" s="5">
        <v>46079</v>
      </c>
      <c r="M19">
        <v>35000</v>
      </c>
      <c r="N19">
        <v>36869.270000000004</v>
      </c>
      <c r="O19">
        <v>49</v>
      </c>
      <c r="P19">
        <v>12</v>
      </c>
      <c r="Q19" t="s">
        <v>68</v>
      </c>
      <c r="R19">
        <v>6532.14</v>
      </c>
      <c r="S19">
        <v>696</v>
      </c>
      <c r="T19">
        <v>580</v>
      </c>
      <c r="U19">
        <v>0</v>
      </c>
      <c r="V19">
        <v>2</v>
      </c>
      <c r="W19">
        <v>21507.07</v>
      </c>
      <c r="X19">
        <v>13416.4342</v>
      </c>
      <c r="Y19">
        <v>6144.87</v>
      </c>
      <c r="Z19">
        <v>6633.56</v>
      </c>
      <c r="AA19">
        <v>58</v>
      </c>
      <c r="AB19">
        <v>580</v>
      </c>
      <c r="AC19">
        <v>3500</v>
      </c>
      <c r="AD19" s="5">
        <v>45926</v>
      </c>
      <c r="AE19" t="s">
        <v>69</v>
      </c>
      <c r="AF19">
        <v>7225031264</v>
      </c>
      <c r="AG19" t="s">
        <v>141</v>
      </c>
      <c r="AI19" t="s">
        <v>142</v>
      </c>
      <c r="AJ19">
        <v>6231013</v>
      </c>
      <c r="AK19" t="s">
        <v>144</v>
      </c>
      <c r="AM19" t="s">
        <v>706</v>
      </c>
      <c r="AN19">
        <v>7221846492</v>
      </c>
      <c r="AO19" t="s">
        <v>703</v>
      </c>
      <c r="AP19">
        <v>7228507375</v>
      </c>
      <c r="AQ19" t="s">
        <v>705</v>
      </c>
      <c r="AR19" t="s">
        <v>705</v>
      </c>
      <c r="AS19" t="s">
        <v>122</v>
      </c>
      <c r="AT19" t="s">
        <v>145</v>
      </c>
      <c r="AU19" t="s">
        <v>146</v>
      </c>
      <c r="AV19" t="s">
        <v>122</v>
      </c>
      <c r="AW19" t="s">
        <v>147</v>
      </c>
      <c r="AX19" t="s">
        <v>148</v>
      </c>
      <c r="AY19">
        <v>45787.14</v>
      </c>
      <c r="AZ19">
        <v>0</v>
      </c>
      <c r="BA19">
        <v>1</v>
      </c>
      <c r="BB19" t="s">
        <v>1044</v>
      </c>
      <c r="BC19" t="s">
        <v>3005</v>
      </c>
      <c r="BD19" t="s">
        <v>97</v>
      </c>
      <c r="BE19" t="s">
        <v>74</v>
      </c>
      <c r="BF19" t="s">
        <v>75</v>
      </c>
      <c r="BH19" t="s">
        <v>2715</v>
      </c>
      <c r="BK19">
        <v>5</v>
      </c>
      <c r="BL19">
        <v>5</v>
      </c>
      <c r="BM19" t="s">
        <v>2847</v>
      </c>
    </row>
    <row r="20" spans="1:65" ht="14.4" customHeight="1" x14ac:dyDescent="0.3">
      <c r="A20">
        <v>1362</v>
      </c>
      <c r="B20" t="s">
        <v>61</v>
      </c>
      <c r="C20" t="s">
        <v>62</v>
      </c>
      <c r="D20">
        <v>29</v>
      </c>
      <c r="E20" t="s">
        <v>184</v>
      </c>
      <c r="F20">
        <v>85</v>
      </c>
      <c r="G20" t="s">
        <v>2849</v>
      </c>
      <c r="H20">
        <v>1362</v>
      </c>
      <c r="I20">
        <v>1</v>
      </c>
      <c r="J20" t="s">
        <v>1045</v>
      </c>
      <c r="K20" s="5">
        <v>45811</v>
      </c>
      <c r="L20" s="5">
        <v>46147</v>
      </c>
      <c r="M20">
        <v>25000</v>
      </c>
      <c r="N20">
        <v>26335.190000000002</v>
      </c>
      <c r="O20">
        <v>49</v>
      </c>
      <c r="P20">
        <v>24</v>
      </c>
      <c r="Q20" t="s">
        <v>496</v>
      </c>
      <c r="R20">
        <v>2037.7</v>
      </c>
      <c r="S20">
        <v>1392</v>
      </c>
      <c r="T20">
        <v>2320</v>
      </c>
      <c r="U20">
        <v>9</v>
      </c>
      <c r="V20">
        <v>3.3</v>
      </c>
      <c r="W20">
        <v>20326.82</v>
      </c>
      <c r="X20">
        <v>9008.5362000000005</v>
      </c>
      <c r="Y20">
        <v>3867.33</v>
      </c>
      <c r="Z20">
        <v>2647.21</v>
      </c>
      <c r="AA20">
        <v>174</v>
      </c>
      <c r="AB20">
        <v>2320</v>
      </c>
      <c r="AC20">
        <v>1000</v>
      </c>
      <c r="AD20" s="5">
        <v>45938</v>
      </c>
      <c r="AE20" t="s">
        <v>69</v>
      </c>
      <c r="AF20">
        <v>7293511678</v>
      </c>
      <c r="AG20" t="s">
        <v>1046</v>
      </c>
      <c r="AI20" t="s">
        <v>89</v>
      </c>
      <c r="AJ20">
        <v>6211023</v>
      </c>
      <c r="AK20" t="s">
        <v>1047</v>
      </c>
      <c r="AL20">
        <v>7293511678</v>
      </c>
      <c r="AM20" t="s">
        <v>1048</v>
      </c>
      <c r="AN20">
        <v>7225023325</v>
      </c>
      <c r="AO20" t="s">
        <v>1049</v>
      </c>
      <c r="AP20">
        <v>7295970168</v>
      </c>
      <c r="AQ20" t="s">
        <v>1050</v>
      </c>
      <c r="AR20">
        <v>7235672081</v>
      </c>
      <c r="AY20">
        <v>38704.1</v>
      </c>
      <c r="AZ20">
        <v>0</v>
      </c>
      <c r="BA20">
        <v>1</v>
      </c>
      <c r="BB20" t="s">
        <v>1044</v>
      </c>
      <c r="BC20" t="s">
        <v>2994</v>
      </c>
      <c r="BD20" t="s">
        <v>1051</v>
      </c>
      <c r="BE20" t="s">
        <v>74</v>
      </c>
      <c r="BF20" t="s">
        <v>75</v>
      </c>
      <c r="BG20" t="s">
        <v>1052</v>
      </c>
      <c r="BH20" t="s">
        <v>2715</v>
      </c>
      <c r="BK20">
        <v>6</v>
      </c>
      <c r="BL20">
        <v>5</v>
      </c>
      <c r="BM20" t="s">
        <v>2847</v>
      </c>
    </row>
    <row r="21" spans="1:65" ht="14.4" customHeight="1" x14ac:dyDescent="0.3">
      <c r="A21">
        <v>1331</v>
      </c>
      <c r="B21" t="s">
        <v>61</v>
      </c>
      <c r="C21" t="s">
        <v>62</v>
      </c>
      <c r="D21">
        <v>40</v>
      </c>
      <c r="E21" t="s">
        <v>617</v>
      </c>
      <c r="F21">
        <v>39</v>
      </c>
      <c r="G21" t="s">
        <v>2763</v>
      </c>
      <c r="H21">
        <v>1331</v>
      </c>
      <c r="I21">
        <v>1</v>
      </c>
      <c r="J21" t="s">
        <v>629</v>
      </c>
      <c r="K21" s="5">
        <v>45800</v>
      </c>
      <c r="L21" s="5">
        <v>45968</v>
      </c>
      <c r="M21">
        <v>5000</v>
      </c>
      <c r="N21">
        <v>5267.04</v>
      </c>
      <c r="O21">
        <v>46</v>
      </c>
      <c r="P21">
        <v>12</v>
      </c>
      <c r="Q21" t="s">
        <v>496</v>
      </c>
      <c r="R21">
        <v>673.4</v>
      </c>
      <c r="S21">
        <v>696</v>
      </c>
      <c r="T21">
        <v>2320</v>
      </c>
      <c r="U21">
        <v>10</v>
      </c>
      <c r="V21">
        <v>4</v>
      </c>
      <c r="W21">
        <v>2633.52</v>
      </c>
      <c r="X21">
        <v>4980.01</v>
      </c>
      <c r="Y21">
        <v>1755.68</v>
      </c>
      <c r="Z21">
        <v>705.92</v>
      </c>
      <c r="AA21">
        <v>198.41</v>
      </c>
      <c r="AB21">
        <v>2320</v>
      </c>
      <c r="AC21">
        <v>680</v>
      </c>
      <c r="AD21" s="5">
        <v>45884</v>
      </c>
      <c r="AE21" t="s">
        <v>69</v>
      </c>
      <c r="AF21">
        <v>7224078649</v>
      </c>
      <c r="AG21" t="s">
        <v>630</v>
      </c>
      <c r="AI21" t="s">
        <v>283</v>
      </c>
      <c r="AJ21">
        <v>8944098</v>
      </c>
      <c r="AM21" t="s">
        <v>783</v>
      </c>
      <c r="AN21">
        <v>7226663905</v>
      </c>
      <c r="AO21" t="s">
        <v>781</v>
      </c>
      <c r="AP21">
        <v>7293220268</v>
      </c>
      <c r="AQ21" t="s">
        <v>782</v>
      </c>
      <c r="AR21">
        <v>7224255678</v>
      </c>
      <c r="AY21">
        <v>6210.81</v>
      </c>
      <c r="AZ21">
        <v>0</v>
      </c>
      <c r="BA21">
        <v>1</v>
      </c>
      <c r="BB21" t="s">
        <v>1044</v>
      </c>
      <c r="BC21" t="s">
        <v>2908</v>
      </c>
      <c r="BD21" t="s">
        <v>88</v>
      </c>
      <c r="BE21" t="s">
        <v>74</v>
      </c>
      <c r="BF21" t="s">
        <v>75</v>
      </c>
      <c r="BH21" t="s">
        <v>2715</v>
      </c>
      <c r="BK21">
        <v>5</v>
      </c>
      <c r="BL21">
        <v>4</v>
      </c>
      <c r="BM21" t="s">
        <v>2847</v>
      </c>
    </row>
    <row r="22" spans="1:65" ht="14.4" customHeight="1" x14ac:dyDescent="0.3">
      <c r="A22">
        <v>1360</v>
      </c>
      <c r="B22" t="s">
        <v>61</v>
      </c>
      <c r="C22" t="s">
        <v>62</v>
      </c>
      <c r="D22">
        <v>29</v>
      </c>
      <c r="E22" t="s">
        <v>184</v>
      </c>
      <c r="F22">
        <v>85</v>
      </c>
      <c r="G22" t="s">
        <v>2849</v>
      </c>
      <c r="H22">
        <v>1360</v>
      </c>
      <c r="I22">
        <v>1</v>
      </c>
      <c r="J22" t="s">
        <v>1053</v>
      </c>
      <c r="K22" s="5">
        <v>45811</v>
      </c>
      <c r="L22" s="5">
        <v>45979</v>
      </c>
      <c r="M22">
        <v>7000</v>
      </c>
      <c r="N22">
        <v>7373.85</v>
      </c>
      <c r="O22">
        <v>35</v>
      </c>
      <c r="P22">
        <v>12</v>
      </c>
      <c r="Q22" t="s">
        <v>496</v>
      </c>
      <c r="R22">
        <v>919.56000000000006</v>
      </c>
      <c r="S22">
        <v>696</v>
      </c>
      <c r="T22">
        <v>1740.01</v>
      </c>
      <c r="U22">
        <v>9</v>
      </c>
      <c r="V22">
        <v>3</v>
      </c>
      <c r="W22">
        <v>3686.92</v>
      </c>
      <c r="X22">
        <v>4498.0475000000006</v>
      </c>
      <c r="Y22">
        <v>1843.46</v>
      </c>
      <c r="Z22">
        <v>741.22</v>
      </c>
      <c r="AA22">
        <v>173.36</v>
      </c>
      <c r="AB22">
        <v>1740.01</v>
      </c>
      <c r="AC22">
        <v>1498</v>
      </c>
      <c r="AD22" s="5">
        <v>45908</v>
      </c>
      <c r="AE22" t="s">
        <v>69</v>
      </c>
      <c r="AF22">
        <v>7292966799</v>
      </c>
      <c r="AG22" t="s">
        <v>1054</v>
      </c>
      <c r="AI22" t="s">
        <v>400</v>
      </c>
      <c r="AJ22">
        <v>7114010</v>
      </c>
      <c r="AM22" t="s">
        <v>1055</v>
      </c>
      <c r="AN22">
        <v>7224318100</v>
      </c>
      <c r="AO22" t="s">
        <v>1056</v>
      </c>
      <c r="AP22">
        <v>7228048725</v>
      </c>
      <c r="AQ22" t="s">
        <v>1057</v>
      </c>
      <c r="AR22">
        <v>7226734465</v>
      </c>
      <c r="AY22">
        <v>7082.7300000000005</v>
      </c>
      <c r="AZ22">
        <v>0</v>
      </c>
      <c r="BA22">
        <v>1</v>
      </c>
      <c r="BB22" t="s">
        <v>1044</v>
      </c>
      <c r="BC22" t="s">
        <v>3019</v>
      </c>
      <c r="BD22" t="s">
        <v>73</v>
      </c>
      <c r="BE22" t="s">
        <v>74</v>
      </c>
      <c r="BF22" t="s">
        <v>75</v>
      </c>
      <c r="BH22" t="s">
        <v>2715</v>
      </c>
      <c r="BK22">
        <v>8</v>
      </c>
      <c r="BL22">
        <v>8</v>
      </c>
      <c r="BM22" t="s">
        <v>2847</v>
      </c>
    </row>
    <row r="23" spans="1:65" ht="14.4" customHeight="1" x14ac:dyDescent="0.3">
      <c r="A23">
        <v>1238</v>
      </c>
      <c r="B23" t="s">
        <v>61</v>
      </c>
      <c r="C23" t="s">
        <v>62</v>
      </c>
      <c r="D23">
        <v>37</v>
      </c>
      <c r="E23" t="s">
        <v>409</v>
      </c>
      <c r="F23">
        <v>39</v>
      </c>
      <c r="G23" t="s">
        <v>2763</v>
      </c>
      <c r="H23">
        <v>1238</v>
      </c>
      <c r="I23">
        <v>1</v>
      </c>
      <c r="J23" t="s">
        <v>370</v>
      </c>
      <c r="K23" s="5">
        <v>45757</v>
      </c>
      <c r="L23" s="5">
        <v>46122</v>
      </c>
      <c r="M23">
        <v>15000</v>
      </c>
      <c r="N23">
        <v>15801.12</v>
      </c>
      <c r="O23">
        <v>34</v>
      </c>
      <c r="P23">
        <v>12</v>
      </c>
      <c r="Q23" t="s">
        <v>68</v>
      </c>
      <c r="R23">
        <v>2235.0700000000002</v>
      </c>
      <c r="S23">
        <v>696</v>
      </c>
      <c r="T23">
        <v>580</v>
      </c>
      <c r="U23">
        <v>0</v>
      </c>
      <c r="V23">
        <v>1.3</v>
      </c>
      <c r="W23">
        <v>9797.3000000000011</v>
      </c>
      <c r="X23">
        <v>3395.040876</v>
      </c>
      <c r="Y23">
        <v>1896.74</v>
      </c>
      <c r="Z23">
        <v>860.30000000000007</v>
      </c>
      <c r="AA23">
        <v>58</v>
      </c>
      <c r="AB23">
        <v>580</v>
      </c>
      <c r="AC23">
        <v>2235.0700000000002</v>
      </c>
      <c r="AD23" s="5">
        <v>45911</v>
      </c>
      <c r="AE23" t="s">
        <v>69</v>
      </c>
      <c r="AF23">
        <v>7223615618</v>
      </c>
      <c r="AG23" t="s">
        <v>371</v>
      </c>
      <c r="AI23" t="s">
        <v>100</v>
      </c>
      <c r="AJ23">
        <v>2711019</v>
      </c>
      <c r="AK23" t="s">
        <v>372</v>
      </c>
      <c r="AL23">
        <v>5573851826</v>
      </c>
      <c r="AM23" t="s">
        <v>772</v>
      </c>
      <c r="AN23">
        <v>7226600640</v>
      </c>
      <c r="AO23" t="s">
        <v>770</v>
      </c>
      <c r="AP23">
        <v>7121463525</v>
      </c>
      <c r="AQ23" t="s">
        <v>771</v>
      </c>
      <c r="AR23">
        <v>7121463525</v>
      </c>
      <c r="AS23" t="s">
        <v>122</v>
      </c>
      <c r="AT23" t="s">
        <v>373</v>
      </c>
      <c r="AU23" t="s">
        <v>374</v>
      </c>
      <c r="AY23">
        <v>16457.43</v>
      </c>
      <c r="AZ23">
        <v>0</v>
      </c>
      <c r="BA23">
        <v>1</v>
      </c>
      <c r="BB23" t="s">
        <v>1044</v>
      </c>
      <c r="BC23" t="s">
        <v>2968</v>
      </c>
      <c r="BD23" t="s">
        <v>172</v>
      </c>
      <c r="BE23" t="s">
        <v>74</v>
      </c>
      <c r="BF23" t="s">
        <v>75</v>
      </c>
      <c r="BH23" t="s">
        <v>2715</v>
      </c>
      <c r="BK23">
        <v>2</v>
      </c>
      <c r="BL23">
        <v>2</v>
      </c>
      <c r="BM23" t="s">
        <v>2847</v>
      </c>
    </row>
    <row r="24" spans="1:65" ht="14.4" customHeight="1" x14ac:dyDescent="0.3">
      <c r="A24">
        <v>1247</v>
      </c>
      <c r="B24" t="s">
        <v>61</v>
      </c>
      <c r="C24" t="s">
        <v>62</v>
      </c>
      <c r="D24">
        <v>37</v>
      </c>
      <c r="E24" t="s">
        <v>409</v>
      </c>
      <c r="F24">
        <v>39</v>
      </c>
      <c r="G24" t="s">
        <v>2763</v>
      </c>
      <c r="H24">
        <v>1247</v>
      </c>
      <c r="I24">
        <v>1</v>
      </c>
      <c r="J24" t="s">
        <v>366</v>
      </c>
      <c r="K24" s="5">
        <v>45761</v>
      </c>
      <c r="L24" s="5">
        <v>46126</v>
      </c>
      <c r="M24">
        <v>35000</v>
      </c>
      <c r="N24">
        <v>36869.270000000004</v>
      </c>
      <c r="O24">
        <v>29</v>
      </c>
      <c r="P24">
        <v>12</v>
      </c>
      <c r="Q24" t="s">
        <v>68</v>
      </c>
      <c r="R24">
        <v>5137.82</v>
      </c>
      <c r="S24">
        <v>696</v>
      </c>
      <c r="T24">
        <v>0</v>
      </c>
      <c r="U24">
        <v>0</v>
      </c>
      <c r="V24">
        <v>1.1000000000000001</v>
      </c>
      <c r="W24">
        <v>22084.7</v>
      </c>
      <c r="X24">
        <v>5715.4450000000006</v>
      </c>
      <c r="Y24">
        <v>3650.07</v>
      </c>
      <c r="Z24">
        <v>2007.38</v>
      </c>
      <c r="AA24">
        <v>58</v>
      </c>
      <c r="AB24">
        <v>0</v>
      </c>
      <c r="AC24">
        <v>5137.82</v>
      </c>
      <c r="AD24" s="5">
        <v>45919</v>
      </c>
      <c r="AE24" t="s">
        <v>69</v>
      </c>
      <c r="AF24">
        <v>7226467396</v>
      </c>
      <c r="AG24" t="s">
        <v>507</v>
      </c>
      <c r="AI24" t="s">
        <v>508</v>
      </c>
      <c r="AJ24">
        <v>8312019</v>
      </c>
      <c r="AK24" t="s">
        <v>367</v>
      </c>
      <c r="AL24">
        <v>7226467396</v>
      </c>
      <c r="AM24" t="s">
        <v>763</v>
      </c>
      <c r="AN24">
        <v>7121522008</v>
      </c>
      <c r="AO24" t="s">
        <v>761</v>
      </c>
      <c r="AP24">
        <v>7224316916</v>
      </c>
      <c r="AQ24" t="s">
        <v>762</v>
      </c>
      <c r="AR24">
        <v>7224274636</v>
      </c>
      <c r="AS24" t="s">
        <v>122</v>
      </c>
      <c r="AT24" t="s">
        <v>368</v>
      </c>
      <c r="AU24" t="s">
        <v>369</v>
      </c>
      <c r="AY24">
        <v>36194.35</v>
      </c>
      <c r="AZ24">
        <v>0</v>
      </c>
      <c r="BA24">
        <v>1</v>
      </c>
      <c r="BB24" t="s">
        <v>1044</v>
      </c>
      <c r="BC24" t="s">
        <v>3021</v>
      </c>
      <c r="BD24" t="s">
        <v>341</v>
      </c>
      <c r="BE24" t="s">
        <v>74</v>
      </c>
      <c r="BF24" t="s">
        <v>75</v>
      </c>
      <c r="BH24" t="s">
        <v>2715</v>
      </c>
      <c r="BK24">
        <v>3</v>
      </c>
      <c r="BL24">
        <v>2</v>
      </c>
      <c r="BM24" t="s">
        <v>2847</v>
      </c>
    </row>
    <row r="25" spans="1:65" ht="14.4" customHeight="1" x14ac:dyDescent="0.3">
      <c r="A25">
        <v>1030</v>
      </c>
      <c r="B25" t="s">
        <v>61</v>
      </c>
      <c r="C25" t="s">
        <v>62</v>
      </c>
      <c r="D25">
        <v>29</v>
      </c>
      <c r="E25" t="s">
        <v>184</v>
      </c>
      <c r="F25">
        <v>85</v>
      </c>
      <c r="G25" t="s">
        <v>2849</v>
      </c>
      <c r="H25">
        <v>1030</v>
      </c>
      <c r="I25">
        <v>2</v>
      </c>
      <c r="J25" t="s">
        <v>149</v>
      </c>
      <c r="K25" s="5">
        <v>45553</v>
      </c>
      <c r="L25" s="5">
        <v>46099</v>
      </c>
      <c r="M25">
        <v>80000</v>
      </c>
      <c r="N25">
        <v>84272.62</v>
      </c>
      <c r="O25">
        <v>26</v>
      </c>
      <c r="P25">
        <v>18</v>
      </c>
      <c r="Q25" t="s">
        <v>68</v>
      </c>
      <c r="R25">
        <v>9747.24</v>
      </c>
      <c r="S25">
        <v>1044</v>
      </c>
      <c r="T25">
        <v>580</v>
      </c>
      <c r="U25">
        <v>0</v>
      </c>
      <c r="V25">
        <v>1</v>
      </c>
      <c r="W25">
        <v>48602.3</v>
      </c>
      <c r="X25">
        <v>10313.960000000001</v>
      </c>
      <c r="Y25">
        <v>5266.43</v>
      </c>
      <c r="Z25">
        <v>4422.8100000000004</v>
      </c>
      <c r="AA25">
        <v>44.72</v>
      </c>
      <c r="AB25">
        <v>580</v>
      </c>
      <c r="AC25">
        <v>10340</v>
      </c>
      <c r="AD25" s="5">
        <v>45911</v>
      </c>
      <c r="AE25" t="s">
        <v>69</v>
      </c>
      <c r="AF25">
        <v>7261018239</v>
      </c>
      <c r="AG25" t="s">
        <v>150</v>
      </c>
      <c r="AI25" t="s">
        <v>151</v>
      </c>
      <c r="AJ25">
        <v>8611015</v>
      </c>
      <c r="AM25" t="s">
        <v>713</v>
      </c>
      <c r="AN25">
        <v>7224210374</v>
      </c>
      <c r="AO25" t="s">
        <v>711</v>
      </c>
      <c r="AP25">
        <v>7224210374</v>
      </c>
      <c r="AQ25" t="s">
        <v>712</v>
      </c>
      <c r="AR25">
        <v>7293556085</v>
      </c>
      <c r="AY25">
        <v>53649.83</v>
      </c>
      <c r="AZ25">
        <v>0</v>
      </c>
      <c r="BA25">
        <v>1</v>
      </c>
      <c r="BB25" t="s">
        <v>72</v>
      </c>
      <c r="BC25" t="s">
        <v>2876</v>
      </c>
      <c r="BD25" t="s">
        <v>88</v>
      </c>
      <c r="BE25" t="s">
        <v>74</v>
      </c>
      <c r="BF25" t="s">
        <v>75</v>
      </c>
      <c r="BH25" t="s">
        <v>2715</v>
      </c>
      <c r="BK25">
        <v>5</v>
      </c>
      <c r="BL25">
        <v>3</v>
      </c>
      <c r="BM25" t="s">
        <v>2847</v>
      </c>
    </row>
    <row r="26" spans="1:65" ht="14.4" customHeight="1" x14ac:dyDescent="0.3">
      <c r="A26">
        <v>1330</v>
      </c>
      <c r="B26" t="s">
        <v>61</v>
      </c>
      <c r="C26" t="s">
        <v>62</v>
      </c>
      <c r="D26">
        <v>40</v>
      </c>
      <c r="E26" t="s">
        <v>617</v>
      </c>
      <c r="F26">
        <v>85</v>
      </c>
      <c r="G26" t="s">
        <v>2849</v>
      </c>
      <c r="H26">
        <v>1330</v>
      </c>
      <c r="I26">
        <v>1</v>
      </c>
      <c r="J26" t="s">
        <v>618</v>
      </c>
      <c r="K26" s="5">
        <v>45798</v>
      </c>
      <c r="L26" s="5">
        <v>46163</v>
      </c>
      <c r="M26">
        <v>10000</v>
      </c>
      <c r="N26">
        <v>10534.08</v>
      </c>
      <c r="O26">
        <v>22</v>
      </c>
      <c r="P26">
        <v>12</v>
      </c>
      <c r="Q26" t="s">
        <v>68</v>
      </c>
      <c r="R26">
        <v>1702.69</v>
      </c>
      <c r="S26">
        <v>696</v>
      </c>
      <c r="T26">
        <v>0</v>
      </c>
      <c r="U26">
        <v>0</v>
      </c>
      <c r="V26">
        <v>0.3</v>
      </c>
      <c r="W26">
        <v>7595.41</v>
      </c>
      <c r="X26">
        <v>572.69000000000005</v>
      </c>
      <c r="Y26">
        <v>572.69000000000005</v>
      </c>
      <c r="Z26">
        <v>0</v>
      </c>
      <c r="AA26">
        <v>0</v>
      </c>
      <c r="AB26">
        <v>0</v>
      </c>
      <c r="AC26">
        <v>1710</v>
      </c>
      <c r="AD26" s="5">
        <v>45933</v>
      </c>
      <c r="AE26" t="s">
        <v>69</v>
      </c>
      <c r="AF26">
        <v>7261634363</v>
      </c>
      <c r="AG26" t="s">
        <v>619</v>
      </c>
      <c r="AI26" t="s">
        <v>393</v>
      </c>
      <c r="AJ26">
        <v>131011</v>
      </c>
      <c r="AM26" t="s">
        <v>775</v>
      </c>
      <c r="AN26">
        <v>7261697101</v>
      </c>
      <c r="AO26" t="s">
        <v>773</v>
      </c>
      <c r="AP26">
        <v>7224231206</v>
      </c>
      <c r="AQ26" t="s">
        <v>774</v>
      </c>
      <c r="AR26">
        <v>7224560938</v>
      </c>
      <c r="AY26">
        <v>13730.220000000001</v>
      </c>
      <c r="AZ26">
        <v>0</v>
      </c>
      <c r="BA26">
        <v>1</v>
      </c>
      <c r="BB26" t="s">
        <v>1044</v>
      </c>
      <c r="BC26" t="s">
        <v>2865</v>
      </c>
      <c r="BD26" t="s">
        <v>337</v>
      </c>
      <c r="BE26" t="s">
        <v>74</v>
      </c>
      <c r="BF26" t="s">
        <v>338</v>
      </c>
      <c r="BH26" t="s">
        <v>2715</v>
      </c>
      <c r="BK26">
        <v>2</v>
      </c>
      <c r="BL26">
        <v>2</v>
      </c>
      <c r="BM26" t="s">
        <v>2847</v>
      </c>
    </row>
    <row r="27" spans="1:65" ht="14.4" customHeight="1" x14ac:dyDescent="0.3">
      <c r="A27">
        <v>1164</v>
      </c>
      <c r="B27" t="s">
        <v>61</v>
      </c>
      <c r="C27" t="s">
        <v>62</v>
      </c>
      <c r="D27">
        <v>29</v>
      </c>
      <c r="E27" t="s">
        <v>184</v>
      </c>
      <c r="F27">
        <v>85</v>
      </c>
      <c r="G27" t="s">
        <v>2849</v>
      </c>
      <c r="H27">
        <v>1164</v>
      </c>
      <c r="I27">
        <v>1</v>
      </c>
      <c r="J27" t="s">
        <v>174</v>
      </c>
      <c r="K27" s="5">
        <v>45678</v>
      </c>
      <c r="L27" s="5">
        <v>46043</v>
      </c>
      <c r="M27">
        <v>20000</v>
      </c>
      <c r="N27">
        <v>21068.16</v>
      </c>
      <c r="O27">
        <v>22</v>
      </c>
      <c r="P27">
        <v>12</v>
      </c>
      <c r="Q27" t="s">
        <v>68</v>
      </c>
      <c r="R27">
        <v>3015.02</v>
      </c>
      <c r="S27">
        <v>696</v>
      </c>
      <c r="T27">
        <v>580</v>
      </c>
      <c r="U27">
        <v>0</v>
      </c>
      <c r="V27">
        <v>0.2</v>
      </c>
      <c r="W27">
        <v>10222.219999999999</v>
      </c>
      <c r="X27">
        <v>1243.28</v>
      </c>
      <c r="Y27">
        <v>663.28</v>
      </c>
      <c r="Z27">
        <v>0</v>
      </c>
      <c r="AA27">
        <v>0</v>
      </c>
      <c r="AB27">
        <v>580</v>
      </c>
      <c r="AC27">
        <v>3500</v>
      </c>
      <c r="AD27" s="5">
        <v>45938</v>
      </c>
      <c r="AE27" t="s">
        <v>69</v>
      </c>
      <c r="AF27">
        <v>7228517224</v>
      </c>
      <c r="AG27" t="s">
        <v>176</v>
      </c>
      <c r="AI27" t="s">
        <v>177</v>
      </c>
      <c r="AJ27">
        <v>2719013</v>
      </c>
      <c r="AK27" t="s">
        <v>179</v>
      </c>
      <c r="AL27">
        <v>7228517224</v>
      </c>
      <c r="AM27" t="s">
        <v>729</v>
      </c>
      <c r="AN27">
        <v>7226741183</v>
      </c>
      <c r="AO27" t="s">
        <v>726</v>
      </c>
      <c r="AP27">
        <v>7226876652</v>
      </c>
      <c r="AQ27" t="s">
        <v>728</v>
      </c>
      <c r="AR27">
        <v>7224267413</v>
      </c>
      <c r="AS27" t="s">
        <v>122</v>
      </c>
      <c r="AT27" t="s">
        <v>180</v>
      </c>
      <c r="AU27" t="s">
        <v>181</v>
      </c>
      <c r="AY27">
        <v>10802.22</v>
      </c>
      <c r="AZ27">
        <v>0</v>
      </c>
      <c r="BA27">
        <v>4</v>
      </c>
      <c r="BB27" t="s">
        <v>136</v>
      </c>
      <c r="BC27" t="s">
        <v>182</v>
      </c>
      <c r="BD27" t="s">
        <v>88</v>
      </c>
      <c r="BE27" t="s">
        <v>74</v>
      </c>
      <c r="BF27" t="s">
        <v>75</v>
      </c>
      <c r="BH27" t="s">
        <v>2715</v>
      </c>
      <c r="BK27">
        <v>4</v>
      </c>
      <c r="BL27">
        <v>4</v>
      </c>
      <c r="BM27" t="s">
        <v>2847</v>
      </c>
    </row>
    <row r="28" spans="1:65" ht="14.4" customHeight="1" x14ac:dyDescent="0.3">
      <c r="A28">
        <v>1418</v>
      </c>
      <c r="B28" t="s">
        <v>61</v>
      </c>
      <c r="C28" t="s">
        <v>62</v>
      </c>
      <c r="D28">
        <v>40</v>
      </c>
      <c r="E28" t="s">
        <v>617</v>
      </c>
      <c r="F28">
        <v>85</v>
      </c>
      <c r="G28" t="s">
        <v>2849</v>
      </c>
      <c r="H28">
        <v>1418</v>
      </c>
      <c r="I28">
        <v>1</v>
      </c>
      <c r="J28" t="s">
        <v>1314</v>
      </c>
      <c r="K28" s="5">
        <v>45831</v>
      </c>
      <c r="L28" s="5">
        <v>46014</v>
      </c>
      <c r="M28">
        <v>5000</v>
      </c>
      <c r="N28">
        <v>5267.04</v>
      </c>
      <c r="O28">
        <v>21</v>
      </c>
      <c r="P28">
        <v>6</v>
      </c>
      <c r="Q28" t="s">
        <v>68</v>
      </c>
      <c r="R28">
        <v>1320.32</v>
      </c>
      <c r="S28">
        <v>348</v>
      </c>
      <c r="T28">
        <v>580</v>
      </c>
      <c r="U28">
        <v>0</v>
      </c>
      <c r="V28">
        <v>1</v>
      </c>
      <c r="W28">
        <v>3511.36</v>
      </c>
      <c r="X28">
        <v>1880.95</v>
      </c>
      <c r="Y28">
        <v>877.84</v>
      </c>
      <c r="Z28">
        <v>384.48</v>
      </c>
      <c r="AA28">
        <v>38.630000000000003</v>
      </c>
      <c r="AB28">
        <v>580</v>
      </c>
      <c r="AC28">
        <v>1330</v>
      </c>
      <c r="AD28" s="5">
        <v>45891</v>
      </c>
      <c r="AE28" t="s">
        <v>69</v>
      </c>
      <c r="AF28">
        <v>7224684947</v>
      </c>
      <c r="AG28" t="s">
        <v>1315</v>
      </c>
      <c r="AI28" t="s">
        <v>283</v>
      </c>
      <c r="AJ28">
        <v>8944098</v>
      </c>
      <c r="AK28" t="s">
        <v>1316</v>
      </c>
      <c r="AL28">
        <v>7224684947</v>
      </c>
      <c r="AM28" t="s">
        <v>1317</v>
      </c>
      <c r="AN28">
        <v>7223587737</v>
      </c>
      <c r="AO28" t="s">
        <v>1318</v>
      </c>
      <c r="AP28">
        <v>7155934207</v>
      </c>
      <c r="AQ28" t="s">
        <v>1319</v>
      </c>
      <c r="AR28">
        <v>7223568720</v>
      </c>
      <c r="AY28">
        <v>5667.9000000000005</v>
      </c>
      <c r="AZ28">
        <v>0</v>
      </c>
      <c r="BA28">
        <v>1</v>
      </c>
      <c r="BB28" t="s">
        <v>1044</v>
      </c>
      <c r="BC28" t="s">
        <v>2909</v>
      </c>
      <c r="BD28" t="s">
        <v>339</v>
      </c>
      <c r="BE28" t="s">
        <v>74</v>
      </c>
      <c r="BF28" t="s">
        <v>75</v>
      </c>
      <c r="BG28" t="s">
        <v>1320</v>
      </c>
      <c r="BH28" t="s">
        <v>2715</v>
      </c>
      <c r="BK28">
        <v>1</v>
      </c>
      <c r="BL28">
        <v>1</v>
      </c>
      <c r="BM28" t="s">
        <v>2847</v>
      </c>
    </row>
    <row r="29" spans="1:65" ht="14.4" customHeight="1" x14ac:dyDescent="0.3">
      <c r="A29">
        <v>1167</v>
      </c>
      <c r="B29" t="s">
        <v>61</v>
      </c>
      <c r="C29" t="s">
        <v>62</v>
      </c>
      <c r="D29">
        <v>29</v>
      </c>
      <c r="E29" t="s">
        <v>184</v>
      </c>
      <c r="F29">
        <v>39</v>
      </c>
      <c r="G29" t="s">
        <v>2763</v>
      </c>
      <c r="H29">
        <v>1167</v>
      </c>
      <c r="I29">
        <v>1</v>
      </c>
      <c r="J29" t="s">
        <v>160</v>
      </c>
      <c r="K29" s="5">
        <v>45684</v>
      </c>
      <c r="L29" s="5">
        <v>46049</v>
      </c>
      <c r="M29">
        <v>35000</v>
      </c>
      <c r="N29">
        <v>36869.270000000004</v>
      </c>
      <c r="O29">
        <v>15</v>
      </c>
      <c r="P29">
        <v>12</v>
      </c>
      <c r="Q29" t="s">
        <v>68</v>
      </c>
      <c r="R29">
        <v>5232.78</v>
      </c>
      <c r="S29">
        <v>696</v>
      </c>
      <c r="T29">
        <v>0</v>
      </c>
      <c r="U29">
        <v>0</v>
      </c>
      <c r="V29">
        <v>0.4</v>
      </c>
      <c r="W29">
        <v>18540.060000000001</v>
      </c>
      <c r="X29">
        <v>1811.9</v>
      </c>
      <c r="Y29">
        <v>1811.9</v>
      </c>
      <c r="Z29">
        <v>0</v>
      </c>
      <c r="AA29">
        <v>0</v>
      </c>
      <c r="AB29">
        <v>0</v>
      </c>
      <c r="AC29">
        <v>4000</v>
      </c>
      <c r="AD29" s="5">
        <v>45936</v>
      </c>
      <c r="AE29" t="s">
        <v>69</v>
      </c>
      <c r="AF29">
        <v>7229076845</v>
      </c>
      <c r="AG29" t="s">
        <v>161</v>
      </c>
      <c r="AI29" t="s">
        <v>162</v>
      </c>
      <c r="AJ29">
        <v>3596014</v>
      </c>
      <c r="AK29" t="s">
        <v>163</v>
      </c>
      <c r="AL29">
        <v>7229076844</v>
      </c>
      <c r="AM29" t="s">
        <v>722</v>
      </c>
      <c r="AN29">
        <v>7225518180</v>
      </c>
      <c r="AO29" t="s">
        <v>720</v>
      </c>
      <c r="AP29">
        <v>7222438793</v>
      </c>
      <c r="AQ29" t="s">
        <v>721</v>
      </c>
      <c r="AR29">
        <v>7222438793</v>
      </c>
      <c r="AS29" t="s">
        <v>122</v>
      </c>
      <c r="AT29" t="s">
        <v>164</v>
      </c>
      <c r="AU29" t="s">
        <v>165</v>
      </c>
      <c r="AY29">
        <v>18540.060000000001</v>
      </c>
      <c r="AZ29">
        <v>0</v>
      </c>
      <c r="BA29">
        <v>4</v>
      </c>
      <c r="BB29" t="s">
        <v>136</v>
      </c>
      <c r="BC29" t="s">
        <v>2972</v>
      </c>
      <c r="BD29" t="s">
        <v>88</v>
      </c>
      <c r="BE29" t="s">
        <v>74</v>
      </c>
      <c r="BF29" t="s">
        <v>75</v>
      </c>
      <c r="BH29" t="s">
        <v>2715</v>
      </c>
      <c r="BK29">
        <v>3</v>
      </c>
      <c r="BL29">
        <v>2</v>
      </c>
      <c r="BM29" t="s">
        <v>2847</v>
      </c>
    </row>
    <row r="30" spans="1:65" ht="14.4" customHeight="1" x14ac:dyDescent="0.3">
      <c r="A30">
        <v>1433</v>
      </c>
      <c r="B30" t="s">
        <v>61</v>
      </c>
      <c r="C30" t="s">
        <v>62</v>
      </c>
      <c r="D30">
        <v>40</v>
      </c>
      <c r="E30" t="s">
        <v>617</v>
      </c>
      <c r="F30">
        <v>39</v>
      </c>
      <c r="G30" t="s">
        <v>2763</v>
      </c>
      <c r="H30">
        <v>1433</v>
      </c>
      <c r="I30">
        <v>1</v>
      </c>
      <c r="J30" t="s">
        <v>1387</v>
      </c>
      <c r="K30" s="5">
        <v>45838</v>
      </c>
      <c r="L30" s="5">
        <v>46023</v>
      </c>
      <c r="M30">
        <v>5000</v>
      </c>
      <c r="N30">
        <v>5267.04</v>
      </c>
      <c r="O30">
        <v>13</v>
      </c>
      <c r="P30">
        <v>6</v>
      </c>
      <c r="Q30" t="s">
        <v>68</v>
      </c>
      <c r="R30">
        <v>1324.52</v>
      </c>
      <c r="S30">
        <v>348</v>
      </c>
      <c r="T30">
        <v>580</v>
      </c>
      <c r="U30">
        <v>0</v>
      </c>
      <c r="V30">
        <v>1</v>
      </c>
      <c r="W30">
        <v>3511.36</v>
      </c>
      <c r="X30">
        <v>1803.56</v>
      </c>
      <c r="Y30">
        <v>877.84</v>
      </c>
      <c r="Z30">
        <v>345.72</v>
      </c>
      <c r="AA30">
        <v>0</v>
      </c>
      <c r="AB30">
        <v>580</v>
      </c>
      <c r="AC30">
        <v>1400</v>
      </c>
      <c r="AD30" s="5">
        <v>45901</v>
      </c>
      <c r="AE30" t="s">
        <v>69</v>
      </c>
      <c r="AF30">
        <v>7227829505</v>
      </c>
      <c r="AG30" t="s">
        <v>1388</v>
      </c>
      <c r="AI30" t="s">
        <v>283</v>
      </c>
      <c r="AJ30">
        <v>8944098</v>
      </c>
      <c r="AK30" t="s">
        <v>1389</v>
      </c>
      <c r="AL30">
        <v>7227829505</v>
      </c>
      <c r="AM30" t="s">
        <v>1390</v>
      </c>
      <c r="AN30">
        <v>7297561792</v>
      </c>
      <c r="AO30" t="s">
        <v>1391</v>
      </c>
      <c r="AP30">
        <v>7191325520</v>
      </c>
      <c r="AQ30" t="s">
        <v>1392</v>
      </c>
      <c r="AR30">
        <v>7203569453</v>
      </c>
      <c r="AY30">
        <v>5603.11</v>
      </c>
      <c r="AZ30">
        <v>0</v>
      </c>
      <c r="BA30">
        <v>1</v>
      </c>
      <c r="BB30" t="s">
        <v>1044</v>
      </c>
      <c r="BC30" t="s">
        <v>2906</v>
      </c>
      <c r="BD30" t="s">
        <v>335</v>
      </c>
      <c r="BE30" t="s">
        <v>74</v>
      </c>
      <c r="BF30" t="s">
        <v>338</v>
      </c>
      <c r="BG30" t="s">
        <v>1393</v>
      </c>
      <c r="BH30" t="s">
        <v>2715</v>
      </c>
      <c r="BK30">
        <v>1</v>
      </c>
      <c r="BL30">
        <v>1</v>
      </c>
      <c r="BM30" t="s">
        <v>2847</v>
      </c>
    </row>
    <row r="31" spans="1:65" ht="14.4" customHeight="1" x14ac:dyDescent="0.3">
      <c r="A31">
        <v>1349</v>
      </c>
      <c r="B31" t="s">
        <v>61</v>
      </c>
      <c r="C31" t="s">
        <v>62</v>
      </c>
      <c r="D31">
        <v>29</v>
      </c>
      <c r="E31" t="s">
        <v>184</v>
      </c>
      <c r="F31">
        <v>39</v>
      </c>
      <c r="G31" t="s">
        <v>2763</v>
      </c>
      <c r="H31">
        <v>1349</v>
      </c>
      <c r="I31">
        <v>1</v>
      </c>
      <c r="J31" t="s">
        <v>1032</v>
      </c>
      <c r="K31" s="5">
        <v>45810</v>
      </c>
      <c r="L31" s="5">
        <v>46146</v>
      </c>
      <c r="M31">
        <v>15000</v>
      </c>
      <c r="N31">
        <v>15801.12</v>
      </c>
      <c r="O31">
        <v>8</v>
      </c>
      <c r="P31">
        <v>24</v>
      </c>
      <c r="Q31" t="s">
        <v>496</v>
      </c>
      <c r="R31">
        <v>1245.82</v>
      </c>
      <c r="S31">
        <v>1392</v>
      </c>
      <c r="T31">
        <v>1160</v>
      </c>
      <c r="U31">
        <v>9</v>
      </c>
      <c r="V31">
        <v>1</v>
      </c>
      <c r="W31">
        <v>10534.08</v>
      </c>
      <c r="X31">
        <v>2372.41</v>
      </c>
      <c r="Y31">
        <v>658.38</v>
      </c>
      <c r="Z31">
        <v>529.45000000000005</v>
      </c>
      <c r="AA31">
        <v>24.580000000000002</v>
      </c>
      <c r="AB31">
        <v>1160</v>
      </c>
      <c r="AC31">
        <v>1250</v>
      </c>
      <c r="AD31" s="5">
        <v>45936</v>
      </c>
      <c r="AE31" t="s">
        <v>69</v>
      </c>
      <c r="AF31">
        <v>7225103543</v>
      </c>
      <c r="AG31" t="s">
        <v>1033</v>
      </c>
      <c r="AI31" t="s">
        <v>526</v>
      </c>
      <c r="AJ31">
        <v>6131023</v>
      </c>
      <c r="AK31" t="s">
        <v>1034</v>
      </c>
      <c r="AL31">
        <v>7225103543</v>
      </c>
      <c r="AM31" t="s">
        <v>1035</v>
      </c>
      <c r="AN31">
        <v>7221582962</v>
      </c>
      <c r="AO31" t="s">
        <v>1036</v>
      </c>
      <c r="AP31">
        <v>7225848395</v>
      </c>
      <c r="AQ31" t="s">
        <v>1037</v>
      </c>
      <c r="AR31">
        <v>7225496034</v>
      </c>
      <c r="AY31">
        <v>20189.75</v>
      </c>
      <c r="AZ31">
        <v>0</v>
      </c>
      <c r="BA31">
        <v>1</v>
      </c>
      <c r="BB31" t="s">
        <v>1044</v>
      </c>
      <c r="BC31" t="s">
        <v>2986</v>
      </c>
      <c r="BD31" t="s">
        <v>88</v>
      </c>
      <c r="BE31" t="s">
        <v>74</v>
      </c>
      <c r="BF31" t="s">
        <v>75</v>
      </c>
      <c r="BH31" t="s">
        <v>2715</v>
      </c>
      <c r="BK31">
        <v>3</v>
      </c>
      <c r="BL31">
        <v>2</v>
      </c>
      <c r="BM31" t="s">
        <v>2847</v>
      </c>
    </row>
    <row r="32" spans="1:65" ht="14.4" customHeight="1" x14ac:dyDescent="0.3">
      <c r="A32">
        <v>1176</v>
      </c>
      <c r="B32" t="s">
        <v>61</v>
      </c>
      <c r="C32" t="s">
        <v>62</v>
      </c>
      <c r="D32">
        <v>37</v>
      </c>
      <c r="E32" t="s">
        <v>409</v>
      </c>
      <c r="F32">
        <v>85</v>
      </c>
      <c r="G32" t="s">
        <v>2849</v>
      </c>
      <c r="H32">
        <v>1176</v>
      </c>
      <c r="I32">
        <v>1</v>
      </c>
      <c r="J32" t="s">
        <v>521</v>
      </c>
      <c r="K32" s="5">
        <v>45784</v>
      </c>
      <c r="L32" s="5">
        <v>46149</v>
      </c>
      <c r="M32">
        <v>15000</v>
      </c>
      <c r="N32">
        <v>15801.12</v>
      </c>
      <c r="O32">
        <v>7</v>
      </c>
      <c r="P32">
        <v>12</v>
      </c>
      <c r="Q32" t="s">
        <v>68</v>
      </c>
      <c r="R32">
        <v>2525.04</v>
      </c>
      <c r="S32">
        <v>696</v>
      </c>
      <c r="T32">
        <v>560</v>
      </c>
      <c r="U32">
        <v>0</v>
      </c>
      <c r="V32">
        <v>0.5</v>
      </c>
      <c r="W32">
        <v>10406.51</v>
      </c>
      <c r="X32">
        <v>1749.19</v>
      </c>
      <c r="Y32">
        <v>1189.19</v>
      </c>
      <c r="Z32">
        <v>0</v>
      </c>
      <c r="AA32">
        <v>0</v>
      </c>
      <c r="AB32">
        <v>560</v>
      </c>
      <c r="AC32">
        <v>20</v>
      </c>
      <c r="AD32" s="5">
        <v>45939</v>
      </c>
      <c r="AE32" t="s">
        <v>69</v>
      </c>
      <c r="AF32">
        <v>7294965466</v>
      </c>
      <c r="AG32" t="s">
        <v>522</v>
      </c>
      <c r="AI32" t="s">
        <v>523</v>
      </c>
      <c r="AJ32">
        <v>6233019</v>
      </c>
      <c r="AM32" t="s">
        <v>736</v>
      </c>
      <c r="AN32">
        <v>7222466368</v>
      </c>
      <c r="AO32" t="s">
        <v>734</v>
      </c>
      <c r="AP32">
        <v>7221005084</v>
      </c>
      <c r="AQ32" t="s">
        <v>735</v>
      </c>
      <c r="AR32">
        <v>72261163203</v>
      </c>
      <c r="AY32">
        <v>19018.45</v>
      </c>
      <c r="AZ32">
        <v>0</v>
      </c>
      <c r="BA32">
        <v>1</v>
      </c>
      <c r="BB32" t="s">
        <v>1044</v>
      </c>
      <c r="BC32" t="s">
        <v>524</v>
      </c>
      <c r="BD32" t="s">
        <v>172</v>
      </c>
      <c r="BE32" t="s">
        <v>74</v>
      </c>
      <c r="BF32" t="s">
        <v>75</v>
      </c>
      <c r="BH32" t="s">
        <v>2715</v>
      </c>
      <c r="BK32">
        <v>5</v>
      </c>
      <c r="BL32">
        <v>5</v>
      </c>
      <c r="BM32" t="s">
        <v>2847</v>
      </c>
    </row>
    <row r="33" spans="1:65" ht="14.4" customHeight="1" x14ac:dyDescent="0.3">
      <c r="A33">
        <v>1149</v>
      </c>
      <c r="B33" t="s">
        <v>61</v>
      </c>
      <c r="C33" t="s">
        <v>62</v>
      </c>
      <c r="D33">
        <v>29</v>
      </c>
      <c r="E33" t="s">
        <v>184</v>
      </c>
      <c r="F33">
        <v>85</v>
      </c>
      <c r="G33" t="s">
        <v>2849</v>
      </c>
      <c r="H33">
        <v>1149</v>
      </c>
      <c r="I33">
        <v>1</v>
      </c>
      <c r="J33" t="s">
        <v>361</v>
      </c>
      <c r="K33" s="5">
        <v>45723</v>
      </c>
      <c r="L33" s="5">
        <v>46088</v>
      </c>
      <c r="M33">
        <v>40000</v>
      </c>
      <c r="N33">
        <v>42136.31</v>
      </c>
      <c r="O33">
        <v>7</v>
      </c>
      <c r="P33">
        <v>12</v>
      </c>
      <c r="Q33" t="s">
        <v>68</v>
      </c>
      <c r="R33">
        <v>6064.3</v>
      </c>
      <c r="S33">
        <v>696</v>
      </c>
      <c r="T33">
        <v>580</v>
      </c>
      <c r="U33">
        <v>0</v>
      </c>
      <c r="V33">
        <v>1</v>
      </c>
      <c r="W33">
        <v>21068.15</v>
      </c>
      <c r="X33">
        <v>6644.0782992222221</v>
      </c>
      <c r="Y33">
        <v>3511.35</v>
      </c>
      <c r="Z33">
        <v>2494.9299999999998</v>
      </c>
      <c r="AA33">
        <v>57.79</v>
      </c>
      <c r="AB33">
        <v>580</v>
      </c>
      <c r="AC33">
        <v>6638</v>
      </c>
      <c r="AD33" s="5">
        <v>45933</v>
      </c>
      <c r="AE33" t="s">
        <v>69</v>
      </c>
      <c r="AF33">
        <v>5534144947</v>
      </c>
      <c r="AG33" t="s">
        <v>362</v>
      </c>
      <c r="AI33" t="s">
        <v>192</v>
      </c>
      <c r="AJ33">
        <v>9501009</v>
      </c>
      <c r="AK33" t="s">
        <v>363</v>
      </c>
      <c r="AL33">
        <v>7261264396</v>
      </c>
      <c r="AM33" t="s">
        <v>725</v>
      </c>
      <c r="AN33">
        <v>7261162243</v>
      </c>
      <c r="AO33" t="s">
        <v>723</v>
      </c>
      <c r="AP33">
        <v>7291607303</v>
      </c>
      <c r="AQ33" t="s">
        <v>724</v>
      </c>
      <c r="AR33">
        <v>7261162630</v>
      </c>
      <c r="AS33" t="s">
        <v>122</v>
      </c>
      <c r="AT33" t="s">
        <v>364</v>
      </c>
      <c r="AU33" t="s">
        <v>365</v>
      </c>
      <c r="AY33">
        <v>36675.56</v>
      </c>
      <c r="AZ33">
        <v>0</v>
      </c>
      <c r="BA33">
        <v>1</v>
      </c>
      <c r="BB33" t="s">
        <v>1044</v>
      </c>
      <c r="BC33" t="s">
        <v>2948</v>
      </c>
      <c r="BD33" t="s">
        <v>125</v>
      </c>
      <c r="BE33" t="s">
        <v>74</v>
      </c>
      <c r="BF33" t="s">
        <v>75</v>
      </c>
      <c r="BH33" t="s">
        <v>2715</v>
      </c>
      <c r="BK33">
        <v>4</v>
      </c>
      <c r="BL33">
        <v>4</v>
      </c>
      <c r="BM33" t="s">
        <v>2847</v>
      </c>
    </row>
    <row r="34" spans="1:65" ht="14.4" customHeight="1" x14ac:dyDescent="0.3">
      <c r="A34">
        <v>1242</v>
      </c>
      <c r="B34" t="s">
        <v>61</v>
      </c>
      <c r="C34" t="s">
        <v>62</v>
      </c>
      <c r="D34">
        <v>37</v>
      </c>
      <c r="E34" t="s">
        <v>409</v>
      </c>
      <c r="F34">
        <v>39</v>
      </c>
      <c r="G34" t="s">
        <v>2763</v>
      </c>
      <c r="H34">
        <v>1242</v>
      </c>
      <c r="I34">
        <v>1</v>
      </c>
      <c r="J34" t="s">
        <v>358</v>
      </c>
      <c r="K34" s="5">
        <v>45756</v>
      </c>
      <c r="L34" s="5">
        <v>46121</v>
      </c>
      <c r="M34">
        <v>30000</v>
      </c>
      <c r="N34">
        <v>31602.23</v>
      </c>
      <c r="O34">
        <v>5</v>
      </c>
      <c r="P34">
        <v>12</v>
      </c>
      <c r="Q34" t="s">
        <v>68</v>
      </c>
      <c r="R34">
        <v>4412.13</v>
      </c>
      <c r="S34">
        <v>696</v>
      </c>
      <c r="T34">
        <v>580</v>
      </c>
      <c r="U34">
        <v>0</v>
      </c>
      <c r="V34">
        <v>1</v>
      </c>
      <c r="W34">
        <v>18434.63</v>
      </c>
      <c r="X34">
        <v>4991.7750000000005</v>
      </c>
      <c r="Y34">
        <v>2633.52</v>
      </c>
      <c r="Z34">
        <v>1720.6100000000001</v>
      </c>
      <c r="AA34">
        <v>57.65</v>
      </c>
      <c r="AB34">
        <v>580</v>
      </c>
      <c r="AC34">
        <v>4989</v>
      </c>
      <c r="AD34" s="5">
        <v>45929</v>
      </c>
      <c r="AE34" t="s">
        <v>69</v>
      </c>
      <c r="AF34">
        <v>7224003355</v>
      </c>
      <c r="AG34" t="s">
        <v>2782</v>
      </c>
      <c r="AI34" t="s">
        <v>121</v>
      </c>
      <c r="AJ34">
        <v>9800000</v>
      </c>
      <c r="AK34" t="s">
        <v>451</v>
      </c>
      <c r="AL34">
        <v>7224003355</v>
      </c>
      <c r="AM34" t="s">
        <v>748</v>
      </c>
      <c r="AN34">
        <v>7222679031</v>
      </c>
      <c r="AO34" t="s">
        <v>746</v>
      </c>
      <c r="AP34">
        <v>6562856455</v>
      </c>
      <c r="AQ34" t="s">
        <v>747</v>
      </c>
      <c r="AR34">
        <v>7226939337</v>
      </c>
      <c r="AS34" t="s">
        <v>122</v>
      </c>
      <c r="AT34" s="75" t="s">
        <v>359</v>
      </c>
      <c r="AU34" t="s">
        <v>360</v>
      </c>
      <c r="AY34">
        <v>31116.55</v>
      </c>
      <c r="AZ34">
        <v>0</v>
      </c>
      <c r="BA34">
        <v>1</v>
      </c>
      <c r="BB34" t="s">
        <v>1044</v>
      </c>
      <c r="BC34" t="s">
        <v>2955</v>
      </c>
      <c r="BD34" t="s">
        <v>452</v>
      </c>
      <c r="BE34" t="s">
        <v>74</v>
      </c>
      <c r="BF34" t="s">
        <v>75</v>
      </c>
      <c r="BH34" t="s">
        <v>2715</v>
      </c>
      <c r="BK34">
        <v>2</v>
      </c>
      <c r="BL34">
        <v>2</v>
      </c>
      <c r="BM34" t="s">
        <v>2847</v>
      </c>
    </row>
    <row r="35" spans="1:65" ht="14.4" customHeight="1" x14ac:dyDescent="0.3">
      <c r="A35">
        <v>1294</v>
      </c>
      <c r="B35" t="s">
        <v>61</v>
      </c>
      <c r="C35" t="s">
        <v>62</v>
      </c>
      <c r="D35">
        <v>82</v>
      </c>
      <c r="E35" t="s">
        <v>2837</v>
      </c>
      <c r="F35">
        <v>39</v>
      </c>
      <c r="G35" t="s">
        <v>2763</v>
      </c>
      <c r="H35">
        <v>1294</v>
      </c>
      <c r="I35">
        <v>2</v>
      </c>
      <c r="J35" t="s">
        <v>525</v>
      </c>
      <c r="K35" s="5">
        <v>45912</v>
      </c>
      <c r="L35" s="5">
        <v>46080</v>
      </c>
      <c r="M35">
        <v>7000</v>
      </c>
      <c r="N35">
        <v>7373.85</v>
      </c>
      <c r="O35">
        <v>4</v>
      </c>
      <c r="P35">
        <v>12</v>
      </c>
      <c r="Q35" t="s">
        <v>496</v>
      </c>
      <c r="R35">
        <v>919.56000000000006</v>
      </c>
      <c r="S35">
        <v>696</v>
      </c>
      <c r="T35">
        <v>580</v>
      </c>
      <c r="U35">
        <v>2</v>
      </c>
      <c r="V35">
        <v>1</v>
      </c>
      <c r="W35">
        <v>6759.3600000000006</v>
      </c>
      <c r="X35">
        <v>1499.5650000000001</v>
      </c>
      <c r="Y35">
        <v>614.49</v>
      </c>
      <c r="Z35">
        <v>247.08</v>
      </c>
      <c r="AA35">
        <v>58</v>
      </c>
      <c r="AB35">
        <v>580</v>
      </c>
      <c r="AC35">
        <v>919.56000000000006</v>
      </c>
      <c r="AD35" s="5">
        <v>45926</v>
      </c>
      <c r="AE35" t="s">
        <v>69</v>
      </c>
      <c r="AF35">
        <v>7291460410</v>
      </c>
      <c r="AG35" t="s">
        <v>2838</v>
      </c>
      <c r="AI35" t="s">
        <v>526</v>
      </c>
      <c r="AJ35">
        <v>6131023</v>
      </c>
      <c r="AK35" t="s">
        <v>2839</v>
      </c>
      <c r="AL35">
        <v>7291460410</v>
      </c>
      <c r="AM35" t="s">
        <v>757</v>
      </c>
      <c r="AN35">
        <v>7293544932</v>
      </c>
      <c r="AO35" t="s">
        <v>755</v>
      </c>
      <c r="AP35">
        <v>7228062469</v>
      </c>
      <c r="AQ35" t="s">
        <v>756</v>
      </c>
      <c r="AR35">
        <v>5644934125</v>
      </c>
      <c r="AY35">
        <v>10115.17</v>
      </c>
      <c r="AZ35">
        <v>0</v>
      </c>
      <c r="BA35">
        <v>1</v>
      </c>
      <c r="BB35" t="s">
        <v>1044</v>
      </c>
      <c r="BC35" t="s">
        <v>528</v>
      </c>
      <c r="BD35" t="s">
        <v>529</v>
      </c>
      <c r="BE35" t="s">
        <v>74</v>
      </c>
      <c r="BF35" t="s">
        <v>338</v>
      </c>
      <c r="BH35" t="s">
        <v>2715</v>
      </c>
      <c r="BK35">
        <v>1</v>
      </c>
      <c r="BL35">
        <v>1</v>
      </c>
      <c r="BM35" t="s">
        <v>2847</v>
      </c>
    </row>
    <row r="36" spans="1:65" ht="14.4" customHeight="1" x14ac:dyDescent="0.3">
      <c r="A36">
        <v>1562</v>
      </c>
      <c r="B36" t="s">
        <v>61</v>
      </c>
      <c r="C36" t="s">
        <v>62</v>
      </c>
      <c r="D36">
        <v>40</v>
      </c>
      <c r="E36" t="s">
        <v>617</v>
      </c>
      <c r="F36">
        <v>39</v>
      </c>
      <c r="G36" t="s">
        <v>2763</v>
      </c>
      <c r="H36">
        <v>1562</v>
      </c>
      <c r="I36">
        <v>1</v>
      </c>
      <c r="J36" t="s">
        <v>1704</v>
      </c>
      <c r="K36" s="5">
        <v>45856</v>
      </c>
      <c r="L36" s="5">
        <v>45968</v>
      </c>
      <c r="M36">
        <v>10000</v>
      </c>
      <c r="N36">
        <v>10534.08</v>
      </c>
      <c r="O36">
        <v>4</v>
      </c>
      <c r="P36">
        <v>16</v>
      </c>
      <c r="Q36" t="s">
        <v>469</v>
      </c>
      <c r="R36">
        <v>892.86</v>
      </c>
      <c r="S36">
        <v>928</v>
      </c>
      <c r="T36">
        <v>580</v>
      </c>
      <c r="U36">
        <v>12</v>
      </c>
      <c r="V36">
        <v>1</v>
      </c>
      <c r="W36">
        <v>3291.9</v>
      </c>
      <c r="X36">
        <v>1471.4714432000001</v>
      </c>
      <c r="Y36">
        <v>658.38</v>
      </c>
      <c r="Z36">
        <v>176.48</v>
      </c>
      <c r="AA36">
        <v>56.61</v>
      </c>
      <c r="AB36">
        <v>580</v>
      </c>
      <c r="AC36">
        <v>893</v>
      </c>
      <c r="AD36" s="5">
        <v>45933</v>
      </c>
      <c r="AE36" t="s">
        <v>69</v>
      </c>
      <c r="AF36">
        <v>7228467516</v>
      </c>
      <c r="AG36" t="s">
        <v>1705</v>
      </c>
      <c r="AI36" t="s">
        <v>565</v>
      </c>
      <c r="AJ36">
        <v>6132055</v>
      </c>
      <c r="AK36" t="s">
        <v>1706</v>
      </c>
      <c r="AL36">
        <v>7228467516</v>
      </c>
      <c r="AM36" t="s">
        <v>1707</v>
      </c>
      <c r="AN36">
        <v>7223579556</v>
      </c>
      <c r="AO36" t="s">
        <v>1708</v>
      </c>
      <c r="AP36">
        <v>7228756678</v>
      </c>
      <c r="AQ36" t="s">
        <v>1709</v>
      </c>
      <c r="AR36">
        <v>7227869733</v>
      </c>
      <c r="AY36">
        <v>4810.92</v>
      </c>
      <c r="AZ36">
        <v>0</v>
      </c>
      <c r="BA36">
        <v>1</v>
      </c>
      <c r="BB36" t="s">
        <v>1044</v>
      </c>
      <c r="BC36" t="s">
        <v>2991</v>
      </c>
      <c r="BD36" t="s">
        <v>1711</v>
      </c>
      <c r="BE36" t="s">
        <v>74</v>
      </c>
      <c r="BF36" t="s">
        <v>1402</v>
      </c>
      <c r="BG36" t="s">
        <v>1712</v>
      </c>
      <c r="BH36" t="s">
        <v>2715</v>
      </c>
      <c r="BK36">
        <v>1</v>
      </c>
      <c r="BL36">
        <v>1</v>
      </c>
      <c r="BM36" t="s">
        <v>2847</v>
      </c>
    </row>
    <row r="37" spans="1:65" ht="14.4" customHeight="1" x14ac:dyDescent="0.3">
      <c r="A37">
        <v>1098</v>
      </c>
      <c r="B37" t="s">
        <v>61</v>
      </c>
      <c r="C37" t="s">
        <v>62</v>
      </c>
      <c r="D37">
        <v>23</v>
      </c>
      <c r="E37" t="s">
        <v>137</v>
      </c>
      <c r="F37">
        <v>39</v>
      </c>
      <c r="G37" t="s">
        <v>2763</v>
      </c>
      <c r="H37">
        <v>1098</v>
      </c>
      <c r="I37">
        <v>1</v>
      </c>
      <c r="J37" t="s">
        <v>166</v>
      </c>
      <c r="K37" s="5">
        <v>45576</v>
      </c>
      <c r="L37" s="5">
        <v>45941</v>
      </c>
      <c r="M37">
        <v>45000</v>
      </c>
      <c r="N37">
        <v>47403.35</v>
      </c>
      <c r="O37">
        <v>1</v>
      </c>
      <c r="P37">
        <v>12</v>
      </c>
      <c r="Q37" t="s">
        <v>68</v>
      </c>
      <c r="R37">
        <v>6711.3</v>
      </c>
      <c r="S37">
        <v>696</v>
      </c>
      <c r="T37">
        <v>580</v>
      </c>
      <c r="U37">
        <v>0</v>
      </c>
      <c r="V37">
        <v>1</v>
      </c>
      <c r="W37">
        <v>6098.25</v>
      </c>
      <c r="X37">
        <v>7290</v>
      </c>
      <c r="Y37">
        <v>6098.26</v>
      </c>
      <c r="Z37">
        <v>555.04</v>
      </c>
      <c r="AA37">
        <v>56.7</v>
      </c>
      <c r="AB37">
        <v>580</v>
      </c>
      <c r="AC37">
        <v>6711</v>
      </c>
      <c r="AD37" s="5">
        <v>45911</v>
      </c>
      <c r="AE37" t="s">
        <v>69</v>
      </c>
      <c r="AF37">
        <v>7225019052</v>
      </c>
      <c r="AG37" t="s">
        <v>167</v>
      </c>
      <c r="AI37" t="s">
        <v>168</v>
      </c>
      <c r="AJ37">
        <v>6625018</v>
      </c>
      <c r="AK37" t="s">
        <v>169</v>
      </c>
      <c r="AM37" t="s">
        <v>702</v>
      </c>
      <c r="AN37">
        <v>7228015561</v>
      </c>
      <c r="AO37" t="s">
        <v>700</v>
      </c>
      <c r="AP37">
        <v>7222947504</v>
      </c>
      <c r="AQ37" t="s">
        <v>701</v>
      </c>
      <c r="AR37">
        <v>7226649128</v>
      </c>
      <c r="AS37" t="s">
        <v>122</v>
      </c>
      <c r="AT37" t="s">
        <v>170</v>
      </c>
      <c r="AU37" t="s">
        <v>171</v>
      </c>
      <c r="AY37">
        <v>7289.99</v>
      </c>
      <c r="AZ37">
        <v>0</v>
      </c>
      <c r="BA37">
        <v>4</v>
      </c>
      <c r="BB37" t="s">
        <v>136</v>
      </c>
      <c r="BC37" t="s">
        <v>3015</v>
      </c>
      <c r="BD37" t="s">
        <v>172</v>
      </c>
      <c r="BE37" t="s">
        <v>74</v>
      </c>
      <c r="BF37" t="s">
        <v>75</v>
      </c>
      <c r="BH37" t="s">
        <v>2715</v>
      </c>
      <c r="BK37">
        <v>2</v>
      </c>
      <c r="BL37">
        <v>1</v>
      </c>
      <c r="BM37" t="s">
        <v>2847</v>
      </c>
    </row>
    <row r="38" spans="1:65" ht="14.4" customHeight="1" x14ac:dyDescent="0.3">
      <c r="A38">
        <v>1415</v>
      </c>
      <c r="B38" t="s">
        <v>61</v>
      </c>
      <c r="C38" t="s">
        <v>62</v>
      </c>
      <c r="D38">
        <v>29</v>
      </c>
      <c r="E38" t="s">
        <v>184</v>
      </c>
      <c r="F38">
        <v>39</v>
      </c>
      <c r="G38" t="s">
        <v>2763</v>
      </c>
      <c r="H38">
        <v>1415</v>
      </c>
      <c r="I38">
        <v>1</v>
      </c>
      <c r="J38" t="s">
        <v>1222</v>
      </c>
      <c r="K38" s="5">
        <v>45827</v>
      </c>
      <c r="L38" s="5">
        <v>46163</v>
      </c>
      <c r="M38">
        <v>30000</v>
      </c>
      <c r="N38">
        <v>31602.23</v>
      </c>
      <c r="O38">
        <v>0</v>
      </c>
      <c r="P38">
        <v>48</v>
      </c>
      <c r="Q38" t="s">
        <v>469</v>
      </c>
      <c r="R38">
        <v>1245.82</v>
      </c>
      <c r="S38">
        <v>2784</v>
      </c>
      <c r="T38">
        <v>0</v>
      </c>
      <c r="U38">
        <v>16</v>
      </c>
      <c r="V38">
        <v>0</v>
      </c>
      <c r="W38">
        <v>19751.39</v>
      </c>
      <c r="X38">
        <v>0</v>
      </c>
      <c r="Y38">
        <v>0</v>
      </c>
      <c r="Z38">
        <v>0</v>
      </c>
      <c r="AA38">
        <v>0</v>
      </c>
      <c r="AB38">
        <v>0</v>
      </c>
      <c r="AC38">
        <v>1500</v>
      </c>
      <c r="AD38" s="5">
        <v>45939</v>
      </c>
      <c r="AE38" t="s">
        <v>69</v>
      </c>
      <c r="AF38">
        <v>7292421666</v>
      </c>
      <c r="AG38">
        <v>7292421666</v>
      </c>
      <c r="AI38" t="s">
        <v>1223</v>
      </c>
      <c r="AJ38">
        <v>7123011</v>
      </c>
      <c r="AM38" t="s">
        <v>1224</v>
      </c>
      <c r="AN38">
        <v>7225667692</v>
      </c>
      <c r="AO38" t="s">
        <v>1225</v>
      </c>
      <c r="AP38">
        <v>7222331351</v>
      </c>
      <c r="AQ38" t="s">
        <v>1226</v>
      </c>
      <c r="AR38">
        <v>7291219239</v>
      </c>
      <c r="AY38">
        <v>35443.480000000003</v>
      </c>
      <c r="AZ38">
        <v>2566.8433</v>
      </c>
      <c r="BA38">
        <v>1</v>
      </c>
      <c r="BB38" t="s">
        <v>1044</v>
      </c>
      <c r="BC38" t="s">
        <v>3020</v>
      </c>
      <c r="BD38" t="s">
        <v>88</v>
      </c>
      <c r="BE38" t="s">
        <v>74</v>
      </c>
      <c r="BF38" t="s">
        <v>75</v>
      </c>
      <c r="BG38" t="s">
        <v>1227</v>
      </c>
      <c r="BH38" t="s">
        <v>2715</v>
      </c>
      <c r="BK38">
        <v>0</v>
      </c>
      <c r="BL38">
        <v>0</v>
      </c>
      <c r="BM38" t="s">
        <v>2847</v>
      </c>
    </row>
    <row r="39" spans="1:65" ht="14.4" customHeight="1" x14ac:dyDescent="0.3">
      <c r="A39">
        <v>1416</v>
      </c>
      <c r="B39" t="s">
        <v>61</v>
      </c>
      <c r="C39" t="s">
        <v>62</v>
      </c>
      <c r="D39">
        <v>29</v>
      </c>
      <c r="E39" t="s">
        <v>184</v>
      </c>
      <c r="F39">
        <v>39</v>
      </c>
      <c r="G39" t="s">
        <v>2763</v>
      </c>
      <c r="H39">
        <v>1416</v>
      </c>
      <c r="I39">
        <v>1</v>
      </c>
      <c r="J39" t="s">
        <v>1228</v>
      </c>
      <c r="K39" s="5">
        <v>45827</v>
      </c>
      <c r="L39" s="5">
        <v>46192</v>
      </c>
      <c r="M39">
        <v>10000</v>
      </c>
      <c r="N39">
        <v>10534.08</v>
      </c>
      <c r="O39">
        <v>0</v>
      </c>
      <c r="P39">
        <v>12</v>
      </c>
      <c r="Q39" t="s">
        <v>68</v>
      </c>
      <c r="R39">
        <v>1702.69</v>
      </c>
      <c r="S39">
        <v>696</v>
      </c>
      <c r="T39">
        <v>0</v>
      </c>
      <c r="U39">
        <v>0</v>
      </c>
      <c r="V39">
        <v>0</v>
      </c>
      <c r="W39">
        <v>7900.56</v>
      </c>
      <c r="X39">
        <v>0</v>
      </c>
      <c r="Y39">
        <v>0</v>
      </c>
      <c r="Z39">
        <v>0</v>
      </c>
      <c r="AA39">
        <v>0</v>
      </c>
      <c r="AB39">
        <v>0</v>
      </c>
      <c r="AC39">
        <v>1703</v>
      </c>
      <c r="AD39" s="5">
        <v>45919</v>
      </c>
      <c r="AE39" t="s">
        <v>69</v>
      </c>
      <c r="AF39">
        <v>7291791570</v>
      </c>
      <c r="AG39" t="s">
        <v>1229</v>
      </c>
      <c r="AI39" t="s">
        <v>526</v>
      </c>
      <c r="AJ39">
        <v>6131023</v>
      </c>
      <c r="AK39" t="s">
        <v>1230</v>
      </c>
      <c r="AL39">
        <v>7291791570</v>
      </c>
      <c r="AM39" t="s">
        <v>1231</v>
      </c>
      <c r="AN39">
        <v>7226098835</v>
      </c>
      <c r="AO39" t="s">
        <v>1232</v>
      </c>
      <c r="AP39">
        <v>5665382846</v>
      </c>
      <c r="AQ39" t="s">
        <v>1233</v>
      </c>
      <c r="AR39">
        <v>7226745585</v>
      </c>
      <c r="AY39">
        <v>14801.61</v>
      </c>
      <c r="AZ39">
        <v>0.61471200000000004</v>
      </c>
      <c r="BA39">
        <v>1</v>
      </c>
      <c r="BB39" t="s">
        <v>1044</v>
      </c>
      <c r="BC39" t="s">
        <v>2983</v>
      </c>
      <c r="BD39" t="s">
        <v>340</v>
      </c>
      <c r="BE39" t="s">
        <v>74</v>
      </c>
      <c r="BF39" t="s">
        <v>75</v>
      </c>
      <c r="BG39" t="s">
        <v>1234</v>
      </c>
      <c r="BH39" t="s">
        <v>2715</v>
      </c>
      <c r="BK39">
        <v>0</v>
      </c>
      <c r="BL39">
        <v>0</v>
      </c>
      <c r="BM39" t="s">
        <v>2847</v>
      </c>
    </row>
    <row r="40" spans="1:65" ht="14.4" customHeight="1" x14ac:dyDescent="0.3">
      <c r="A40">
        <v>1308</v>
      </c>
      <c r="B40" t="s">
        <v>61</v>
      </c>
      <c r="C40" t="s">
        <v>62</v>
      </c>
      <c r="D40">
        <v>37</v>
      </c>
      <c r="E40" t="s">
        <v>409</v>
      </c>
      <c r="F40">
        <v>39</v>
      </c>
      <c r="G40" t="s">
        <v>2763</v>
      </c>
      <c r="H40">
        <v>1308</v>
      </c>
      <c r="I40">
        <v>1</v>
      </c>
      <c r="J40" t="s">
        <v>558</v>
      </c>
      <c r="K40" s="5">
        <v>45789</v>
      </c>
      <c r="L40" s="5">
        <v>46154</v>
      </c>
      <c r="M40">
        <v>10000</v>
      </c>
      <c r="N40">
        <v>10534.08</v>
      </c>
      <c r="O40">
        <v>0</v>
      </c>
      <c r="P40">
        <v>12</v>
      </c>
      <c r="Q40" t="s">
        <v>68</v>
      </c>
      <c r="R40">
        <v>1702.69</v>
      </c>
      <c r="S40">
        <v>696</v>
      </c>
      <c r="T40">
        <v>0</v>
      </c>
      <c r="U40">
        <v>0</v>
      </c>
      <c r="V40">
        <v>0</v>
      </c>
      <c r="W40">
        <v>6144.89</v>
      </c>
      <c r="X40">
        <v>0.01</v>
      </c>
      <c r="Y40">
        <v>0.01</v>
      </c>
      <c r="Z40">
        <v>0</v>
      </c>
      <c r="AA40">
        <v>0</v>
      </c>
      <c r="AB40">
        <v>0</v>
      </c>
      <c r="AC40">
        <v>1702.69</v>
      </c>
      <c r="AD40" s="5">
        <v>45943</v>
      </c>
      <c r="AE40" t="s">
        <v>69</v>
      </c>
      <c r="AF40">
        <v>7201228948</v>
      </c>
      <c r="AG40" t="s">
        <v>559</v>
      </c>
      <c r="AI40" t="s">
        <v>523</v>
      </c>
      <c r="AJ40">
        <v>6233019</v>
      </c>
      <c r="AM40" t="s">
        <v>739</v>
      </c>
      <c r="AN40">
        <v>7261162636</v>
      </c>
      <c r="AO40" t="s">
        <v>737</v>
      </c>
      <c r="AP40">
        <v>7223636845</v>
      </c>
      <c r="AQ40" t="s">
        <v>738</v>
      </c>
      <c r="AR40">
        <v>7224635844</v>
      </c>
      <c r="AY40">
        <v>11512.85</v>
      </c>
      <c r="AZ40">
        <v>0</v>
      </c>
      <c r="BA40">
        <v>1</v>
      </c>
      <c r="BB40" t="s">
        <v>1044</v>
      </c>
      <c r="BC40" t="s">
        <v>3007</v>
      </c>
      <c r="BD40" t="s">
        <v>88</v>
      </c>
      <c r="BE40" t="s">
        <v>74</v>
      </c>
      <c r="BF40" t="s">
        <v>75</v>
      </c>
      <c r="BH40" t="s">
        <v>2715</v>
      </c>
      <c r="BK40">
        <v>1</v>
      </c>
      <c r="BL40">
        <v>1</v>
      </c>
      <c r="BM40" t="s">
        <v>2847</v>
      </c>
    </row>
    <row r="41" spans="1:65" ht="14.4" customHeight="1" x14ac:dyDescent="0.3">
      <c r="A41">
        <v>1429</v>
      </c>
      <c r="B41" t="s">
        <v>61</v>
      </c>
      <c r="C41" t="s">
        <v>62</v>
      </c>
      <c r="D41">
        <v>40</v>
      </c>
      <c r="E41" t="s">
        <v>617</v>
      </c>
      <c r="F41">
        <v>39</v>
      </c>
      <c r="G41" t="s">
        <v>2763</v>
      </c>
      <c r="H41">
        <v>1429</v>
      </c>
      <c r="I41">
        <v>1</v>
      </c>
      <c r="J41" t="s">
        <v>1322</v>
      </c>
      <c r="K41" s="5">
        <v>45832</v>
      </c>
      <c r="L41" s="5">
        <v>46015</v>
      </c>
      <c r="M41">
        <v>8000</v>
      </c>
      <c r="N41">
        <v>8427.26</v>
      </c>
      <c r="O41">
        <v>0</v>
      </c>
      <c r="P41">
        <v>6</v>
      </c>
      <c r="Q41" t="s">
        <v>68</v>
      </c>
      <c r="R41">
        <v>2077.71</v>
      </c>
      <c r="S41">
        <v>348</v>
      </c>
      <c r="T41">
        <v>0</v>
      </c>
      <c r="U41">
        <v>0</v>
      </c>
      <c r="V41">
        <v>0</v>
      </c>
      <c r="W41">
        <v>4213.63</v>
      </c>
      <c r="X41">
        <v>0</v>
      </c>
      <c r="Y41">
        <v>0</v>
      </c>
      <c r="Z41">
        <v>0</v>
      </c>
      <c r="AA41">
        <v>0</v>
      </c>
      <c r="AB41">
        <v>0</v>
      </c>
      <c r="AC41">
        <v>2200</v>
      </c>
      <c r="AD41" s="5">
        <v>45922</v>
      </c>
      <c r="AE41" t="s">
        <v>69</v>
      </c>
      <c r="AF41">
        <v>7228956353</v>
      </c>
      <c r="AG41" t="s">
        <v>1323</v>
      </c>
      <c r="AI41" t="s">
        <v>1324</v>
      </c>
      <c r="AJ41">
        <v>2094019</v>
      </c>
      <c r="AK41" t="s">
        <v>1325</v>
      </c>
      <c r="AL41">
        <v>7228956353</v>
      </c>
      <c r="AM41" t="s">
        <v>1326</v>
      </c>
      <c r="AN41">
        <v>7261264050</v>
      </c>
      <c r="AO41" t="s">
        <v>1327</v>
      </c>
      <c r="AP41">
        <v>7226457749</v>
      </c>
      <c r="AQ41" t="s">
        <v>1328</v>
      </c>
      <c r="AR41">
        <v>7223935887</v>
      </c>
      <c r="AY41">
        <v>5692.2300000000005</v>
      </c>
      <c r="AZ41">
        <v>366.88433259999999</v>
      </c>
      <c r="BA41">
        <v>1</v>
      </c>
      <c r="BB41" t="s">
        <v>1044</v>
      </c>
      <c r="BC41" t="s">
        <v>2961</v>
      </c>
      <c r="BD41" t="s">
        <v>1107</v>
      </c>
      <c r="BE41" t="s">
        <v>74</v>
      </c>
      <c r="BF41" t="s">
        <v>338</v>
      </c>
      <c r="BG41" t="s">
        <v>2591</v>
      </c>
      <c r="BH41" t="s">
        <v>2715</v>
      </c>
      <c r="BK41">
        <v>0</v>
      </c>
      <c r="BL41">
        <v>0</v>
      </c>
      <c r="BM41" t="s">
        <v>2847</v>
      </c>
    </row>
    <row r="42" spans="1:65" ht="14.4" customHeight="1" x14ac:dyDescent="0.3">
      <c r="A42">
        <v>1188</v>
      </c>
      <c r="B42" t="s">
        <v>61</v>
      </c>
      <c r="C42" t="s">
        <v>62</v>
      </c>
      <c r="D42">
        <v>29</v>
      </c>
      <c r="E42" t="s">
        <v>184</v>
      </c>
      <c r="F42">
        <v>39</v>
      </c>
      <c r="G42" t="s">
        <v>2763</v>
      </c>
      <c r="H42">
        <v>1188</v>
      </c>
      <c r="I42">
        <v>1</v>
      </c>
      <c r="J42" t="s">
        <v>152</v>
      </c>
      <c r="K42" s="5">
        <v>45707</v>
      </c>
      <c r="L42" s="5">
        <v>46072</v>
      </c>
      <c r="M42">
        <v>20000</v>
      </c>
      <c r="N42">
        <v>21068.16</v>
      </c>
      <c r="O42">
        <v>0</v>
      </c>
      <c r="P42">
        <v>12</v>
      </c>
      <c r="Q42" t="s">
        <v>68</v>
      </c>
      <c r="R42">
        <v>3015.02</v>
      </c>
      <c r="S42">
        <v>696</v>
      </c>
      <c r="T42">
        <v>0</v>
      </c>
      <c r="U42">
        <v>0</v>
      </c>
      <c r="V42">
        <v>0</v>
      </c>
      <c r="W42">
        <v>11472.01</v>
      </c>
      <c r="X42">
        <v>0</v>
      </c>
      <c r="Y42">
        <v>0</v>
      </c>
      <c r="Z42">
        <v>0</v>
      </c>
      <c r="AA42">
        <v>0</v>
      </c>
      <c r="AB42">
        <v>0</v>
      </c>
      <c r="AC42">
        <v>3016</v>
      </c>
      <c r="AD42" s="5">
        <v>45919</v>
      </c>
      <c r="AE42" t="s">
        <v>69</v>
      </c>
      <c r="AF42">
        <v>7222300093</v>
      </c>
      <c r="AG42" t="s">
        <v>153</v>
      </c>
      <c r="AI42" t="s">
        <v>154</v>
      </c>
      <c r="AJ42">
        <v>8911019</v>
      </c>
      <c r="AM42" t="s">
        <v>716</v>
      </c>
      <c r="AN42">
        <v>7223671877</v>
      </c>
      <c r="AO42" t="s">
        <v>714</v>
      </c>
      <c r="AP42">
        <v>7222036212</v>
      </c>
      <c r="AQ42" t="s">
        <v>715</v>
      </c>
      <c r="AR42">
        <v>7294898930</v>
      </c>
      <c r="AS42" t="s">
        <v>122</v>
      </c>
      <c r="AT42" t="s">
        <v>155</v>
      </c>
      <c r="AU42" t="s">
        <v>156</v>
      </c>
      <c r="AV42" t="s">
        <v>157</v>
      </c>
      <c r="AW42" s="75" t="s">
        <v>158</v>
      </c>
      <c r="AX42" t="s">
        <v>159</v>
      </c>
      <c r="AY42">
        <v>11449.15</v>
      </c>
      <c r="AZ42">
        <v>22.86</v>
      </c>
      <c r="BA42">
        <v>4</v>
      </c>
      <c r="BB42" t="s">
        <v>136</v>
      </c>
      <c r="BC42" t="s">
        <v>2900</v>
      </c>
      <c r="BD42" t="s">
        <v>88</v>
      </c>
      <c r="BE42" t="s">
        <v>74</v>
      </c>
      <c r="BF42" t="s">
        <v>75</v>
      </c>
      <c r="BH42" t="s">
        <v>2715</v>
      </c>
      <c r="BK42">
        <v>0</v>
      </c>
      <c r="BL42">
        <v>0</v>
      </c>
      <c r="BM42" t="s">
        <v>2847</v>
      </c>
    </row>
    <row r="43" spans="1:65" ht="14.4" customHeight="1" x14ac:dyDescent="0.3">
      <c r="A43">
        <v>1347</v>
      </c>
      <c r="B43" t="s">
        <v>61</v>
      </c>
      <c r="C43" t="s">
        <v>62</v>
      </c>
      <c r="D43">
        <v>40</v>
      </c>
      <c r="E43" t="s">
        <v>617</v>
      </c>
      <c r="F43">
        <v>39</v>
      </c>
      <c r="G43" t="s">
        <v>2763</v>
      </c>
      <c r="H43">
        <v>1347</v>
      </c>
      <c r="I43">
        <v>1</v>
      </c>
      <c r="J43" t="s">
        <v>676</v>
      </c>
      <c r="K43" s="5">
        <v>45805</v>
      </c>
      <c r="L43" s="5">
        <v>45989</v>
      </c>
      <c r="M43">
        <v>5000</v>
      </c>
      <c r="N43">
        <v>5267.04</v>
      </c>
      <c r="O43">
        <v>0</v>
      </c>
      <c r="P43">
        <v>6</v>
      </c>
      <c r="Q43" t="s">
        <v>68</v>
      </c>
      <c r="R43">
        <v>1322.42</v>
      </c>
      <c r="S43">
        <v>348</v>
      </c>
      <c r="T43">
        <v>40.67</v>
      </c>
      <c r="U43">
        <v>0</v>
      </c>
      <c r="V43">
        <v>0</v>
      </c>
      <c r="W43">
        <v>1755.68</v>
      </c>
      <c r="X43">
        <v>0</v>
      </c>
      <c r="Y43">
        <v>0</v>
      </c>
      <c r="Z43">
        <v>0</v>
      </c>
      <c r="AA43">
        <v>0</v>
      </c>
      <c r="AB43">
        <v>40.67</v>
      </c>
      <c r="AC43">
        <v>500</v>
      </c>
      <c r="AD43" s="5">
        <v>45938</v>
      </c>
      <c r="AE43" t="s">
        <v>69</v>
      </c>
      <c r="AF43">
        <v>7224250483</v>
      </c>
      <c r="AG43" t="s">
        <v>677</v>
      </c>
      <c r="AI43" t="s">
        <v>526</v>
      </c>
      <c r="AJ43">
        <v>6131023</v>
      </c>
      <c r="AM43" t="s">
        <v>777</v>
      </c>
      <c r="AN43">
        <v>7293771413</v>
      </c>
      <c r="AO43" t="s">
        <v>776</v>
      </c>
      <c r="AP43">
        <v>7261264167</v>
      </c>
      <c r="AQ43" t="s">
        <v>873</v>
      </c>
      <c r="AR43">
        <v>7223709734</v>
      </c>
      <c r="AY43">
        <v>2511.5</v>
      </c>
      <c r="AZ43">
        <v>17.330692266666659</v>
      </c>
      <c r="BA43">
        <v>1</v>
      </c>
      <c r="BB43" t="s">
        <v>1044</v>
      </c>
      <c r="BC43" t="s">
        <v>2985</v>
      </c>
      <c r="BD43" t="s">
        <v>97</v>
      </c>
      <c r="BE43" t="s">
        <v>74</v>
      </c>
      <c r="BF43" t="s">
        <v>75</v>
      </c>
      <c r="BH43" t="s">
        <v>2715</v>
      </c>
      <c r="BK43">
        <v>2</v>
      </c>
      <c r="BL43">
        <v>2</v>
      </c>
      <c r="BM43" t="s">
        <v>2847</v>
      </c>
    </row>
    <row r="44" spans="1:65" ht="14.4" customHeight="1" x14ac:dyDescent="0.3">
      <c r="A44">
        <v>1203</v>
      </c>
      <c r="B44" t="s">
        <v>61</v>
      </c>
      <c r="C44" t="s">
        <v>62</v>
      </c>
      <c r="D44">
        <v>29</v>
      </c>
      <c r="E44" t="s">
        <v>184</v>
      </c>
      <c r="F44">
        <v>39</v>
      </c>
      <c r="G44" t="s">
        <v>2763</v>
      </c>
      <c r="H44">
        <v>1203</v>
      </c>
      <c r="I44">
        <v>1</v>
      </c>
      <c r="J44" t="s">
        <v>185</v>
      </c>
      <c r="K44" s="5">
        <v>45716</v>
      </c>
      <c r="L44" s="5">
        <v>46081</v>
      </c>
      <c r="M44">
        <v>65000</v>
      </c>
      <c r="N44">
        <v>68471.509999999995</v>
      </c>
      <c r="O44">
        <v>0</v>
      </c>
      <c r="P44">
        <v>12</v>
      </c>
      <c r="Q44" t="s">
        <v>68</v>
      </c>
      <c r="R44">
        <v>12081.41</v>
      </c>
      <c r="S44">
        <v>696</v>
      </c>
      <c r="T44">
        <v>0</v>
      </c>
      <c r="U44">
        <v>0</v>
      </c>
      <c r="V44">
        <v>0</v>
      </c>
      <c r="W44">
        <v>28530.170000000002</v>
      </c>
      <c r="X44">
        <v>0.388701527777778</v>
      </c>
      <c r="Y44">
        <v>0.37</v>
      </c>
      <c r="Z44">
        <v>0</v>
      </c>
      <c r="AA44">
        <v>0.01</v>
      </c>
      <c r="AB44">
        <v>0</v>
      </c>
      <c r="AC44">
        <v>12081.41</v>
      </c>
      <c r="AD44" s="5">
        <v>45929</v>
      </c>
      <c r="AE44" t="s">
        <v>69</v>
      </c>
      <c r="AF44">
        <v>7295890044</v>
      </c>
      <c r="AG44" t="s">
        <v>186</v>
      </c>
      <c r="AI44" t="s">
        <v>187</v>
      </c>
      <c r="AJ44">
        <v>2411023</v>
      </c>
      <c r="AK44" t="s">
        <v>188</v>
      </c>
      <c r="AM44" t="s">
        <v>719</v>
      </c>
      <c r="AN44">
        <v>7226064942</v>
      </c>
      <c r="AO44" t="s">
        <v>717</v>
      </c>
      <c r="AP44">
        <v>7228847112</v>
      </c>
      <c r="AQ44" t="s">
        <v>718</v>
      </c>
      <c r="AR44">
        <v>7225469589</v>
      </c>
      <c r="AS44" t="s">
        <v>122</v>
      </c>
      <c r="AT44" t="s">
        <v>189</v>
      </c>
      <c r="AU44" t="s">
        <v>190</v>
      </c>
      <c r="AY44">
        <v>60117.42</v>
      </c>
      <c r="AZ44">
        <v>0</v>
      </c>
      <c r="BA44">
        <v>1</v>
      </c>
      <c r="BB44" t="s">
        <v>1044</v>
      </c>
      <c r="BC44" t="s">
        <v>2965</v>
      </c>
      <c r="BD44" t="s">
        <v>191</v>
      </c>
      <c r="BE44" t="s">
        <v>74</v>
      </c>
      <c r="BF44" t="s">
        <v>75</v>
      </c>
      <c r="BH44" t="s">
        <v>2715</v>
      </c>
      <c r="BK44">
        <v>1</v>
      </c>
      <c r="BL44">
        <v>1</v>
      </c>
      <c r="BM44" t="s">
        <v>2847</v>
      </c>
    </row>
    <row r="45" spans="1:65" ht="14.4" customHeight="1" x14ac:dyDescent="0.3">
      <c r="A45">
        <v>1260</v>
      </c>
      <c r="B45" t="s">
        <v>61</v>
      </c>
      <c r="C45" t="s">
        <v>62</v>
      </c>
      <c r="D45">
        <v>37</v>
      </c>
      <c r="E45" t="s">
        <v>409</v>
      </c>
      <c r="F45">
        <v>39</v>
      </c>
      <c r="G45" t="s">
        <v>2763</v>
      </c>
      <c r="H45">
        <v>1260</v>
      </c>
      <c r="I45">
        <v>1</v>
      </c>
      <c r="J45" t="s">
        <v>404</v>
      </c>
      <c r="K45" s="5">
        <v>45768</v>
      </c>
      <c r="L45" s="5">
        <v>46133</v>
      </c>
      <c r="M45">
        <v>20000</v>
      </c>
      <c r="N45">
        <v>21068.16</v>
      </c>
      <c r="O45">
        <v>0</v>
      </c>
      <c r="P45">
        <v>12</v>
      </c>
      <c r="Q45" t="s">
        <v>68</v>
      </c>
      <c r="R45">
        <v>2960.75</v>
      </c>
      <c r="S45">
        <v>696</v>
      </c>
      <c r="T45">
        <v>0</v>
      </c>
      <c r="U45">
        <v>0</v>
      </c>
      <c r="V45">
        <v>0</v>
      </c>
      <c r="W45">
        <v>12289.76</v>
      </c>
      <c r="X45">
        <v>0</v>
      </c>
      <c r="Y45">
        <v>0</v>
      </c>
      <c r="Z45">
        <v>0</v>
      </c>
      <c r="AA45">
        <v>0</v>
      </c>
      <c r="AB45">
        <v>0</v>
      </c>
      <c r="AC45">
        <v>2970</v>
      </c>
      <c r="AD45" s="5">
        <v>45920</v>
      </c>
      <c r="AE45" t="s">
        <v>69</v>
      </c>
      <c r="AF45">
        <v>7225577096</v>
      </c>
      <c r="AG45" t="s">
        <v>405</v>
      </c>
      <c r="AI45" t="s">
        <v>406</v>
      </c>
      <c r="AJ45">
        <v>9212010</v>
      </c>
      <c r="AM45" t="s">
        <v>745</v>
      </c>
      <c r="AN45">
        <v>7225736723</v>
      </c>
      <c r="AO45" t="s">
        <v>743</v>
      </c>
      <c r="AP45">
        <v>5546203255</v>
      </c>
      <c r="AQ45" t="s">
        <v>744</v>
      </c>
      <c r="AR45">
        <v>7221565221</v>
      </c>
      <c r="AY45">
        <v>20282.04</v>
      </c>
      <c r="AZ45">
        <v>37.23236</v>
      </c>
      <c r="BA45">
        <v>1</v>
      </c>
      <c r="BB45" t="s">
        <v>1044</v>
      </c>
      <c r="BC45" t="s">
        <v>2943</v>
      </c>
      <c r="BD45" t="s">
        <v>407</v>
      </c>
      <c r="BE45" t="s">
        <v>74</v>
      </c>
      <c r="BF45" t="s">
        <v>338</v>
      </c>
      <c r="BH45" t="s">
        <v>2715</v>
      </c>
      <c r="BK45">
        <v>0</v>
      </c>
      <c r="BL45">
        <v>0</v>
      </c>
      <c r="BM45" t="s">
        <v>2847</v>
      </c>
    </row>
    <row r="46" spans="1:65" ht="14.4" customHeight="1" x14ac:dyDescent="0.3">
      <c r="A46">
        <v>1380</v>
      </c>
      <c r="B46" t="s">
        <v>61</v>
      </c>
      <c r="C46" t="s">
        <v>62</v>
      </c>
      <c r="D46">
        <v>29</v>
      </c>
      <c r="E46" t="s">
        <v>184</v>
      </c>
      <c r="F46">
        <v>39</v>
      </c>
      <c r="G46" t="s">
        <v>2763</v>
      </c>
      <c r="H46">
        <v>1380</v>
      </c>
      <c r="I46">
        <v>1</v>
      </c>
      <c r="J46" t="s">
        <v>1095</v>
      </c>
      <c r="K46" s="5">
        <v>45814</v>
      </c>
      <c r="L46" s="5">
        <v>45997</v>
      </c>
      <c r="M46">
        <v>10000</v>
      </c>
      <c r="N46">
        <v>10534.08</v>
      </c>
      <c r="O46">
        <v>0</v>
      </c>
      <c r="P46">
        <v>6</v>
      </c>
      <c r="Q46" t="s">
        <v>68</v>
      </c>
      <c r="R46">
        <v>2582.63</v>
      </c>
      <c r="S46">
        <v>348</v>
      </c>
      <c r="T46">
        <v>0</v>
      </c>
      <c r="U46">
        <v>0</v>
      </c>
      <c r="V46">
        <v>0</v>
      </c>
      <c r="W46">
        <v>3511.36</v>
      </c>
      <c r="X46">
        <v>0</v>
      </c>
      <c r="Y46">
        <v>0</v>
      </c>
      <c r="Z46">
        <v>0</v>
      </c>
      <c r="AA46">
        <v>0</v>
      </c>
      <c r="AB46">
        <v>0</v>
      </c>
      <c r="AC46">
        <v>2582.63</v>
      </c>
      <c r="AD46" s="5">
        <v>45936</v>
      </c>
      <c r="AE46" t="s">
        <v>69</v>
      </c>
      <c r="AF46">
        <v>7293862794</v>
      </c>
      <c r="AG46" t="s">
        <v>1096</v>
      </c>
      <c r="AI46" t="s">
        <v>1174</v>
      </c>
      <c r="AJ46">
        <v>8912017</v>
      </c>
      <c r="AM46" t="s">
        <v>1097</v>
      </c>
      <c r="AN46">
        <v>7222409976</v>
      </c>
      <c r="AO46" t="s">
        <v>1098</v>
      </c>
      <c r="AP46">
        <v>7261040885</v>
      </c>
      <c r="AQ46" t="s">
        <v>1099</v>
      </c>
      <c r="AR46">
        <v>7295032153</v>
      </c>
      <c r="AY46">
        <v>5031.91</v>
      </c>
      <c r="AZ46">
        <v>17.36</v>
      </c>
      <c r="BA46">
        <v>1</v>
      </c>
      <c r="BB46" t="s">
        <v>1044</v>
      </c>
      <c r="BC46" t="s">
        <v>2901</v>
      </c>
      <c r="BD46" t="s">
        <v>88</v>
      </c>
      <c r="BE46" t="s">
        <v>74</v>
      </c>
      <c r="BF46" t="s">
        <v>75</v>
      </c>
      <c r="BG46" t="s">
        <v>1100</v>
      </c>
      <c r="BH46" t="s">
        <v>2715</v>
      </c>
      <c r="BK46">
        <v>0</v>
      </c>
      <c r="BL46">
        <v>0</v>
      </c>
      <c r="BM46" t="s">
        <v>2847</v>
      </c>
    </row>
    <row r="47" spans="1:65" ht="14.4" customHeight="1" x14ac:dyDescent="0.3">
      <c r="A47">
        <v>1376</v>
      </c>
      <c r="B47" t="s">
        <v>61</v>
      </c>
      <c r="C47" t="s">
        <v>62</v>
      </c>
      <c r="D47">
        <v>40</v>
      </c>
      <c r="E47" t="s">
        <v>617</v>
      </c>
      <c r="F47">
        <v>39</v>
      </c>
      <c r="G47" t="s">
        <v>2763</v>
      </c>
      <c r="H47">
        <v>1376</v>
      </c>
      <c r="I47">
        <v>1</v>
      </c>
      <c r="J47" t="s">
        <v>1101</v>
      </c>
      <c r="K47" s="5">
        <v>45814</v>
      </c>
      <c r="L47" s="5">
        <v>45997</v>
      </c>
      <c r="M47">
        <v>15000</v>
      </c>
      <c r="N47">
        <v>15801.12</v>
      </c>
      <c r="O47">
        <v>0</v>
      </c>
      <c r="P47">
        <v>6</v>
      </c>
      <c r="Q47" t="s">
        <v>68</v>
      </c>
      <c r="R47">
        <v>3844.9500000000003</v>
      </c>
      <c r="S47">
        <v>348</v>
      </c>
      <c r="T47">
        <v>0</v>
      </c>
      <c r="U47">
        <v>0</v>
      </c>
      <c r="V47">
        <v>0</v>
      </c>
      <c r="W47">
        <v>5267.04</v>
      </c>
      <c r="X47">
        <v>0</v>
      </c>
      <c r="Y47">
        <v>0</v>
      </c>
      <c r="Z47">
        <v>0.01</v>
      </c>
      <c r="AA47">
        <v>0</v>
      </c>
      <c r="AB47">
        <v>0</v>
      </c>
      <c r="AC47">
        <v>3850</v>
      </c>
      <c r="AD47" s="5">
        <v>45936</v>
      </c>
      <c r="AE47" t="s">
        <v>69</v>
      </c>
      <c r="AF47">
        <v>5575181437</v>
      </c>
      <c r="AG47" t="s">
        <v>1102</v>
      </c>
      <c r="AI47" t="s">
        <v>336</v>
      </c>
      <c r="AJ47">
        <v>6326020</v>
      </c>
      <c r="AK47" t="s">
        <v>1103</v>
      </c>
      <c r="AL47">
        <v>5575181437</v>
      </c>
      <c r="AM47" t="s">
        <v>1104</v>
      </c>
      <c r="AN47">
        <v>7226023715</v>
      </c>
      <c r="AO47" t="s">
        <v>1105</v>
      </c>
      <c r="AP47">
        <v>7221148633</v>
      </c>
      <c r="AQ47" t="s">
        <v>1106</v>
      </c>
      <c r="AR47">
        <v>7228219071</v>
      </c>
      <c r="AY47">
        <v>7569.74</v>
      </c>
      <c r="AZ47">
        <v>4.1536416000000003</v>
      </c>
      <c r="BA47">
        <v>1</v>
      </c>
      <c r="BB47" t="s">
        <v>1044</v>
      </c>
      <c r="BC47" t="s">
        <v>3013</v>
      </c>
      <c r="BD47" t="s">
        <v>1107</v>
      </c>
      <c r="BE47" t="s">
        <v>74</v>
      </c>
      <c r="BF47" t="s">
        <v>338</v>
      </c>
      <c r="BG47" t="s">
        <v>1108</v>
      </c>
      <c r="BH47" t="s">
        <v>2715</v>
      </c>
      <c r="BK47">
        <v>1</v>
      </c>
      <c r="BL47">
        <v>1</v>
      </c>
      <c r="BM47" t="s">
        <v>2847</v>
      </c>
    </row>
    <row r="48" spans="1:65" ht="14.4" customHeight="1" x14ac:dyDescent="0.3">
      <c r="A48">
        <v>1558</v>
      </c>
      <c r="B48" t="s">
        <v>61</v>
      </c>
      <c r="C48" t="s">
        <v>62</v>
      </c>
      <c r="D48">
        <v>59</v>
      </c>
      <c r="E48" t="s">
        <v>1797</v>
      </c>
      <c r="F48">
        <v>39</v>
      </c>
      <c r="G48" t="s">
        <v>2763</v>
      </c>
      <c r="H48">
        <v>1558</v>
      </c>
      <c r="I48">
        <v>1</v>
      </c>
      <c r="J48" t="s">
        <v>2534</v>
      </c>
      <c r="K48" s="5">
        <v>45863</v>
      </c>
      <c r="L48" s="5">
        <v>46228</v>
      </c>
      <c r="M48">
        <v>10000</v>
      </c>
      <c r="N48">
        <v>10534.08</v>
      </c>
      <c r="O48">
        <v>0</v>
      </c>
      <c r="P48">
        <v>12</v>
      </c>
      <c r="Q48" t="s">
        <v>68</v>
      </c>
      <c r="R48">
        <v>1702.69</v>
      </c>
      <c r="S48">
        <v>696</v>
      </c>
      <c r="T48">
        <v>0</v>
      </c>
      <c r="U48">
        <v>0</v>
      </c>
      <c r="V48">
        <v>0</v>
      </c>
      <c r="W48">
        <v>8778.4</v>
      </c>
      <c r="X48">
        <v>0</v>
      </c>
      <c r="Y48">
        <v>0</v>
      </c>
      <c r="Z48">
        <v>0</v>
      </c>
      <c r="AA48">
        <v>0</v>
      </c>
      <c r="AB48">
        <v>0</v>
      </c>
      <c r="AC48">
        <v>1750</v>
      </c>
      <c r="AD48" s="5">
        <v>45925</v>
      </c>
      <c r="AE48" t="s">
        <v>69</v>
      </c>
      <c r="AF48">
        <v>7225066648</v>
      </c>
      <c r="AG48" t="s">
        <v>1798</v>
      </c>
      <c r="AI48" t="s">
        <v>86</v>
      </c>
      <c r="AJ48">
        <v>8711021</v>
      </c>
      <c r="AM48" t="s">
        <v>1799</v>
      </c>
      <c r="AN48">
        <v>7262078595</v>
      </c>
      <c r="AO48" t="s">
        <v>1800</v>
      </c>
      <c r="AP48">
        <v>7227869607</v>
      </c>
      <c r="AQ48" t="s">
        <v>1801</v>
      </c>
      <c r="AR48">
        <v>7295422965</v>
      </c>
      <c r="AY48">
        <v>16392.3</v>
      </c>
      <c r="AZ48">
        <v>54.620000000000005</v>
      </c>
      <c r="BA48">
        <v>1</v>
      </c>
      <c r="BB48" t="s">
        <v>1044</v>
      </c>
      <c r="BC48" t="s">
        <v>2878</v>
      </c>
      <c r="BD48" t="s">
        <v>339</v>
      </c>
      <c r="BE48" t="s">
        <v>74</v>
      </c>
      <c r="BF48" t="s">
        <v>75</v>
      </c>
      <c r="BG48" t="s">
        <v>1802</v>
      </c>
      <c r="BH48" t="s">
        <v>2715</v>
      </c>
      <c r="BK48">
        <v>0</v>
      </c>
      <c r="BL48">
        <v>0</v>
      </c>
      <c r="BM48" t="s">
        <v>2847</v>
      </c>
    </row>
    <row r="49" spans="1:65" ht="14.4" customHeight="1" x14ac:dyDescent="0.3">
      <c r="A49">
        <v>1590</v>
      </c>
      <c r="B49" t="s">
        <v>61</v>
      </c>
      <c r="C49" t="s">
        <v>62</v>
      </c>
      <c r="D49">
        <v>29</v>
      </c>
      <c r="E49" t="s">
        <v>184</v>
      </c>
      <c r="F49">
        <v>39</v>
      </c>
      <c r="G49" t="s">
        <v>2763</v>
      </c>
      <c r="H49">
        <v>1590</v>
      </c>
      <c r="I49">
        <v>1</v>
      </c>
      <c r="J49" t="s">
        <v>1803</v>
      </c>
      <c r="K49" s="5">
        <v>45866</v>
      </c>
      <c r="L49" s="5">
        <v>46235</v>
      </c>
      <c r="M49">
        <v>20000</v>
      </c>
      <c r="N49">
        <v>21068.16</v>
      </c>
      <c r="O49">
        <v>0</v>
      </c>
      <c r="P49">
        <v>12</v>
      </c>
      <c r="Q49" t="s">
        <v>68</v>
      </c>
      <c r="R49">
        <v>3364.19</v>
      </c>
      <c r="S49">
        <v>696</v>
      </c>
      <c r="T49">
        <v>0</v>
      </c>
      <c r="U49">
        <v>0</v>
      </c>
      <c r="V49">
        <v>0</v>
      </c>
      <c r="W49">
        <v>17556.8</v>
      </c>
      <c r="X49">
        <v>0</v>
      </c>
      <c r="Y49">
        <v>0</v>
      </c>
      <c r="Z49">
        <v>0</v>
      </c>
      <c r="AA49">
        <v>0</v>
      </c>
      <c r="AB49">
        <v>0</v>
      </c>
      <c r="AC49">
        <v>3364.19</v>
      </c>
      <c r="AD49" s="5">
        <v>45931</v>
      </c>
      <c r="AE49" t="s">
        <v>69</v>
      </c>
      <c r="AF49">
        <v>7226129557</v>
      </c>
      <c r="AG49" t="s">
        <v>1804</v>
      </c>
      <c r="AI49" t="s">
        <v>151</v>
      </c>
      <c r="AJ49">
        <v>8611015</v>
      </c>
      <c r="AK49" t="s">
        <v>1805</v>
      </c>
      <c r="AL49">
        <v>7226129557</v>
      </c>
      <c r="AM49" t="s">
        <v>1806</v>
      </c>
      <c r="AN49">
        <v>7226743133</v>
      </c>
      <c r="AO49" t="s">
        <v>1807</v>
      </c>
      <c r="AP49">
        <v>7225645850</v>
      </c>
      <c r="AQ49" t="s">
        <v>1808</v>
      </c>
      <c r="AR49">
        <v>7203553245</v>
      </c>
      <c r="AY49">
        <v>33061.1</v>
      </c>
      <c r="AZ49">
        <v>0.81</v>
      </c>
      <c r="BA49">
        <v>1</v>
      </c>
      <c r="BB49" t="s">
        <v>1044</v>
      </c>
      <c r="BC49" t="s">
        <v>1809</v>
      </c>
      <c r="BD49" t="s">
        <v>339</v>
      </c>
      <c r="BE49" t="s">
        <v>74</v>
      </c>
      <c r="BF49" t="s">
        <v>75</v>
      </c>
      <c r="BG49" t="s">
        <v>1810</v>
      </c>
      <c r="BH49" t="s">
        <v>2715</v>
      </c>
      <c r="BK49">
        <v>0</v>
      </c>
      <c r="BL49">
        <v>0</v>
      </c>
      <c r="BM49" t="s">
        <v>2847</v>
      </c>
    </row>
    <row r="50" spans="1:65" ht="14.4" customHeight="1" x14ac:dyDescent="0.3">
      <c r="A50">
        <v>1361</v>
      </c>
      <c r="B50" t="s">
        <v>61</v>
      </c>
      <c r="C50" t="s">
        <v>62</v>
      </c>
      <c r="D50">
        <v>29</v>
      </c>
      <c r="E50" t="s">
        <v>184</v>
      </c>
      <c r="F50">
        <v>39</v>
      </c>
      <c r="G50" t="s">
        <v>2763</v>
      </c>
      <c r="H50">
        <v>1361</v>
      </c>
      <c r="I50">
        <v>1</v>
      </c>
      <c r="J50" t="s">
        <v>1038</v>
      </c>
      <c r="K50" s="5">
        <v>45810</v>
      </c>
      <c r="L50" s="5">
        <v>45993</v>
      </c>
      <c r="M50">
        <v>7000</v>
      </c>
      <c r="N50">
        <v>7373.85</v>
      </c>
      <c r="O50">
        <v>0</v>
      </c>
      <c r="P50">
        <v>6</v>
      </c>
      <c r="Q50" t="s">
        <v>68</v>
      </c>
      <c r="R50">
        <v>1825.24</v>
      </c>
      <c r="S50">
        <v>348</v>
      </c>
      <c r="T50">
        <v>0</v>
      </c>
      <c r="U50">
        <v>0</v>
      </c>
      <c r="V50">
        <v>0</v>
      </c>
      <c r="W50">
        <v>2457.96</v>
      </c>
      <c r="X50">
        <v>0.01</v>
      </c>
      <c r="Y50">
        <v>0.01</v>
      </c>
      <c r="Z50">
        <v>0</v>
      </c>
      <c r="AA50">
        <v>0</v>
      </c>
      <c r="AB50">
        <v>0</v>
      </c>
      <c r="AC50">
        <v>1825.24</v>
      </c>
      <c r="AD50" s="5">
        <v>45932</v>
      </c>
      <c r="AE50" t="s">
        <v>69</v>
      </c>
      <c r="AF50">
        <v>7291110998</v>
      </c>
      <c r="AG50" t="s">
        <v>1039</v>
      </c>
      <c r="AI50" t="s">
        <v>86</v>
      </c>
      <c r="AJ50">
        <v>8711021</v>
      </c>
      <c r="AK50" t="s">
        <v>1040</v>
      </c>
      <c r="AL50">
        <v>7122030101</v>
      </c>
      <c r="AM50" t="s">
        <v>1041</v>
      </c>
      <c r="AN50">
        <v>7226016996</v>
      </c>
      <c r="AO50" t="s">
        <v>1042</v>
      </c>
      <c r="AP50">
        <v>7224062725</v>
      </c>
      <c r="AQ50" t="s">
        <v>1043</v>
      </c>
      <c r="AR50">
        <v>7229808240</v>
      </c>
      <c r="AY50">
        <v>3534.4900000000002</v>
      </c>
      <c r="AZ50">
        <v>0</v>
      </c>
      <c r="BA50">
        <v>1</v>
      </c>
      <c r="BB50" t="s">
        <v>1044</v>
      </c>
      <c r="BC50" t="s">
        <v>2879</v>
      </c>
      <c r="BD50" t="s">
        <v>341</v>
      </c>
      <c r="BE50" t="s">
        <v>74</v>
      </c>
      <c r="BF50" t="s">
        <v>75</v>
      </c>
      <c r="BH50" t="s">
        <v>2715</v>
      </c>
      <c r="BK50">
        <v>0</v>
      </c>
      <c r="BL50">
        <v>0</v>
      </c>
      <c r="BM50" t="s">
        <v>2847</v>
      </c>
    </row>
    <row r="51" spans="1:65" ht="14.4" customHeight="1" x14ac:dyDescent="0.3">
      <c r="A51">
        <v>1464</v>
      </c>
      <c r="B51" t="s">
        <v>61</v>
      </c>
      <c r="C51" t="s">
        <v>62</v>
      </c>
      <c r="D51">
        <v>29</v>
      </c>
      <c r="E51" t="s">
        <v>184</v>
      </c>
      <c r="F51">
        <v>39</v>
      </c>
      <c r="G51" t="s">
        <v>2763</v>
      </c>
      <c r="H51">
        <v>1464</v>
      </c>
      <c r="I51">
        <v>1</v>
      </c>
      <c r="J51" t="s">
        <v>1571</v>
      </c>
      <c r="K51" s="5">
        <v>45840</v>
      </c>
      <c r="L51" s="5">
        <v>46008</v>
      </c>
      <c r="M51">
        <v>5000</v>
      </c>
      <c r="N51">
        <v>5267.04</v>
      </c>
      <c r="O51">
        <v>0</v>
      </c>
      <c r="P51">
        <v>12</v>
      </c>
      <c r="Q51" t="s">
        <v>496</v>
      </c>
      <c r="R51">
        <v>673.4</v>
      </c>
      <c r="S51">
        <v>696</v>
      </c>
      <c r="T51">
        <v>0</v>
      </c>
      <c r="U51">
        <v>7</v>
      </c>
      <c r="V51">
        <v>0</v>
      </c>
      <c r="W51">
        <v>2194.61</v>
      </c>
      <c r="X51">
        <v>0.01</v>
      </c>
      <c r="Y51">
        <v>0.01</v>
      </c>
      <c r="Z51">
        <v>0</v>
      </c>
      <c r="AA51">
        <v>0</v>
      </c>
      <c r="AB51">
        <v>0</v>
      </c>
      <c r="AC51">
        <v>673.4</v>
      </c>
      <c r="AD51" s="5">
        <v>45938</v>
      </c>
      <c r="AE51" t="s">
        <v>69</v>
      </c>
      <c r="AF51">
        <v>7202840539</v>
      </c>
      <c r="AG51" t="s">
        <v>3059</v>
      </c>
      <c r="AI51" t="s">
        <v>192</v>
      </c>
      <c r="AJ51">
        <v>9501009</v>
      </c>
      <c r="AK51" t="s">
        <v>1572</v>
      </c>
      <c r="AL51">
        <v>7202840539</v>
      </c>
      <c r="AM51" t="s">
        <v>1573</v>
      </c>
      <c r="AN51">
        <v>7202842005</v>
      </c>
      <c r="AO51" t="s">
        <v>1574</v>
      </c>
      <c r="AP51">
        <v>7227988049</v>
      </c>
      <c r="AQ51" t="s">
        <v>1575</v>
      </c>
      <c r="AR51">
        <v>7225543417</v>
      </c>
      <c r="AY51">
        <v>3077.01</v>
      </c>
      <c r="AZ51">
        <v>0</v>
      </c>
      <c r="BA51">
        <v>1</v>
      </c>
      <c r="BB51" t="s">
        <v>1044</v>
      </c>
      <c r="BC51" t="s">
        <v>2949</v>
      </c>
      <c r="BD51" t="s">
        <v>125</v>
      </c>
      <c r="BE51" t="s">
        <v>74</v>
      </c>
      <c r="BF51" t="s">
        <v>75</v>
      </c>
      <c r="BG51" t="s">
        <v>2592</v>
      </c>
      <c r="BH51" t="s">
        <v>2715</v>
      </c>
      <c r="BK51">
        <v>0</v>
      </c>
      <c r="BL51">
        <v>0</v>
      </c>
      <c r="BM51" t="s">
        <v>2847</v>
      </c>
    </row>
    <row r="52" spans="1:65" ht="14.4" customHeight="1" x14ac:dyDescent="0.3">
      <c r="A52">
        <v>1625</v>
      </c>
      <c r="B52" t="s">
        <v>61</v>
      </c>
      <c r="C52" t="s">
        <v>62</v>
      </c>
      <c r="D52">
        <v>29</v>
      </c>
      <c r="E52" t="s">
        <v>184</v>
      </c>
      <c r="F52">
        <v>39</v>
      </c>
      <c r="G52" t="s">
        <v>2763</v>
      </c>
      <c r="H52">
        <v>1625</v>
      </c>
      <c r="I52">
        <v>1</v>
      </c>
      <c r="J52" t="s">
        <v>2554</v>
      </c>
      <c r="K52" s="5">
        <v>45873</v>
      </c>
      <c r="L52" s="5">
        <v>46238</v>
      </c>
      <c r="M52">
        <v>20000</v>
      </c>
      <c r="N52">
        <v>21068.16</v>
      </c>
      <c r="O52">
        <v>0</v>
      </c>
      <c r="P52">
        <v>12</v>
      </c>
      <c r="Q52" t="s">
        <v>68</v>
      </c>
      <c r="R52">
        <v>3347.38</v>
      </c>
      <c r="S52">
        <v>696</v>
      </c>
      <c r="T52">
        <v>0</v>
      </c>
      <c r="U52">
        <v>0</v>
      </c>
      <c r="V52">
        <v>0</v>
      </c>
      <c r="W52">
        <v>17556.810000000001</v>
      </c>
      <c r="X52">
        <v>0.01</v>
      </c>
      <c r="Y52">
        <v>0.01</v>
      </c>
      <c r="Z52">
        <v>0</v>
      </c>
      <c r="AA52">
        <v>0</v>
      </c>
      <c r="AB52">
        <v>0</v>
      </c>
      <c r="AC52">
        <v>3347.38</v>
      </c>
      <c r="AD52" s="5">
        <v>45933</v>
      </c>
      <c r="AE52" t="s">
        <v>69</v>
      </c>
      <c r="AF52">
        <v>7227910953</v>
      </c>
      <c r="AG52" t="s">
        <v>2556</v>
      </c>
      <c r="AI52" t="s">
        <v>2557</v>
      </c>
      <c r="AJ52">
        <v>9502007</v>
      </c>
      <c r="AM52" t="s">
        <v>2559</v>
      </c>
      <c r="AN52">
        <v>7221395058</v>
      </c>
      <c r="AO52" t="s">
        <v>2561</v>
      </c>
      <c r="AP52">
        <v>7261173471</v>
      </c>
      <c r="AQ52" t="s">
        <v>2563</v>
      </c>
      <c r="AR52">
        <v>7292850674</v>
      </c>
      <c r="AY52">
        <v>32893.840000000004</v>
      </c>
      <c r="AZ52">
        <v>0</v>
      </c>
      <c r="BA52">
        <v>1</v>
      </c>
      <c r="BB52" t="s">
        <v>1044</v>
      </c>
      <c r="BC52" t="s">
        <v>2953</v>
      </c>
      <c r="BD52" t="s">
        <v>88</v>
      </c>
      <c r="BE52" t="s">
        <v>74</v>
      </c>
      <c r="BF52" t="s">
        <v>75</v>
      </c>
      <c r="BG52" t="s">
        <v>2565</v>
      </c>
      <c r="BH52" t="s">
        <v>2715</v>
      </c>
      <c r="BK52">
        <v>0</v>
      </c>
      <c r="BL52">
        <v>0</v>
      </c>
      <c r="BM52" t="s">
        <v>2847</v>
      </c>
    </row>
    <row r="53" spans="1:65" ht="14.4" customHeight="1" x14ac:dyDescent="0.3">
      <c r="A53">
        <v>1459</v>
      </c>
      <c r="B53" t="s">
        <v>61</v>
      </c>
      <c r="C53" t="s">
        <v>62</v>
      </c>
      <c r="D53">
        <v>40</v>
      </c>
      <c r="E53" t="s">
        <v>617</v>
      </c>
      <c r="F53">
        <v>39</v>
      </c>
      <c r="G53" t="s">
        <v>2763</v>
      </c>
      <c r="H53">
        <v>1459</v>
      </c>
      <c r="I53">
        <v>1</v>
      </c>
      <c r="J53" t="s">
        <v>1451</v>
      </c>
      <c r="K53" s="5">
        <v>45839</v>
      </c>
      <c r="L53" s="5">
        <v>45962</v>
      </c>
      <c r="M53">
        <v>15000</v>
      </c>
      <c r="N53">
        <v>15801.12</v>
      </c>
      <c r="O53">
        <v>0</v>
      </c>
      <c r="P53">
        <v>4</v>
      </c>
      <c r="Q53" t="s">
        <v>68</v>
      </c>
      <c r="R53">
        <v>5171.16</v>
      </c>
      <c r="S53">
        <v>232</v>
      </c>
      <c r="T53">
        <v>0</v>
      </c>
      <c r="U53">
        <v>0</v>
      </c>
      <c r="V53">
        <v>0</v>
      </c>
      <c r="W53">
        <v>3950.28</v>
      </c>
      <c r="X53">
        <v>0</v>
      </c>
      <c r="Y53">
        <v>0</v>
      </c>
      <c r="Z53">
        <v>0</v>
      </c>
      <c r="AA53">
        <v>0</v>
      </c>
      <c r="AB53">
        <v>0</v>
      </c>
      <c r="AC53">
        <v>5200</v>
      </c>
      <c r="AD53" s="5">
        <v>45931</v>
      </c>
      <c r="AE53" t="s">
        <v>69</v>
      </c>
      <c r="AF53">
        <v>7223140548</v>
      </c>
      <c r="AG53" t="s">
        <v>1452</v>
      </c>
      <c r="AI53" t="s">
        <v>464</v>
      </c>
      <c r="AJ53">
        <v>9411998</v>
      </c>
      <c r="AM53" t="s">
        <v>1453</v>
      </c>
      <c r="AN53">
        <v>5585573256</v>
      </c>
      <c r="AO53" t="s">
        <v>1454</v>
      </c>
      <c r="AP53">
        <v>7292310655</v>
      </c>
      <c r="AQ53" t="s">
        <v>1455</v>
      </c>
      <c r="AR53">
        <v>7221722691</v>
      </c>
      <c r="AY53">
        <v>5026.6500000000005</v>
      </c>
      <c r="AZ53">
        <v>86.51</v>
      </c>
      <c r="BA53">
        <v>1</v>
      </c>
      <c r="BB53" t="s">
        <v>1044</v>
      </c>
      <c r="BC53" t="s">
        <v>2945</v>
      </c>
      <c r="BD53" t="s">
        <v>88</v>
      </c>
      <c r="BE53" t="s">
        <v>74</v>
      </c>
      <c r="BF53" t="s">
        <v>75</v>
      </c>
      <c r="BG53" t="s">
        <v>1456</v>
      </c>
      <c r="BH53" t="s">
        <v>2715</v>
      </c>
      <c r="BK53">
        <v>0</v>
      </c>
      <c r="BL53">
        <v>0</v>
      </c>
      <c r="BM53" t="s">
        <v>2847</v>
      </c>
    </row>
    <row r="54" spans="1:65" ht="14.4" customHeight="1" x14ac:dyDescent="0.3">
      <c r="A54">
        <v>1452</v>
      </c>
      <c r="B54" t="s">
        <v>61</v>
      </c>
      <c r="C54" t="s">
        <v>62</v>
      </c>
      <c r="D54">
        <v>40</v>
      </c>
      <c r="E54" t="s">
        <v>617</v>
      </c>
      <c r="F54">
        <v>39</v>
      </c>
      <c r="G54" t="s">
        <v>2763</v>
      </c>
      <c r="H54">
        <v>1452</v>
      </c>
      <c r="I54">
        <v>1</v>
      </c>
      <c r="J54" t="s">
        <v>1379</v>
      </c>
      <c r="K54" s="5">
        <v>45839</v>
      </c>
      <c r="L54" s="5">
        <v>46023</v>
      </c>
      <c r="M54">
        <v>5000</v>
      </c>
      <c r="N54">
        <v>5267.04</v>
      </c>
      <c r="O54">
        <v>0</v>
      </c>
      <c r="P54">
        <v>6</v>
      </c>
      <c r="Q54" t="s">
        <v>68</v>
      </c>
      <c r="R54">
        <v>1322.42</v>
      </c>
      <c r="S54">
        <v>348</v>
      </c>
      <c r="T54">
        <v>0</v>
      </c>
      <c r="U54">
        <v>0</v>
      </c>
      <c r="V54">
        <v>0</v>
      </c>
      <c r="W54">
        <v>2633.52</v>
      </c>
      <c r="X54">
        <v>0</v>
      </c>
      <c r="Y54">
        <v>0</v>
      </c>
      <c r="Z54">
        <v>0</v>
      </c>
      <c r="AA54">
        <v>0</v>
      </c>
      <c r="AB54">
        <v>0</v>
      </c>
      <c r="AC54">
        <v>1322.42</v>
      </c>
      <c r="AD54" s="5">
        <v>45931</v>
      </c>
      <c r="AE54" t="s">
        <v>69</v>
      </c>
      <c r="AF54">
        <v>7223152459</v>
      </c>
      <c r="AG54" t="s">
        <v>1380</v>
      </c>
      <c r="AI54" t="s">
        <v>1381</v>
      </c>
      <c r="AJ54">
        <v>6226022</v>
      </c>
      <c r="AK54" t="s">
        <v>1382</v>
      </c>
      <c r="AL54">
        <v>7223152459</v>
      </c>
      <c r="AM54" t="s">
        <v>1383</v>
      </c>
      <c r="AN54">
        <v>7225026667</v>
      </c>
      <c r="AO54" t="s">
        <v>1384</v>
      </c>
      <c r="AP54">
        <v>2720357473</v>
      </c>
      <c r="AQ54" t="s">
        <v>1385</v>
      </c>
      <c r="AR54">
        <v>7293117504</v>
      </c>
      <c r="AY54">
        <v>3765.66</v>
      </c>
      <c r="AZ54">
        <v>27.59</v>
      </c>
      <c r="BA54">
        <v>1</v>
      </c>
      <c r="BB54" t="s">
        <v>1044</v>
      </c>
      <c r="BC54" t="s">
        <v>3004</v>
      </c>
      <c r="BD54" t="s">
        <v>1583</v>
      </c>
      <c r="BE54" t="s">
        <v>74</v>
      </c>
      <c r="BF54" t="s">
        <v>338</v>
      </c>
      <c r="BG54" t="s">
        <v>1386</v>
      </c>
      <c r="BH54" t="s">
        <v>2715</v>
      </c>
      <c r="BK54">
        <v>0</v>
      </c>
      <c r="BL54">
        <v>0</v>
      </c>
      <c r="BM54" t="s">
        <v>2847</v>
      </c>
    </row>
    <row r="55" spans="1:65" ht="14.4" customHeight="1" x14ac:dyDescent="0.3">
      <c r="A55">
        <v>1309</v>
      </c>
      <c r="B55" t="s">
        <v>61</v>
      </c>
      <c r="C55" t="s">
        <v>62</v>
      </c>
      <c r="D55">
        <v>37</v>
      </c>
      <c r="E55" t="s">
        <v>409</v>
      </c>
      <c r="F55">
        <v>39</v>
      </c>
      <c r="G55" t="s">
        <v>2763</v>
      </c>
      <c r="H55">
        <v>1309</v>
      </c>
      <c r="I55">
        <v>1</v>
      </c>
      <c r="J55" t="s">
        <v>553</v>
      </c>
      <c r="K55" s="5">
        <v>45786</v>
      </c>
      <c r="L55" s="5">
        <v>45970</v>
      </c>
      <c r="M55">
        <v>7000</v>
      </c>
      <c r="N55">
        <v>7373.85</v>
      </c>
      <c r="O55">
        <v>0</v>
      </c>
      <c r="P55">
        <v>6</v>
      </c>
      <c r="Q55" t="s">
        <v>68</v>
      </c>
      <c r="R55">
        <v>1828.18</v>
      </c>
      <c r="S55">
        <v>348</v>
      </c>
      <c r="T55">
        <v>0</v>
      </c>
      <c r="U55">
        <v>0</v>
      </c>
      <c r="V55">
        <v>0</v>
      </c>
      <c r="W55">
        <v>1228.97</v>
      </c>
      <c r="X55">
        <v>0</v>
      </c>
      <c r="Y55">
        <v>0</v>
      </c>
      <c r="Z55">
        <v>0</v>
      </c>
      <c r="AA55">
        <v>0</v>
      </c>
      <c r="AB55">
        <v>0</v>
      </c>
      <c r="AC55">
        <v>1830</v>
      </c>
      <c r="AD55" s="5">
        <v>45939</v>
      </c>
      <c r="AE55" t="s">
        <v>69</v>
      </c>
      <c r="AF55">
        <v>7293313439</v>
      </c>
      <c r="AG55" t="s">
        <v>554</v>
      </c>
      <c r="AI55" t="s">
        <v>565</v>
      </c>
      <c r="AJ55">
        <v>6132055</v>
      </c>
      <c r="AM55" t="s">
        <v>754</v>
      </c>
      <c r="AN55">
        <v>5529013258</v>
      </c>
      <c r="AO55" t="s">
        <v>752</v>
      </c>
      <c r="AP55">
        <v>7229335832</v>
      </c>
      <c r="AQ55" t="s">
        <v>753</v>
      </c>
      <c r="AR55">
        <v>7293508715</v>
      </c>
      <c r="AY55">
        <v>1761.1000000000001</v>
      </c>
      <c r="AZ55">
        <v>9.0859133333333304</v>
      </c>
      <c r="BA55">
        <v>1</v>
      </c>
      <c r="BB55" t="s">
        <v>1044</v>
      </c>
      <c r="BC55" t="s">
        <v>2990</v>
      </c>
      <c r="BD55" t="s">
        <v>337</v>
      </c>
      <c r="BE55" t="s">
        <v>74</v>
      </c>
      <c r="BF55" t="s">
        <v>338</v>
      </c>
      <c r="BH55" t="s">
        <v>2715</v>
      </c>
      <c r="BK55">
        <v>0</v>
      </c>
      <c r="BL55">
        <v>0</v>
      </c>
      <c r="BM55" t="s">
        <v>2847</v>
      </c>
    </row>
    <row r="56" spans="1:65" ht="14.4" customHeight="1" x14ac:dyDescent="0.3">
      <c r="A56">
        <v>1335</v>
      </c>
      <c r="B56" t="s">
        <v>61</v>
      </c>
      <c r="C56" t="s">
        <v>62</v>
      </c>
      <c r="D56">
        <v>40</v>
      </c>
      <c r="E56" t="s">
        <v>617</v>
      </c>
      <c r="F56">
        <v>39</v>
      </c>
      <c r="G56" t="s">
        <v>2763</v>
      </c>
      <c r="H56">
        <v>1335</v>
      </c>
      <c r="I56">
        <v>1</v>
      </c>
      <c r="J56" t="s">
        <v>620</v>
      </c>
      <c r="K56" s="5">
        <v>45800</v>
      </c>
      <c r="L56" s="5">
        <v>46165</v>
      </c>
      <c r="M56">
        <v>10000</v>
      </c>
      <c r="N56">
        <v>10534.08</v>
      </c>
      <c r="O56">
        <v>0</v>
      </c>
      <c r="P56">
        <v>12</v>
      </c>
      <c r="Q56" t="s">
        <v>68</v>
      </c>
      <c r="R56">
        <v>1702.69</v>
      </c>
      <c r="S56">
        <v>696</v>
      </c>
      <c r="T56">
        <v>0</v>
      </c>
      <c r="U56">
        <v>0</v>
      </c>
      <c r="V56">
        <v>0</v>
      </c>
      <c r="W56">
        <v>7022.7300000000005</v>
      </c>
      <c r="X56">
        <v>0.01</v>
      </c>
      <c r="Y56">
        <v>0.01</v>
      </c>
      <c r="Z56">
        <v>0</v>
      </c>
      <c r="AA56">
        <v>0</v>
      </c>
      <c r="AB56">
        <v>0</v>
      </c>
      <c r="AC56">
        <v>1702.69</v>
      </c>
      <c r="AD56" s="5">
        <v>45923</v>
      </c>
      <c r="AE56" t="s">
        <v>69</v>
      </c>
      <c r="AF56">
        <v>7224934875</v>
      </c>
      <c r="AG56" t="s">
        <v>621</v>
      </c>
      <c r="AI56" t="s">
        <v>622</v>
      </c>
      <c r="AJ56">
        <v>4221016</v>
      </c>
      <c r="AM56" t="s">
        <v>780</v>
      </c>
      <c r="AN56">
        <v>7361117698</v>
      </c>
      <c r="AO56" t="s">
        <v>778</v>
      </c>
      <c r="AP56">
        <v>5579318315</v>
      </c>
      <c r="AQ56" t="s">
        <v>779</v>
      </c>
      <c r="AR56">
        <v>7121769075</v>
      </c>
      <c r="AY56">
        <v>13157.54</v>
      </c>
      <c r="AZ56">
        <v>0</v>
      </c>
      <c r="BA56">
        <v>1</v>
      </c>
      <c r="BB56" t="s">
        <v>1044</v>
      </c>
      <c r="BC56" t="s">
        <v>2975</v>
      </c>
      <c r="BD56" t="s">
        <v>85</v>
      </c>
      <c r="BE56" t="s">
        <v>74</v>
      </c>
      <c r="BF56" t="s">
        <v>75</v>
      </c>
      <c r="BH56" t="s">
        <v>2715</v>
      </c>
      <c r="BK56">
        <v>0</v>
      </c>
      <c r="BL56">
        <v>0</v>
      </c>
      <c r="BM56" t="s">
        <v>2847</v>
      </c>
    </row>
    <row r="57" spans="1:65" ht="14.4" customHeight="1" x14ac:dyDescent="0.3">
      <c r="A57">
        <v>1296</v>
      </c>
      <c r="B57" t="s">
        <v>61</v>
      </c>
      <c r="C57" t="s">
        <v>62</v>
      </c>
      <c r="D57">
        <v>37</v>
      </c>
      <c r="E57" t="s">
        <v>409</v>
      </c>
      <c r="F57">
        <v>39</v>
      </c>
      <c r="G57" t="s">
        <v>2763</v>
      </c>
      <c r="H57">
        <v>1296</v>
      </c>
      <c r="I57">
        <v>1</v>
      </c>
      <c r="J57" t="s">
        <v>530</v>
      </c>
      <c r="K57" s="5">
        <v>45784</v>
      </c>
      <c r="L57" s="5">
        <v>46149</v>
      </c>
      <c r="M57">
        <v>10000</v>
      </c>
      <c r="N57">
        <v>10534.08</v>
      </c>
      <c r="O57">
        <v>0</v>
      </c>
      <c r="P57">
        <v>12</v>
      </c>
      <c r="Q57" t="s">
        <v>68</v>
      </c>
      <c r="R57">
        <v>1702.69</v>
      </c>
      <c r="S57">
        <v>696</v>
      </c>
      <c r="T57">
        <v>0</v>
      </c>
      <c r="U57">
        <v>0</v>
      </c>
      <c r="V57">
        <v>0</v>
      </c>
      <c r="W57">
        <v>6144.88</v>
      </c>
      <c r="X57">
        <v>0</v>
      </c>
      <c r="Y57">
        <v>0</v>
      </c>
      <c r="Z57">
        <v>0</v>
      </c>
      <c r="AA57">
        <v>0</v>
      </c>
      <c r="AB57">
        <v>0</v>
      </c>
      <c r="AC57">
        <v>1702.69</v>
      </c>
      <c r="AD57" s="5">
        <v>45936</v>
      </c>
      <c r="AE57" t="s">
        <v>69</v>
      </c>
      <c r="AF57">
        <v>7222412758</v>
      </c>
      <c r="AG57">
        <v>7222412758</v>
      </c>
      <c r="AI57" t="s">
        <v>555</v>
      </c>
      <c r="AJ57">
        <v>9119018</v>
      </c>
      <c r="AM57" t="s">
        <v>760</v>
      </c>
      <c r="AN57">
        <v>7225123777</v>
      </c>
      <c r="AO57" t="s">
        <v>758</v>
      </c>
      <c r="AP57">
        <v>7223819132</v>
      </c>
      <c r="AQ57" t="s">
        <v>759</v>
      </c>
      <c r="AR57">
        <v>7224135274</v>
      </c>
      <c r="AY57">
        <v>11512.53</v>
      </c>
      <c r="AZ57">
        <v>0.311186666666667</v>
      </c>
      <c r="BA57">
        <v>1</v>
      </c>
      <c r="BB57" t="s">
        <v>1044</v>
      </c>
      <c r="BC57" t="s">
        <v>2941</v>
      </c>
      <c r="BD57" t="s">
        <v>88</v>
      </c>
      <c r="BE57" t="s">
        <v>74</v>
      </c>
      <c r="BF57" t="s">
        <v>75</v>
      </c>
      <c r="BH57" t="s">
        <v>2715</v>
      </c>
      <c r="BK57">
        <v>2</v>
      </c>
      <c r="BL57">
        <v>2</v>
      </c>
      <c r="BM57" t="s">
        <v>2847</v>
      </c>
    </row>
    <row r="58" spans="1:65" ht="14.4" customHeight="1" x14ac:dyDescent="0.3">
      <c r="A58">
        <v>1251</v>
      </c>
      <c r="B58" t="s">
        <v>61</v>
      </c>
      <c r="C58" t="s">
        <v>62</v>
      </c>
      <c r="D58">
        <v>37</v>
      </c>
      <c r="E58" t="s">
        <v>409</v>
      </c>
      <c r="F58">
        <v>39</v>
      </c>
      <c r="G58" t="s">
        <v>2763</v>
      </c>
      <c r="H58">
        <v>1251</v>
      </c>
      <c r="I58">
        <v>1</v>
      </c>
      <c r="J58" t="s">
        <v>395</v>
      </c>
      <c r="K58" s="5">
        <v>45763</v>
      </c>
      <c r="L58" s="5">
        <v>46128</v>
      </c>
      <c r="M58">
        <v>12000</v>
      </c>
      <c r="N58">
        <v>12640.89</v>
      </c>
      <c r="O58">
        <v>0</v>
      </c>
      <c r="P58">
        <v>12</v>
      </c>
      <c r="Q58" t="s">
        <v>68</v>
      </c>
      <c r="R58">
        <v>2031.63</v>
      </c>
      <c r="S58">
        <v>696</v>
      </c>
      <c r="T58">
        <v>0</v>
      </c>
      <c r="U58">
        <v>0</v>
      </c>
      <c r="V58">
        <v>0</v>
      </c>
      <c r="W58">
        <v>7373.85</v>
      </c>
      <c r="X58">
        <v>0</v>
      </c>
      <c r="Y58">
        <v>0</v>
      </c>
      <c r="Z58">
        <v>0</v>
      </c>
      <c r="AA58">
        <v>0</v>
      </c>
      <c r="AB58">
        <v>0</v>
      </c>
      <c r="AC58">
        <v>2612</v>
      </c>
      <c r="AD58" s="5">
        <v>45930</v>
      </c>
      <c r="AE58" t="s">
        <v>69</v>
      </c>
      <c r="AF58">
        <v>7221087019</v>
      </c>
      <c r="AG58" t="s">
        <v>396</v>
      </c>
      <c r="AI58" t="s">
        <v>397</v>
      </c>
      <c r="AJ58">
        <v>8934011</v>
      </c>
      <c r="AM58" t="s">
        <v>766</v>
      </c>
      <c r="AN58">
        <v>7221491699</v>
      </c>
      <c r="AO58" t="s">
        <v>764</v>
      </c>
      <c r="AP58">
        <v>7226929434</v>
      </c>
      <c r="AQ58" t="s">
        <v>765</v>
      </c>
      <c r="AR58">
        <v>7261022128</v>
      </c>
      <c r="AY58">
        <v>13811.550000000001</v>
      </c>
      <c r="AZ58">
        <v>3.8541079166666701</v>
      </c>
      <c r="BA58">
        <v>1</v>
      </c>
      <c r="BB58" t="s">
        <v>1044</v>
      </c>
      <c r="BC58" t="s">
        <v>2905</v>
      </c>
      <c r="BD58" t="s">
        <v>97</v>
      </c>
      <c r="BE58" t="s">
        <v>74</v>
      </c>
      <c r="BF58" t="s">
        <v>75</v>
      </c>
      <c r="BH58" t="s">
        <v>2715</v>
      </c>
      <c r="BK58">
        <v>5</v>
      </c>
      <c r="BL58">
        <v>5</v>
      </c>
      <c r="BM58" t="s">
        <v>2847</v>
      </c>
    </row>
    <row r="59" spans="1:65" ht="14.4" customHeight="1" x14ac:dyDescent="0.3">
      <c r="A59">
        <v>1258</v>
      </c>
      <c r="B59" t="s">
        <v>61</v>
      </c>
      <c r="C59" t="s">
        <v>62</v>
      </c>
      <c r="D59">
        <v>37</v>
      </c>
      <c r="E59" t="s">
        <v>409</v>
      </c>
      <c r="F59">
        <v>39</v>
      </c>
      <c r="G59" t="s">
        <v>2763</v>
      </c>
      <c r="H59">
        <v>1258</v>
      </c>
      <c r="I59">
        <v>1</v>
      </c>
      <c r="J59" t="s">
        <v>421</v>
      </c>
      <c r="K59" s="5">
        <v>45772</v>
      </c>
      <c r="L59" s="5">
        <v>46137</v>
      </c>
      <c r="M59">
        <v>10000</v>
      </c>
      <c r="N59">
        <v>10534.08</v>
      </c>
      <c r="O59">
        <v>0</v>
      </c>
      <c r="P59">
        <v>12</v>
      </c>
      <c r="Q59" t="s">
        <v>68</v>
      </c>
      <c r="R59">
        <v>1702.69</v>
      </c>
      <c r="S59">
        <v>696</v>
      </c>
      <c r="T59">
        <v>0</v>
      </c>
      <c r="U59">
        <v>0</v>
      </c>
      <c r="V59">
        <v>0</v>
      </c>
      <c r="W59">
        <v>6144.89</v>
      </c>
      <c r="X59">
        <v>0.01</v>
      </c>
      <c r="Y59">
        <v>0.01</v>
      </c>
      <c r="Z59">
        <v>0</v>
      </c>
      <c r="AA59">
        <v>0</v>
      </c>
      <c r="AB59">
        <v>0</v>
      </c>
      <c r="AC59">
        <v>1702.69</v>
      </c>
      <c r="AD59" s="5">
        <v>45925</v>
      </c>
      <c r="AE59" t="s">
        <v>69</v>
      </c>
      <c r="AF59">
        <v>7291051764</v>
      </c>
      <c r="AG59" t="s">
        <v>422</v>
      </c>
      <c r="AI59" t="s">
        <v>454</v>
      </c>
      <c r="AJ59">
        <v>6112015</v>
      </c>
      <c r="AK59" t="s">
        <v>423</v>
      </c>
      <c r="AL59">
        <v>5526795882</v>
      </c>
      <c r="AM59" t="s">
        <v>769</v>
      </c>
      <c r="AN59">
        <v>5519585114</v>
      </c>
      <c r="AO59" t="s">
        <v>767</v>
      </c>
      <c r="AP59">
        <v>7291613957</v>
      </c>
      <c r="AQ59" t="s">
        <v>768</v>
      </c>
      <c r="AR59">
        <v>7225338917</v>
      </c>
      <c r="AY59">
        <v>11512.85</v>
      </c>
      <c r="AZ59">
        <v>0</v>
      </c>
      <c r="BA59">
        <v>1</v>
      </c>
      <c r="BB59" t="s">
        <v>1044</v>
      </c>
      <c r="BC59" t="s">
        <v>2977</v>
      </c>
      <c r="BD59" t="s">
        <v>424</v>
      </c>
      <c r="BE59" t="s">
        <v>74</v>
      </c>
      <c r="BF59" t="s">
        <v>338</v>
      </c>
      <c r="BH59" t="s">
        <v>2715</v>
      </c>
      <c r="BK59">
        <v>0</v>
      </c>
      <c r="BL59">
        <v>0</v>
      </c>
      <c r="BM59" t="s">
        <v>2847</v>
      </c>
    </row>
    <row r="60" spans="1:65" ht="14.4" customHeight="1" x14ac:dyDescent="0.3">
      <c r="A60">
        <v>1480</v>
      </c>
      <c r="B60" t="s">
        <v>61</v>
      </c>
      <c r="C60" t="s">
        <v>62</v>
      </c>
      <c r="D60">
        <v>40</v>
      </c>
      <c r="E60" t="s">
        <v>617</v>
      </c>
      <c r="F60">
        <v>39</v>
      </c>
      <c r="G60" t="s">
        <v>2763</v>
      </c>
      <c r="H60">
        <v>1480</v>
      </c>
      <c r="I60">
        <v>1</v>
      </c>
      <c r="J60" t="s">
        <v>1690</v>
      </c>
      <c r="K60" s="5">
        <v>45856</v>
      </c>
      <c r="L60" s="5">
        <v>46024</v>
      </c>
      <c r="M60">
        <v>5000</v>
      </c>
      <c r="N60">
        <v>5267.04</v>
      </c>
      <c r="O60">
        <v>0</v>
      </c>
      <c r="P60">
        <v>12</v>
      </c>
      <c r="Q60" t="s">
        <v>496</v>
      </c>
      <c r="R60">
        <v>673.4</v>
      </c>
      <c r="S60">
        <v>696</v>
      </c>
      <c r="T60">
        <v>0</v>
      </c>
      <c r="U60">
        <v>6</v>
      </c>
      <c r="V60">
        <v>0</v>
      </c>
      <c r="W60">
        <v>2633.53</v>
      </c>
      <c r="X60">
        <v>0.01</v>
      </c>
      <c r="Y60">
        <v>0.01</v>
      </c>
      <c r="Z60">
        <v>0</v>
      </c>
      <c r="AA60">
        <v>0</v>
      </c>
      <c r="AB60">
        <v>0</v>
      </c>
      <c r="AC60">
        <v>673.4</v>
      </c>
      <c r="AD60" s="5">
        <v>45940</v>
      </c>
      <c r="AE60" t="s">
        <v>69</v>
      </c>
      <c r="AF60">
        <v>7228502289</v>
      </c>
      <c r="AG60" t="s">
        <v>1691</v>
      </c>
      <c r="AI60" t="s">
        <v>1201</v>
      </c>
      <c r="AJ60">
        <v>8933013</v>
      </c>
      <c r="AK60" t="s">
        <v>1692</v>
      </c>
      <c r="AL60">
        <v>7228502289</v>
      </c>
      <c r="AM60" t="s">
        <v>1693</v>
      </c>
      <c r="AN60">
        <v>7222514868</v>
      </c>
      <c r="AO60" t="s">
        <v>1694</v>
      </c>
      <c r="AP60">
        <v>7221198844</v>
      </c>
      <c r="AQ60" t="s">
        <v>1695</v>
      </c>
      <c r="AR60">
        <v>5660373048</v>
      </c>
      <c r="AY60">
        <v>3692.41</v>
      </c>
      <c r="AZ60">
        <v>0</v>
      </c>
      <c r="BA60">
        <v>1</v>
      </c>
      <c r="BB60" t="s">
        <v>1044</v>
      </c>
      <c r="BC60" t="s">
        <v>2902</v>
      </c>
      <c r="BD60" t="s">
        <v>1696</v>
      </c>
      <c r="BE60" t="s">
        <v>74</v>
      </c>
      <c r="BF60" t="s">
        <v>75</v>
      </c>
      <c r="BG60" t="s">
        <v>1334</v>
      </c>
      <c r="BH60" t="s">
        <v>2715</v>
      </c>
      <c r="BK60">
        <v>0</v>
      </c>
      <c r="BL60">
        <v>0</v>
      </c>
      <c r="BM60" t="s">
        <v>2847</v>
      </c>
    </row>
    <row r="61" spans="1:65" ht="14.4" customHeight="1" x14ac:dyDescent="0.3">
      <c r="A61">
        <v>1551</v>
      </c>
      <c r="B61" t="s">
        <v>61</v>
      </c>
      <c r="C61" t="s">
        <v>62</v>
      </c>
      <c r="D61">
        <v>29</v>
      </c>
      <c r="E61" t="s">
        <v>184</v>
      </c>
      <c r="F61">
        <v>39</v>
      </c>
      <c r="G61" t="s">
        <v>2763</v>
      </c>
      <c r="H61">
        <v>1551</v>
      </c>
      <c r="I61">
        <v>1</v>
      </c>
      <c r="J61" t="s">
        <v>1697</v>
      </c>
      <c r="K61" s="5">
        <v>45856</v>
      </c>
      <c r="L61" s="5">
        <v>46221</v>
      </c>
      <c r="M61">
        <v>10000</v>
      </c>
      <c r="N61">
        <v>10534.08</v>
      </c>
      <c r="O61">
        <v>0</v>
      </c>
      <c r="P61">
        <v>12</v>
      </c>
      <c r="Q61" t="s">
        <v>68</v>
      </c>
      <c r="R61">
        <v>1702.69</v>
      </c>
      <c r="S61">
        <v>696</v>
      </c>
      <c r="T61">
        <v>0</v>
      </c>
      <c r="U61">
        <v>0</v>
      </c>
      <c r="V61">
        <v>0</v>
      </c>
      <c r="W61">
        <v>8778.4</v>
      </c>
      <c r="X61">
        <v>0</v>
      </c>
      <c r="Y61">
        <v>0</v>
      </c>
      <c r="Z61">
        <v>0</v>
      </c>
      <c r="AA61">
        <v>0</v>
      </c>
      <c r="AB61">
        <v>0</v>
      </c>
      <c r="AC61">
        <v>1702.69</v>
      </c>
      <c r="AD61" s="5">
        <v>45918</v>
      </c>
      <c r="AE61" t="s">
        <v>69</v>
      </c>
      <c r="AF61">
        <v>7223750697</v>
      </c>
      <c r="AG61" t="s">
        <v>1698</v>
      </c>
      <c r="AI61" t="s">
        <v>283</v>
      </c>
      <c r="AJ61">
        <v>8944098</v>
      </c>
      <c r="AK61" t="s">
        <v>1699</v>
      </c>
      <c r="AL61">
        <v>7223750697</v>
      </c>
      <c r="AM61" t="s">
        <v>1700</v>
      </c>
      <c r="AN61">
        <v>7226554810</v>
      </c>
      <c r="AO61" t="s">
        <v>1701</v>
      </c>
      <c r="AP61">
        <v>7226814650</v>
      </c>
      <c r="AQ61" t="s">
        <v>1702</v>
      </c>
      <c r="AR61">
        <v>7226221266</v>
      </c>
      <c r="AY61">
        <v>16446.61</v>
      </c>
      <c r="AZ61">
        <v>0.31</v>
      </c>
      <c r="BA61">
        <v>1</v>
      </c>
      <c r="BB61" t="s">
        <v>1044</v>
      </c>
      <c r="BC61" t="s">
        <v>2910</v>
      </c>
      <c r="BD61" t="s">
        <v>88</v>
      </c>
      <c r="BE61" t="s">
        <v>74</v>
      </c>
      <c r="BF61" t="s">
        <v>75</v>
      </c>
      <c r="BG61" t="s">
        <v>1703</v>
      </c>
      <c r="BH61" t="s">
        <v>2715</v>
      </c>
      <c r="BK61">
        <v>0</v>
      </c>
      <c r="BL61">
        <v>0</v>
      </c>
      <c r="BM61" t="s">
        <v>2847</v>
      </c>
    </row>
    <row r="62" spans="1:65" ht="14.4" customHeight="1" x14ac:dyDescent="0.3">
      <c r="A62">
        <v>1224</v>
      </c>
      <c r="B62" t="s">
        <v>61</v>
      </c>
      <c r="C62" t="s">
        <v>62</v>
      </c>
      <c r="D62">
        <v>29</v>
      </c>
      <c r="E62" t="s">
        <v>184</v>
      </c>
      <c r="F62">
        <v>85</v>
      </c>
      <c r="G62" t="s">
        <v>2849</v>
      </c>
      <c r="H62">
        <v>1224</v>
      </c>
      <c r="I62">
        <v>1</v>
      </c>
      <c r="J62" t="s">
        <v>352</v>
      </c>
      <c r="K62" s="5">
        <v>45740</v>
      </c>
      <c r="L62" s="5">
        <v>46105</v>
      </c>
      <c r="M62">
        <v>30000</v>
      </c>
      <c r="N62">
        <v>31602.23</v>
      </c>
      <c r="O62">
        <v>0</v>
      </c>
      <c r="P62">
        <v>12</v>
      </c>
      <c r="Q62" t="s">
        <v>68</v>
      </c>
      <c r="R62">
        <v>4412.13</v>
      </c>
      <c r="S62">
        <v>696</v>
      </c>
      <c r="T62">
        <v>0.01</v>
      </c>
      <c r="U62">
        <v>0</v>
      </c>
      <c r="V62">
        <v>0</v>
      </c>
      <c r="W62">
        <v>15801.11</v>
      </c>
      <c r="X62">
        <v>0</v>
      </c>
      <c r="Y62">
        <v>0</v>
      </c>
      <c r="Z62">
        <v>0</v>
      </c>
      <c r="AA62">
        <v>0</v>
      </c>
      <c r="AB62">
        <v>0.01</v>
      </c>
      <c r="AC62">
        <v>4992</v>
      </c>
      <c r="AD62" s="5">
        <v>45936</v>
      </c>
      <c r="AE62" t="s">
        <v>69</v>
      </c>
      <c r="AF62">
        <v>5522737345</v>
      </c>
      <c r="AG62" t="s">
        <v>354</v>
      </c>
      <c r="AI62" t="s">
        <v>89</v>
      </c>
      <c r="AJ62">
        <v>6211023</v>
      </c>
      <c r="AK62" t="s">
        <v>355</v>
      </c>
      <c r="AM62" t="s">
        <v>710</v>
      </c>
      <c r="AN62">
        <v>7228379821</v>
      </c>
      <c r="AO62" t="s">
        <v>707</v>
      </c>
      <c r="AP62">
        <v>7226752208</v>
      </c>
      <c r="AQ62" t="s">
        <v>709</v>
      </c>
      <c r="AR62">
        <v>7225943997</v>
      </c>
      <c r="AS62" t="s">
        <v>122</v>
      </c>
      <c r="AT62" t="s">
        <v>356</v>
      </c>
      <c r="AU62" t="s">
        <v>357</v>
      </c>
      <c r="AY62">
        <v>26124.55</v>
      </c>
      <c r="AZ62">
        <v>0.22651474999999999</v>
      </c>
      <c r="BA62">
        <v>1</v>
      </c>
      <c r="BB62" t="s">
        <v>1044</v>
      </c>
      <c r="BC62" t="s">
        <v>2992</v>
      </c>
      <c r="BD62" t="s">
        <v>88</v>
      </c>
      <c r="BE62" t="s">
        <v>74</v>
      </c>
      <c r="BF62" t="s">
        <v>75</v>
      </c>
      <c r="BH62" t="s">
        <v>2715</v>
      </c>
      <c r="BK62">
        <v>4</v>
      </c>
      <c r="BL62">
        <v>4</v>
      </c>
      <c r="BM62" t="s">
        <v>2847</v>
      </c>
    </row>
    <row r="63" spans="1:65" ht="14.4" customHeight="1" x14ac:dyDescent="0.3">
      <c r="A63">
        <v>1466</v>
      </c>
      <c r="B63" t="s">
        <v>61</v>
      </c>
      <c r="C63" t="s">
        <v>62</v>
      </c>
      <c r="D63">
        <v>40</v>
      </c>
      <c r="E63" t="s">
        <v>617</v>
      </c>
      <c r="F63">
        <v>85</v>
      </c>
      <c r="G63" t="s">
        <v>2849</v>
      </c>
      <c r="H63">
        <v>1466</v>
      </c>
      <c r="I63">
        <v>1</v>
      </c>
      <c r="J63" t="s">
        <v>1576</v>
      </c>
      <c r="K63" s="5">
        <v>45840</v>
      </c>
      <c r="L63" s="5">
        <v>46008</v>
      </c>
      <c r="M63">
        <v>5000</v>
      </c>
      <c r="N63">
        <v>5267.04</v>
      </c>
      <c r="O63">
        <v>0</v>
      </c>
      <c r="P63">
        <v>12</v>
      </c>
      <c r="Q63" t="s">
        <v>496</v>
      </c>
      <c r="R63">
        <v>673.4</v>
      </c>
      <c r="S63">
        <v>696</v>
      </c>
      <c r="T63">
        <v>0</v>
      </c>
      <c r="U63">
        <v>7</v>
      </c>
      <c r="V63">
        <v>0</v>
      </c>
      <c r="W63">
        <v>1755.68</v>
      </c>
      <c r="X63">
        <v>0</v>
      </c>
      <c r="Y63">
        <v>0</v>
      </c>
      <c r="Z63">
        <v>0</v>
      </c>
      <c r="AA63">
        <v>0</v>
      </c>
      <c r="AB63">
        <v>0</v>
      </c>
      <c r="AC63">
        <v>6000</v>
      </c>
      <c r="AD63" s="5">
        <v>45924</v>
      </c>
      <c r="AE63" t="s">
        <v>69</v>
      </c>
      <c r="AF63">
        <v>7261831120</v>
      </c>
      <c r="AG63">
        <v>7261831120</v>
      </c>
      <c r="AI63" t="s">
        <v>454</v>
      </c>
      <c r="AJ63">
        <v>6112015</v>
      </c>
      <c r="AK63" t="s">
        <v>1577</v>
      </c>
      <c r="AL63">
        <v>7261831120</v>
      </c>
      <c r="AM63" t="s">
        <v>1578</v>
      </c>
      <c r="AN63">
        <v>7225658492</v>
      </c>
      <c r="AO63" t="s">
        <v>1579</v>
      </c>
      <c r="AP63">
        <v>7291828141</v>
      </c>
      <c r="AQ63" t="s">
        <v>1580</v>
      </c>
      <c r="AR63">
        <v>7226143423</v>
      </c>
      <c r="AY63">
        <v>2183.81</v>
      </c>
      <c r="AZ63">
        <v>893.19332480000003</v>
      </c>
      <c r="BA63">
        <v>1</v>
      </c>
      <c r="BB63" t="s">
        <v>1044</v>
      </c>
      <c r="BC63" t="s">
        <v>2976</v>
      </c>
      <c r="BD63" t="s">
        <v>1581</v>
      </c>
      <c r="BE63" t="s">
        <v>74</v>
      </c>
      <c r="BF63" t="s">
        <v>75</v>
      </c>
      <c r="BG63" t="s">
        <v>1582</v>
      </c>
      <c r="BH63" t="s">
        <v>2715</v>
      </c>
      <c r="BK63">
        <v>3</v>
      </c>
      <c r="BL63">
        <v>3</v>
      </c>
      <c r="BM63" t="s">
        <v>2847</v>
      </c>
    </row>
  </sheetData>
  <autoFilter ref="B6:BV6" xr:uid="{47C38AEE-5617-4490-819E-D33687946AB8}"/>
  <mergeCells count="2">
    <mergeCell ref="BM5:BP5"/>
    <mergeCell ref="BR5:BV5"/>
  </mergeCells>
  <conditionalFormatting sqref="O6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71F2A-1FFB-4A41-BA88-0F4B13B26D4D}">
  <sheetPr codeName="Hoja4"/>
  <dimension ref="A5:BV76"/>
  <sheetViews>
    <sheetView topLeftCell="H1" workbookViewId="0">
      <selection activeCell="O1" sqref="O1:O1048576"/>
    </sheetView>
  </sheetViews>
  <sheetFormatPr baseColWidth="10" defaultRowHeight="14.4" x14ac:dyDescent="0.3"/>
  <cols>
    <col min="1" max="1" width="0" hidden="1" customWidth="1"/>
    <col min="2" max="2" width="39" bestFit="1" customWidth="1"/>
    <col min="3" max="3" width="18.33203125" bestFit="1" customWidth="1"/>
    <col min="5" max="5" width="30.21875" bestFit="1" customWidth="1"/>
    <col min="7" max="7" width="30.21875" bestFit="1" customWidth="1"/>
    <col min="10" max="10" width="31.44140625" bestFit="1" customWidth="1"/>
    <col min="15" max="15" width="13.77734375" bestFit="1" customWidth="1"/>
    <col min="24" max="53" width="11.5546875" customWidth="1"/>
    <col min="54" max="54" width="38" bestFit="1" customWidth="1"/>
    <col min="58" max="58" width="15.5546875" bestFit="1" customWidth="1"/>
    <col min="59" max="59" width="30.44140625" bestFit="1" customWidth="1"/>
    <col min="60" max="60" width="30.44140625" customWidth="1"/>
  </cols>
  <sheetData>
    <row r="5" spans="1:74" x14ac:dyDescent="0.3">
      <c r="B5" s="6" t="s">
        <v>3061</v>
      </c>
      <c r="X5" s="57"/>
      <c r="BM5" s="62" t="s">
        <v>344</v>
      </c>
      <c r="BN5" s="62"/>
      <c r="BO5" s="62"/>
      <c r="BP5" s="62"/>
      <c r="BQ5" s="10"/>
      <c r="BR5" s="63" t="s">
        <v>345</v>
      </c>
      <c r="BS5" s="63"/>
      <c r="BT5" s="63"/>
      <c r="BU5" s="63"/>
      <c r="BV5" s="63"/>
    </row>
    <row r="6" spans="1:74" s="43" customFormat="1" ht="69" x14ac:dyDescent="0.25">
      <c r="A6" s="56" t="s">
        <v>6</v>
      </c>
      <c r="B6" s="36" t="s">
        <v>0</v>
      </c>
      <c r="C6" s="36" t="s">
        <v>1</v>
      </c>
      <c r="D6" s="37" t="s">
        <v>2</v>
      </c>
      <c r="E6" s="37" t="s">
        <v>3</v>
      </c>
      <c r="F6" s="37" t="s">
        <v>4</v>
      </c>
      <c r="G6" s="37" t="s">
        <v>5</v>
      </c>
      <c r="H6" s="37" t="s">
        <v>6</v>
      </c>
      <c r="I6" s="36" t="s">
        <v>7</v>
      </c>
      <c r="J6" s="36" t="s">
        <v>8</v>
      </c>
      <c r="K6" s="38" t="s">
        <v>9</v>
      </c>
      <c r="L6" s="38" t="s">
        <v>10</v>
      </c>
      <c r="M6" s="39" t="s">
        <v>11</v>
      </c>
      <c r="N6" s="39" t="s">
        <v>12</v>
      </c>
      <c r="O6" s="44" t="s">
        <v>13</v>
      </c>
      <c r="P6" s="40" t="s">
        <v>14</v>
      </c>
      <c r="Q6" s="36" t="s">
        <v>15</v>
      </c>
      <c r="R6" s="39" t="s">
        <v>16</v>
      </c>
      <c r="S6" s="39" t="s">
        <v>17</v>
      </c>
      <c r="T6" s="39" t="s">
        <v>18</v>
      </c>
      <c r="U6" s="41" t="s">
        <v>19</v>
      </c>
      <c r="V6" s="39" t="s">
        <v>20</v>
      </c>
      <c r="W6" s="39" t="s">
        <v>21</v>
      </c>
      <c r="X6" s="58" t="s">
        <v>22</v>
      </c>
      <c r="Y6" s="41" t="s">
        <v>23</v>
      </c>
      <c r="Z6" s="41" t="s">
        <v>24</v>
      </c>
      <c r="AA6" s="41" t="s">
        <v>25</v>
      </c>
      <c r="AB6" s="41" t="s">
        <v>26</v>
      </c>
      <c r="AC6" s="39" t="s">
        <v>27</v>
      </c>
      <c r="AD6" s="38" t="s">
        <v>28</v>
      </c>
      <c r="AE6" s="37" t="s">
        <v>29</v>
      </c>
      <c r="AF6" s="37" t="s">
        <v>30</v>
      </c>
      <c r="AG6" s="37" t="s">
        <v>31</v>
      </c>
      <c r="AH6" s="37" t="s">
        <v>32</v>
      </c>
      <c r="AI6" s="37" t="s">
        <v>33</v>
      </c>
      <c r="AJ6" s="37" t="s">
        <v>34</v>
      </c>
      <c r="AK6" s="37" t="s">
        <v>35</v>
      </c>
      <c r="AL6" s="37" t="s">
        <v>36</v>
      </c>
      <c r="AM6" s="36" t="s">
        <v>1005</v>
      </c>
      <c r="AN6" s="36" t="s">
        <v>1006</v>
      </c>
      <c r="AO6" s="36" t="s">
        <v>1007</v>
      </c>
      <c r="AP6" s="36" t="s">
        <v>1008</v>
      </c>
      <c r="AQ6" s="36" t="s">
        <v>1009</v>
      </c>
      <c r="AR6" s="36" t="s">
        <v>1010</v>
      </c>
      <c r="AS6" s="36" t="s">
        <v>43</v>
      </c>
      <c r="AT6" s="42" t="s">
        <v>44</v>
      </c>
      <c r="AU6" s="36" t="s">
        <v>45</v>
      </c>
      <c r="AV6" s="36" t="s">
        <v>46</v>
      </c>
      <c r="AW6" s="42" t="s">
        <v>47</v>
      </c>
      <c r="AX6" s="36" t="s">
        <v>48</v>
      </c>
      <c r="AY6" s="39" t="s">
        <v>49</v>
      </c>
      <c r="AZ6" s="39" t="s">
        <v>50</v>
      </c>
      <c r="BA6" s="37" t="s">
        <v>51</v>
      </c>
      <c r="BB6" s="37" t="s">
        <v>52</v>
      </c>
      <c r="BC6" s="36" t="s">
        <v>53</v>
      </c>
      <c r="BD6" s="36" t="s">
        <v>54</v>
      </c>
      <c r="BE6" s="37" t="s">
        <v>55</v>
      </c>
      <c r="BF6" s="36" t="s">
        <v>56</v>
      </c>
      <c r="BG6" s="36" t="s">
        <v>1011</v>
      </c>
      <c r="BH6" s="36" t="s">
        <v>1085</v>
      </c>
      <c r="BI6" s="38" t="s">
        <v>57</v>
      </c>
      <c r="BJ6" s="37" t="s">
        <v>58</v>
      </c>
      <c r="BK6" s="36" t="s">
        <v>59</v>
      </c>
      <c r="BL6" s="36" t="s">
        <v>60</v>
      </c>
    </row>
    <row r="7" spans="1:74" x14ac:dyDescent="0.3">
      <c r="A7">
        <v>1059</v>
      </c>
      <c r="B7" t="s">
        <v>61</v>
      </c>
      <c r="C7" t="s">
        <v>194</v>
      </c>
      <c r="D7">
        <v>10</v>
      </c>
      <c r="E7" t="s">
        <v>196</v>
      </c>
      <c r="F7">
        <v>20</v>
      </c>
      <c r="G7" t="s">
        <v>2784</v>
      </c>
      <c r="H7">
        <v>1059</v>
      </c>
      <c r="I7">
        <v>1</v>
      </c>
      <c r="J7" t="s">
        <v>198</v>
      </c>
      <c r="K7" s="5">
        <v>45441</v>
      </c>
      <c r="L7" s="5">
        <v>45690</v>
      </c>
      <c r="M7">
        <v>80000</v>
      </c>
      <c r="N7">
        <v>84272.62</v>
      </c>
      <c r="O7">
        <v>377</v>
      </c>
      <c r="P7">
        <v>8</v>
      </c>
      <c r="Q7" t="s">
        <v>68</v>
      </c>
      <c r="R7">
        <v>17017.760000000002</v>
      </c>
      <c r="S7">
        <v>464</v>
      </c>
      <c r="T7">
        <v>2320</v>
      </c>
      <c r="U7">
        <v>0</v>
      </c>
      <c r="V7">
        <v>4.4000000000000004</v>
      </c>
      <c r="W7">
        <v>59540.72</v>
      </c>
      <c r="X7">
        <v>78446.080000000002</v>
      </c>
      <c r="Y7">
        <v>59540.72</v>
      </c>
      <c r="Z7">
        <v>15889.36</v>
      </c>
      <c r="AA7">
        <v>696</v>
      </c>
      <c r="AB7">
        <v>2320</v>
      </c>
      <c r="AC7">
        <v>5000</v>
      </c>
      <c r="AD7" s="5">
        <v>45592</v>
      </c>
      <c r="AE7" t="s">
        <v>69</v>
      </c>
      <c r="AF7">
        <v>7225468842</v>
      </c>
      <c r="AG7" t="s">
        <v>200</v>
      </c>
      <c r="AI7" t="s">
        <v>82</v>
      </c>
      <c r="AJ7">
        <v>6122014</v>
      </c>
      <c r="AM7" t="s">
        <v>784</v>
      </c>
      <c r="AN7">
        <v>7228443623</v>
      </c>
      <c r="AO7" t="s">
        <v>1258</v>
      </c>
      <c r="AP7">
        <v>7223801211</v>
      </c>
      <c r="AQ7" t="s">
        <v>1260</v>
      </c>
      <c r="AR7">
        <v>7221194728</v>
      </c>
      <c r="AS7" t="s">
        <v>122</v>
      </c>
      <c r="AT7" t="s">
        <v>201</v>
      </c>
      <c r="AU7" t="s">
        <v>202</v>
      </c>
      <c r="AY7">
        <v>78446.080000000002</v>
      </c>
      <c r="AZ7">
        <v>0</v>
      </c>
      <c r="BA7">
        <v>1</v>
      </c>
      <c r="BB7" t="s">
        <v>77</v>
      </c>
      <c r="BC7" t="s">
        <v>2981</v>
      </c>
      <c r="BD7" t="s">
        <v>203</v>
      </c>
      <c r="BE7" t="s">
        <v>74</v>
      </c>
      <c r="BF7" t="s">
        <v>204</v>
      </c>
      <c r="BH7" t="s">
        <v>2715</v>
      </c>
      <c r="BK7">
        <v>16</v>
      </c>
      <c r="BL7">
        <v>16</v>
      </c>
      <c r="BM7" t="s">
        <v>2847</v>
      </c>
    </row>
    <row r="8" spans="1:74" x14ac:dyDescent="0.3">
      <c r="A8">
        <v>1245</v>
      </c>
      <c r="B8" t="s">
        <v>61</v>
      </c>
      <c r="C8" t="s">
        <v>194</v>
      </c>
      <c r="D8">
        <v>37</v>
      </c>
      <c r="E8" t="s">
        <v>409</v>
      </c>
      <c r="F8">
        <v>78</v>
      </c>
      <c r="G8" t="s">
        <v>2801</v>
      </c>
      <c r="H8">
        <v>1245</v>
      </c>
      <c r="I8">
        <v>1</v>
      </c>
      <c r="J8" t="s">
        <v>376</v>
      </c>
      <c r="K8" s="5">
        <v>45761</v>
      </c>
      <c r="L8" s="5">
        <v>45944</v>
      </c>
      <c r="M8">
        <v>10000</v>
      </c>
      <c r="N8">
        <v>10534.08</v>
      </c>
      <c r="O8">
        <v>153</v>
      </c>
      <c r="P8">
        <v>6</v>
      </c>
      <c r="Q8" t="s">
        <v>68</v>
      </c>
      <c r="R8">
        <v>2351.3000000000002</v>
      </c>
      <c r="S8">
        <v>348</v>
      </c>
      <c r="T8">
        <v>2900</v>
      </c>
      <c r="U8">
        <v>0</v>
      </c>
      <c r="V8">
        <v>5.6000000000000014</v>
      </c>
      <c r="W8">
        <v>10129.700000000001</v>
      </c>
      <c r="X8">
        <v>16007.83</v>
      </c>
      <c r="Y8">
        <v>10129.700000000001</v>
      </c>
      <c r="Z8">
        <v>2688.12</v>
      </c>
      <c r="AA8">
        <v>290.01</v>
      </c>
      <c r="AB8">
        <v>2900</v>
      </c>
      <c r="AC8">
        <v>1000</v>
      </c>
      <c r="AD8" s="5">
        <v>45932</v>
      </c>
      <c r="AE8" t="s">
        <v>69</v>
      </c>
      <c r="AF8">
        <v>7203071835</v>
      </c>
      <c r="AG8" t="s">
        <v>378</v>
      </c>
      <c r="AI8" t="s">
        <v>379</v>
      </c>
      <c r="AJ8">
        <v>6112023</v>
      </c>
      <c r="AK8" t="s">
        <v>416</v>
      </c>
      <c r="AM8" t="s">
        <v>824</v>
      </c>
      <c r="AN8">
        <v>6645477087</v>
      </c>
      <c r="AO8" t="s">
        <v>821</v>
      </c>
      <c r="AP8">
        <v>7296081362</v>
      </c>
      <c r="AQ8" t="s">
        <v>823</v>
      </c>
      <c r="AR8">
        <v>7221696574</v>
      </c>
      <c r="AY8">
        <v>16007.83</v>
      </c>
      <c r="AZ8">
        <v>0</v>
      </c>
      <c r="BA8">
        <v>1</v>
      </c>
      <c r="BB8" t="s">
        <v>1044</v>
      </c>
      <c r="BC8" t="s">
        <v>2979</v>
      </c>
      <c r="BD8" t="s">
        <v>381</v>
      </c>
      <c r="BE8" t="s">
        <v>74</v>
      </c>
      <c r="BF8" t="s">
        <v>194</v>
      </c>
      <c r="BH8" t="s">
        <v>2715</v>
      </c>
      <c r="BK8">
        <v>6</v>
      </c>
      <c r="BL8">
        <v>6</v>
      </c>
      <c r="BM8" t="s">
        <v>2847</v>
      </c>
    </row>
    <row r="9" spans="1:74" x14ac:dyDescent="0.3">
      <c r="A9">
        <v>1285</v>
      </c>
      <c r="B9" t="s">
        <v>61</v>
      </c>
      <c r="C9" t="s">
        <v>194</v>
      </c>
      <c r="D9">
        <v>37</v>
      </c>
      <c r="E9" t="s">
        <v>409</v>
      </c>
      <c r="F9">
        <v>78</v>
      </c>
      <c r="G9" t="s">
        <v>2801</v>
      </c>
      <c r="H9">
        <v>1285</v>
      </c>
      <c r="I9">
        <v>1</v>
      </c>
      <c r="J9" t="s">
        <v>490</v>
      </c>
      <c r="K9" s="5">
        <v>45777</v>
      </c>
      <c r="L9" s="5">
        <v>46142</v>
      </c>
      <c r="M9">
        <v>12000</v>
      </c>
      <c r="N9">
        <v>12640.89</v>
      </c>
      <c r="O9">
        <v>137</v>
      </c>
      <c r="P9">
        <v>12</v>
      </c>
      <c r="Q9" t="s">
        <v>68</v>
      </c>
      <c r="R9">
        <v>2031.63</v>
      </c>
      <c r="S9">
        <v>696</v>
      </c>
      <c r="T9">
        <v>2900</v>
      </c>
      <c r="U9">
        <v>0</v>
      </c>
      <c r="V9">
        <v>5</v>
      </c>
      <c r="W9">
        <v>12640.89</v>
      </c>
      <c r="X9">
        <v>13058.147499999999</v>
      </c>
      <c r="Y9">
        <v>5267.04</v>
      </c>
      <c r="Z9">
        <v>4601.1099999999997</v>
      </c>
      <c r="AA9">
        <v>290</v>
      </c>
      <c r="AB9">
        <v>2900</v>
      </c>
      <c r="AE9" t="s">
        <v>69</v>
      </c>
      <c r="AF9">
        <v>7222031200</v>
      </c>
      <c r="AG9" t="s">
        <v>492</v>
      </c>
      <c r="AI9" t="s">
        <v>86</v>
      </c>
      <c r="AJ9">
        <v>8711021</v>
      </c>
      <c r="AK9" t="s">
        <v>493</v>
      </c>
      <c r="AM9" t="s">
        <v>807</v>
      </c>
      <c r="AN9">
        <v>7223878493</v>
      </c>
      <c r="AO9" t="s">
        <v>804</v>
      </c>
      <c r="AP9">
        <v>7224940976</v>
      </c>
      <c r="AQ9" t="s">
        <v>806</v>
      </c>
      <c r="AR9">
        <v>7226835984</v>
      </c>
      <c r="AY9">
        <v>26873.55</v>
      </c>
      <c r="AZ9">
        <v>0</v>
      </c>
      <c r="BA9">
        <v>1</v>
      </c>
      <c r="BB9" t="s">
        <v>1044</v>
      </c>
      <c r="BC9" t="s">
        <v>2890</v>
      </c>
      <c r="BD9" t="s">
        <v>494</v>
      </c>
      <c r="BE9" t="s">
        <v>74</v>
      </c>
      <c r="BF9" t="s">
        <v>194</v>
      </c>
      <c r="BH9" t="s">
        <v>2715</v>
      </c>
      <c r="BK9">
        <v>5</v>
      </c>
      <c r="BL9">
        <v>5</v>
      </c>
      <c r="BM9" t="s">
        <v>2847</v>
      </c>
    </row>
    <row r="10" spans="1:74" x14ac:dyDescent="0.3">
      <c r="A10">
        <v>1274</v>
      </c>
      <c r="B10" t="s">
        <v>61</v>
      </c>
      <c r="C10" t="s">
        <v>194</v>
      </c>
      <c r="D10">
        <v>37</v>
      </c>
      <c r="E10" t="s">
        <v>409</v>
      </c>
      <c r="F10">
        <v>78</v>
      </c>
      <c r="G10" t="s">
        <v>2801</v>
      </c>
      <c r="H10">
        <v>1274</v>
      </c>
      <c r="I10">
        <v>1</v>
      </c>
      <c r="J10" t="s">
        <v>499</v>
      </c>
      <c r="K10" s="5">
        <v>45777</v>
      </c>
      <c r="L10" s="5">
        <v>45960</v>
      </c>
      <c r="M10">
        <v>15000</v>
      </c>
      <c r="N10">
        <v>15801.12</v>
      </c>
      <c r="O10">
        <v>137</v>
      </c>
      <c r="P10">
        <v>6</v>
      </c>
      <c r="Q10" t="s">
        <v>68</v>
      </c>
      <c r="R10">
        <v>3844.9500000000003</v>
      </c>
      <c r="S10">
        <v>348</v>
      </c>
      <c r="T10">
        <v>2900</v>
      </c>
      <c r="U10">
        <v>0</v>
      </c>
      <c r="V10">
        <v>5</v>
      </c>
      <c r="W10">
        <v>15801.12</v>
      </c>
      <c r="X10">
        <v>22124.75</v>
      </c>
      <c r="Y10">
        <v>13167.6</v>
      </c>
      <c r="Z10">
        <v>5767.1500000000005</v>
      </c>
      <c r="AA10">
        <v>290</v>
      </c>
      <c r="AB10">
        <v>2900</v>
      </c>
      <c r="AE10" t="s">
        <v>69</v>
      </c>
      <c r="AF10">
        <v>7224191963</v>
      </c>
      <c r="AG10" t="s">
        <v>501</v>
      </c>
      <c r="AI10" t="s">
        <v>393</v>
      </c>
      <c r="AJ10">
        <v>131011</v>
      </c>
      <c r="AK10" t="s">
        <v>502</v>
      </c>
      <c r="AM10" t="s">
        <v>814</v>
      </c>
      <c r="AN10">
        <v>7225656079</v>
      </c>
      <c r="AO10" t="s">
        <v>811</v>
      </c>
      <c r="AP10">
        <v>7221065423</v>
      </c>
      <c r="AQ10" t="s">
        <v>813</v>
      </c>
      <c r="AR10">
        <v>7291078655</v>
      </c>
      <c r="AY10">
        <v>25911.690000000002</v>
      </c>
      <c r="AZ10">
        <v>0</v>
      </c>
      <c r="BA10">
        <v>1</v>
      </c>
      <c r="BB10" t="s">
        <v>1044</v>
      </c>
      <c r="BC10" t="s">
        <v>2868</v>
      </c>
      <c r="BD10" t="s">
        <v>503</v>
      </c>
      <c r="BE10" t="s">
        <v>74</v>
      </c>
      <c r="BF10" t="s">
        <v>503</v>
      </c>
      <c r="BH10" t="s">
        <v>2715</v>
      </c>
      <c r="BK10">
        <v>5</v>
      </c>
      <c r="BL10">
        <v>5</v>
      </c>
      <c r="BM10" t="s">
        <v>2847</v>
      </c>
    </row>
    <row r="11" spans="1:74" x14ac:dyDescent="0.3">
      <c r="A11">
        <v>1324</v>
      </c>
      <c r="B11" t="s">
        <v>61</v>
      </c>
      <c r="C11" t="s">
        <v>194</v>
      </c>
      <c r="D11">
        <v>42</v>
      </c>
      <c r="E11" t="s">
        <v>589</v>
      </c>
      <c r="F11">
        <v>78</v>
      </c>
      <c r="G11" t="s">
        <v>2801</v>
      </c>
      <c r="H11">
        <v>1324</v>
      </c>
      <c r="I11">
        <v>1</v>
      </c>
      <c r="J11" t="s">
        <v>611</v>
      </c>
      <c r="K11" s="5">
        <v>45797</v>
      </c>
      <c r="L11" s="5">
        <v>45965</v>
      </c>
      <c r="M11">
        <v>5000</v>
      </c>
      <c r="N11">
        <v>5267.04</v>
      </c>
      <c r="O11">
        <v>126</v>
      </c>
      <c r="P11">
        <v>24</v>
      </c>
      <c r="Q11" t="s">
        <v>469</v>
      </c>
      <c r="R11">
        <v>365.7</v>
      </c>
      <c r="S11">
        <v>1392</v>
      </c>
      <c r="T11">
        <v>10440</v>
      </c>
      <c r="U11">
        <v>21</v>
      </c>
      <c r="V11">
        <v>18.8</v>
      </c>
      <c r="W11">
        <v>4828.12</v>
      </c>
      <c r="X11">
        <v>17253.710012799998</v>
      </c>
      <c r="Y11">
        <v>4169.74</v>
      </c>
      <c r="Z11">
        <v>1599.97</v>
      </c>
      <c r="AA11">
        <v>1044</v>
      </c>
      <c r="AB11">
        <v>10440</v>
      </c>
      <c r="AC11">
        <v>500</v>
      </c>
      <c r="AD11" s="5">
        <v>45812</v>
      </c>
      <c r="AE11" t="s">
        <v>69</v>
      </c>
      <c r="AF11">
        <v>5615319505</v>
      </c>
      <c r="AG11" t="s">
        <v>613</v>
      </c>
      <c r="AI11" t="s">
        <v>324</v>
      </c>
      <c r="AJ11">
        <v>2093011</v>
      </c>
      <c r="AM11" t="s">
        <v>830</v>
      </c>
      <c r="AN11">
        <v>7293002621</v>
      </c>
      <c r="AO11" t="s">
        <v>828</v>
      </c>
      <c r="AP11">
        <v>7228010787</v>
      </c>
      <c r="AQ11" t="s">
        <v>829</v>
      </c>
      <c r="AR11">
        <v>7228010787</v>
      </c>
      <c r="AY11">
        <v>18176.810000000001</v>
      </c>
      <c r="AZ11">
        <v>0</v>
      </c>
      <c r="BA11">
        <v>1</v>
      </c>
      <c r="BB11" t="s">
        <v>1044</v>
      </c>
      <c r="BC11" t="s">
        <v>2960</v>
      </c>
      <c r="BD11" t="s">
        <v>251</v>
      </c>
      <c r="BE11" t="s">
        <v>74</v>
      </c>
      <c r="BF11" t="s">
        <v>415</v>
      </c>
      <c r="BH11" t="s">
        <v>2715</v>
      </c>
      <c r="BK11">
        <v>21</v>
      </c>
      <c r="BL11">
        <v>21</v>
      </c>
      <c r="BM11" t="s">
        <v>2847</v>
      </c>
    </row>
    <row r="12" spans="1:74" x14ac:dyDescent="0.3">
      <c r="A12">
        <v>1341</v>
      </c>
      <c r="B12" t="s">
        <v>61</v>
      </c>
      <c r="C12" t="s">
        <v>194</v>
      </c>
      <c r="D12">
        <v>42</v>
      </c>
      <c r="E12" t="s">
        <v>589</v>
      </c>
      <c r="F12">
        <v>78</v>
      </c>
      <c r="G12" t="s">
        <v>2801</v>
      </c>
      <c r="H12">
        <v>1341</v>
      </c>
      <c r="I12">
        <v>1</v>
      </c>
      <c r="J12" t="s">
        <v>653</v>
      </c>
      <c r="K12" s="5">
        <v>45803</v>
      </c>
      <c r="L12" s="5">
        <v>45971</v>
      </c>
      <c r="M12">
        <v>5000</v>
      </c>
      <c r="N12">
        <v>5267.04</v>
      </c>
      <c r="O12">
        <v>113</v>
      </c>
      <c r="P12">
        <v>12</v>
      </c>
      <c r="Q12" t="s">
        <v>496</v>
      </c>
      <c r="R12">
        <v>673.4</v>
      </c>
      <c r="S12">
        <v>696</v>
      </c>
      <c r="T12">
        <v>5220</v>
      </c>
      <c r="U12">
        <v>10</v>
      </c>
      <c r="V12">
        <v>9</v>
      </c>
      <c r="W12">
        <v>4828.12</v>
      </c>
      <c r="X12">
        <v>11280.01</v>
      </c>
      <c r="Y12">
        <v>3950.28</v>
      </c>
      <c r="Z12">
        <v>1588.33</v>
      </c>
      <c r="AA12">
        <v>521.4</v>
      </c>
      <c r="AB12">
        <v>5220</v>
      </c>
      <c r="AC12">
        <v>674</v>
      </c>
      <c r="AD12" s="5">
        <v>45817</v>
      </c>
      <c r="AE12" t="s">
        <v>69</v>
      </c>
      <c r="AF12">
        <v>7228634600</v>
      </c>
      <c r="AG12" t="s">
        <v>655</v>
      </c>
      <c r="AI12" t="s">
        <v>481</v>
      </c>
      <c r="AJ12">
        <v>8712011</v>
      </c>
      <c r="AM12" t="s">
        <v>848</v>
      </c>
      <c r="AN12">
        <v>7221218282</v>
      </c>
      <c r="AO12" t="s">
        <v>845</v>
      </c>
      <c r="AP12">
        <v>7223018763</v>
      </c>
      <c r="AQ12" t="s">
        <v>847</v>
      </c>
      <c r="AR12">
        <v>7299507509</v>
      </c>
      <c r="AY12">
        <v>12510.81</v>
      </c>
      <c r="AZ12">
        <v>0</v>
      </c>
      <c r="BA12">
        <v>1</v>
      </c>
      <c r="BB12" t="s">
        <v>1044</v>
      </c>
      <c r="BC12" t="s">
        <v>2892</v>
      </c>
      <c r="BD12" t="s">
        <v>656</v>
      </c>
      <c r="BE12" t="s">
        <v>74</v>
      </c>
      <c r="BF12" t="s">
        <v>646</v>
      </c>
      <c r="BH12" t="s">
        <v>2715</v>
      </c>
      <c r="BK12">
        <v>9</v>
      </c>
      <c r="BL12">
        <v>9</v>
      </c>
      <c r="BM12" t="s">
        <v>2847</v>
      </c>
    </row>
    <row r="13" spans="1:74" x14ac:dyDescent="0.3">
      <c r="A13">
        <v>1342</v>
      </c>
      <c r="B13" t="s">
        <v>61</v>
      </c>
      <c r="C13" t="s">
        <v>194</v>
      </c>
      <c r="D13">
        <v>42</v>
      </c>
      <c r="E13" t="s">
        <v>589</v>
      </c>
      <c r="F13">
        <v>78</v>
      </c>
      <c r="G13" t="s">
        <v>2801</v>
      </c>
      <c r="H13">
        <v>1342</v>
      </c>
      <c r="I13">
        <v>1</v>
      </c>
      <c r="J13" t="s">
        <v>648</v>
      </c>
      <c r="K13" s="5">
        <v>45803</v>
      </c>
      <c r="L13" s="5">
        <v>45987</v>
      </c>
      <c r="M13">
        <v>5000</v>
      </c>
      <c r="N13">
        <v>5267.04</v>
      </c>
      <c r="O13">
        <v>110</v>
      </c>
      <c r="P13">
        <v>6</v>
      </c>
      <c r="Q13" t="s">
        <v>68</v>
      </c>
      <c r="R13">
        <v>1322.42</v>
      </c>
      <c r="S13">
        <v>348</v>
      </c>
      <c r="T13">
        <v>2320</v>
      </c>
      <c r="U13">
        <v>0</v>
      </c>
      <c r="V13">
        <v>4</v>
      </c>
      <c r="W13">
        <v>5267.04</v>
      </c>
      <c r="X13">
        <v>7609.67</v>
      </c>
      <c r="Y13">
        <v>3511.36</v>
      </c>
      <c r="Z13">
        <v>1546.31</v>
      </c>
      <c r="AA13">
        <v>232</v>
      </c>
      <c r="AB13">
        <v>2320</v>
      </c>
      <c r="AE13" t="s">
        <v>69</v>
      </c>
      <c r="AF13">
        <v>7228065155</v>
      </c>
      <c r="AG13" t="s">
        <v>650</v>
      </c>
      <c r="AI13" t="s">
        <v>328</v>
      </c>
      <c r="AJ13">
        <v>9900907</v>
      </c>
      <c r="AM13" t="s">
        <v>844</v>
      </c>
      <c r="AN13">
        <v>5565256507</v>
      </c>
      <c r="AO13" t="s">
        <v>841</v>
      </c>
      <c r="AP13">
        <v>7223554519</v>
      </c>
      <c r="AQ13" t="s">
        <v>843</v>
      </c>
      <c r="AR13">
        <v>7226018034</v>
      </c>
      <c r="AY13">
        <v>10138.5</v>
      </c>
      <c r="AZ13">
        <v>0</v>
      </c>
      <c r="BA13">
        <v>1</v>
      </c>
      <c r="BB13" t="s">
        <v>1044</v>
      </c>
      <c r="BC13" t="s">
        <v>2957</v>
      </c>
      <c r="BD13" t="s">
        <v>651</v>
      </c>
      <c r="BE13" t="s">
        <v>74</v>
      </c>
      <c r="BF13" t="s">
        <v>646</v>
      </c>
      <c r="BH13" t="s">
        <v>2715</v>
      </c>
      <c r="BK13">
        <v>4</v>
      </c>
      <c r="BL13">
        <v>4</v>
      </c>
      <c r="BM13" t="s">
        <v>2847</v>
      </c>
    </row>
    <row r="14" spans="1:74" x14ac:dyDescent="0.3">
      <c r="A14">
        <v>1297</v>
      </c>
      <c r="B14" t="s">
        <v>61</v>
      </c>
      <c r="C14" t="s">
        <v>194</v>
      </c>
      <c r="D14">
        <v>37</v>
      </c>
      <c r="E14" t="s">
        <v>409</v>
      </c>
      <c r="F14">
        <v>78</v>
      </c>
      <c r="G14" t="s">
        <v>2801</v>
      </c>
      <c r="H14">
        <v>1297</v>
      </c>
      <c r="I14">
        <v>1</v>
      </c>
      <c r="J14" t="s">
        <v>509</v>
      </c>
      <c r="K14" s="5">
        <v>45782</v>
      </c>
      <c r="L14" s="5">
        <v>45966</v>
      </c>
      <c r="M14">
        <v>20000</v>
      </c>
      <c r="N14">
        <v>21068.16</v>
      </c>
      <c r="O14">
        <v>99</v>
      </c>
      <c r="P14">
        <v>6</v>
      </c>
      <c r="Q14" t="s">
        <v>68</v>
      </c>
      <c r="R14">
        <v>5115.67</v>
      </c>
      <c r="S14">
        <v>348</v>
      </c>
      <c r="T14">
        <v>2320</v>
      </c>
      <c r="U14">
        <v>0</v>
      </c>
      <c r="V14">
        <v>4</v>
      </c>
      <c r="W14">
        <v>17556.8</v>
      </c>
      <c r="X14">
        <v>22782.350000000002</v>
      </c>
      <c r="Y14">
        <v>14045.44</v>
      </c>
      <c r="Z14">
        <v>6185.24</v>
      </c>
      <c r="AA14">
        <v>231.67000000000002</v>
      </c>
      <c r="AB14">
        <v>2320</v>
      </c>
      <c r="AC14">
        <v>5116</v>
      </c>
      <c r="AD14" s="5">
        <v>45813</v>
      </c>
      <c r="AE14" t="s">
        <v>69</v>
      </c>
      <c r="AF14">
        <v>7226022373</v>
      </c>
      <c r="AG14" t="s">
        <v>510</v>
      </c>
      <c r="AI14" t="s">
        <v>563</v>
      </c>
      <c r="AJ14">
        <v>6132013</v>
      </c>
      <c r="AM14" t="s">
        <v>800</v>
      </c>
      <c r="AN14">
        <v>5576725118</v>
      </c>
      <c r="AO14" t="s">
        <v>798</v>
      </c>
      <c r="AP14">
        <v>7224612253</v>
      </c>
      <c r="AQ14" t="s">
        <v>799</v>
      </c>
      <c r="AR14">
        <v>7203649917</v>
      </c>
      <c r="AY14">
        <v>27840.02</v>
      </c>
      <c r="AZ14">
        <v>0</v>
      </c>
      <c r="BA14">
        <v>1</v>
      </c>
      <c r="BB14" t="s">
        <v>1044</v>
      </c>
      <c r="BC14" t="s">
        <v>2989</v>
      </c>
      <c r="BD14" t="s">
        <v>414</v>
      </c>
      <c r="BE14" t="s">
        <v>74</v>
      </c>
      <c r="BF14" t="s">
        <v>415</v>
      </c>
      <c r="BH14" t="s">
        <v>2715</v>
      </c>
      <c r="BK14">
        <v>4</v>
      </c>
      <c r="BL14">
        <v>4</v>
      </c>
      <c r="BM14" t="s">
        <v>2847</v>
      </c>
    </row>
    <row r="15" spans="1:74" x14ac:dyDescent="0.3">
      <c r="A15">
        <v>1352</v>
      </c>
      <c r="B15" t="s">
        <v>61</v>
      </c>
      <c r="C15" t="s">
        <v>194</v>
      </c>
      <c r="D15">
        <v>41</v>
      </c>
      <c r="E15" t="s">
        <v>595</v>
      </c>
      <c r="F15">
        <v>78</v>
      </c>
      <c r="G15" t="s">
        <v>2801</v>
      </c>
      <c r="H15">
        <v>1352</v>
      </c>
      <c r="I15">
        <v>1</v>
      </c>
      <c r="J15" t="s">
        <v>682</v>
      </c>
      <c r="K15" s="5">
        <v>45805</v>
      </c>
      <c r="L15" s="5">
        <v>46141</v>
      </c>
      <c r="M15">
        <v>10000</v>
      </c>
      <c r="N15">
        <v>10534.08</v>
      </c>
      <c r="O15">
        <v>97</v>
      </c>
      <c r="P15">
        <v>24</v>
      </c>
      <c r="Q15" t="s">
        <v>496</v>
      </c>
      <c r="R15">
        <v>849.88</v>
      </c>
      <c r="S15">
        <v>1392</v>
      </c>
      <c r="T15">
        <v>4060</v>
      </c>
      <c r="U15">
        <v>9</v>
      </c>
      <c r="V15">
        <v>7</v>
      </c>
      <c r="W15">
        <v>9656.24</v>
      </c>
      <c r="X15">
        <v>10008.94</v>
      </c>
      <c r="Y15">
        <v>3072.44</v>
      </c>
      <c r="Z15">
        <v>2470.7400000000002</v>
      </c>
      <c r="AA15">
        <v>405.76</v>
      </c>
      <c r="AB15">
        <v>4060</v>
      </c>
      <c r="AC15">
        <v>850</v>
      </c>
      <c r="AD15" s="5">
        <v>45833</v>
      </c>
      <c r="AE15" t="s">
        <v>69</v>
      </c>
      <c r="AF15">
        <v>7292923057</v>
      </c>
      <c r="AG15" t="s">
        <v>683</v>
      </c>
      <c r="AI15" t="s">
        <v>684</v>
      </c>
      <c r="AJ15">
        <v>2071017</v>
      </c>
      <c r="AM15" t="s">
        <v>854</v>
      </c>
      <c r="AN15">
        <v>6084501672</v>
      </c>
      <c r="AO15" t="s">
        <v>852</v>
      </c>
      <c r="AP15">
        <v>7203042712</v>
      </c>
      <c r="AQ15" t="s">
        <v>853</v>
      </c>
      <c r="AR15">
        <v>7141088208</v>
      </c>
      <c r="AY15">
        <v>21887.170000000002</v>
      </c>
      <c r="AZ15">
        <v>0</v>
      </c>
      <c r="BA15">
        <v>1</v>
      </c>
      <c r="BB15" t="s">
        <v>1044</v>
      </c>
      <c r="BC15" t="s">
        <v>2893</v>
      </c>
      <c r="BD15" t="s">
        <v>681</v>
      </c>
      <c r="BE15" t="s">
        <v>74</v>
      </c>
      <c r="BF15" t="s">
        <v>194</v>
      </c>
      <c r="BH15" t="s">
        <v>2715</v>
      </c>
      <c r="BK15">
        <v>7</v>
      </c>
      <c r="BL15">
        <v>7</v>
      </c>
      <c r="BM15" t="s">
        <v>2847</v>
      </c>
    </row>
    <row r="16" spans="1:74" x14ac:dyDescent="0.3">
      <c r="A16">
        <v>1354</v>
      </c>
      <c r="B16" t="s">
        <v>61</v>
      </c>
      <c r="C16" t="s">
        <v>194</v>
      </c>
      <c r="D16">
        <v>42</v>
      </c>
      <c r="E16" t="s">
        <v>589</v>
      </c>
      <c r="F16">
        <v>78</v>
      </c>
      <c r="G16" t="s">
        <v>2801</v>
      </c>
      <c r="H16">
        <v>1354</v>
      </c>
      <c r="I16">
        <v>1</v>
      </c>
      <c r="J16" t="s">
        <v>855</v>
      </c>
      <c r="K16" s="5">
        <v>45806</v>
      </c>
      <c r="L16" s="5">
        <v>45974</v>
      </c>
      <c r="M16">
        <v>10000</v>
      </c>
      <c r="N16">
        <v>10534.08</v>
      </c>
      <c r="O16">
        <v>68</v>
      </c>
      <c r="P16">
        <v>12</v>
      </c>
      <c r="Q16" t="s">
        <v>496</v>
      </c>
      <c r="R16">
        <v>1288.8</v>
      </c>
      <c r="S16">
        <v>696</v>
      </c>
      <c r="T16">
        <v>2900</v>
      </c>
      <c r="U16">
        <v>9</v>
      </c>
      <c r="V16">
        <v>5</v>
      </c>
      <c r="W16">
        <v>7022.7300000000005</v>
      </c>
      <c r="X16">
        <v>9344.02</v>
      </c>
      <c r="Y16">
        <v>4389.21</v>
      </c>
      <c r="Z16">
        <v>1764.81</v>
      </c>
      <c r="AA16">
        <v>290</v>
      </c>
      <c r="AB16">
        <v>2900</v>
      </c>
      <c r="AC16">
        <v>1288.8</v>
      </c>
      <c r="AD16" s="5">
        <v>45862</v>
      </c>
      <c r="AE16" t="s">
        <v>69</v>
      </c>
      <c r="AF16">
        <v>7223114459</v>
      </c>
      <c r="AG16" t="s">
        <v>856</v>
      </c>
      <c r="AI16" t="s">
        <v>86</v>
      </c>
      <c r="AJ16">
        <v>8711021</v>
      </c>
      <c r="AM16" t="s">
        <v>859</v>
      </c>
      <c r="AN16">
        <v>7211021471</v>
      </c>
      <c r="AO16" t="s">
        <v>857</v>
      </c>
      <c r="AP16">
        <v>7227536718</v>
      </c>
      <c r="AQ16" t="s">
        <v>858</v>
      </c>
      <c r="AR16">
        <v>7221691659</v>
      </c>
      <c r="AY16">
        <v>13036.42</v>
      </c>
      <c r="AZ16">
        <v>0</v>
      </c>
      <c r="BA16">
        <v>1</v>
      </c>
      <c r="BB16" t="s">
        <v>1044</v>
      </c>
      <c r="BC16" t="s">
        <v>2887</v>
      </c>
      <c r="BD16" t="s">
        <v>651</v>
      </c>
      <c r="BE16" t="s">
        <v>74</v>
      </c>
      <c r="BF16" t="s">
        <v>646</v>
      </c>
      <c r="BH16" t="s">
        <v>2715</v>
      </c>
      <c r="BK16">
        <v>5</v>
      </c>
      <c r="BL16">
        <v>5</v>
      </c>
      <c r="BM16" t="s">
        <v>2847</v>
      </c>
    </row>
    <row r="17" spans="1:65" x14ac:dyDescent="0.3">
      <c r="A17">
        <v>1397</v>
      </c>
      <c r="B17" t="s">
        <v>61</v>
      </c>
      <c r="C17" t="s">
        <v>194</v>
      </c>
      <c r="D17">
        <v>42</v>
      </c>
      <c r="E17" t="s">
        <v>589</v>
      </c>
      <c r="F17">
        <v>78</v>
      </c>
      <c r="G17" t="s">
        <v>2801</v>
      </c>
      <c r="H17">
        <v>1397</v>
      </c>
      <c r="I17">
        <v>1</v>
      </c>
      <c r="J17" t="s">
        <v>1143</v>
      </c>
      <c r="K17" s="5">
        <v>45820</v>
      </c>
      <c r="L17" s="5">
        <v>45988</v>
      </c>
      <c r="M17">
        <v>8000</v>
      </c>
      <c r="N17">
        <v>8427.26</v>
      </c>
      <c r="O17">
        <v>68</v>
      </c>
      <c r="P17">
        <v>12</v>
      </c>
      <c r="Q17" t="s">
        <v>496</v>
      </c>
      <c r="R17">
        <v>1042.6400000000001</v>
      </c>
      <c r="S17">
        <v>696</v>
      </c>
      <c r="T17">
        <v>2900</v>
      </c>
      <c r="U17">
        <v>8</v>
      </c>
      <c r="V17">
        <v>5</v>
      </c>
      <c r="W17">
        <v>6320.4400000000005</v>
      </c>
      <c r="X17">
        <v>8111.7033000000001</v>
      </c>
      <c r="Y17">
        <v>3511.35</v>
      </c>
      <c r="Z17">
        <v>1411.8500000000001</v>
      </c>
      <c r="AA17">
        <v>288.5</v>
      </c>
      <c r="AB17">
        <v>2900</v>
      </c>
      <c r="AC17">
        <v>43</v>
      </c>
      <c r="AD17" s="5">
        <v>45866</v>
      </c>
      <c r="AE17" t="s">
        <v>69</v>
      </c>
      <c r="AF17">
        <v>7225288410</v>
      </c>
      <c r="AG17" t="s">
        <v>1144</v>
      </c>
      <c r="AI17" t="s">
        <v>283</v>
      </c>
      <c r="AJ17">
        <v>8944098</v>
      </c>
      <c r="AK17" t="s">
        <v>1145</v>
      </c>
      <c r="AM17" t="s">
        <v>1146</v>
      </c>
      <c r="AN17">
        <v>7218890536</v>
      </c>
      <c r="AO17" t="s">
        <v>1147</v>
      </c>
      <c r="AP17">
        <v>5647483002</v>
      </c>
      <c r="AY17">
        <v>12050.26</v>
      </c>
      <c r="AZ17">
        <v>0</v>
      </c>
      <c r="BA17">
        <v>1</v>
      </c>
      <c r="BB17" t="s">
        <v>1044</v>
      </c>
      <c r="BC17" t="s">
        <v>2933</v>
      </c>
      <c r="BD17" t="s">
        <v>645</v>
      </c>
      <c r="BE17" t="s">
        <v>74</v>
      </c>
      <c r="BF17" t="s">
        <v>646</v>
      </c>
      <c r="BG17" t="s">
        <v>1148</v>
      </c>
      <c r="BH17" t="s">
        <v>2715</v>
      </c>
      <c r="BK17">
        <v>7</v>
      </c>
      <c r="BL17">
        <v>7</v>
      </c>
      <c r="BM17" t="s">
        <v>2847</v>
      </c>
    </row>
    <row r="18" spans="1:65" x14ac:dyDescent="0.3">
      <c r="A18">
        <v>1490</v>
      </c>
      <c r="B18" t="s">
        <v>61</v>
      </c>
      <c r="C18" t="s">
        <v>194</v>
      </c>
      <c r="D18">
        <v>42</v>
      </c>
      <c r="E18" t="s">
        <v>589</v>
      </c>
      <c r="F18">
        <v>78</v>
      </c>
      <c r="G18" t="s">
        <v>2801</v>
      </c>
      <c r="H18">
        <v>1490</v>
      </c>
      <c r="I18">
        <v>1</v>
      </c>
      <c r="J18" t="s">
        <v>1591</v>
      </c>
      <c r="K18" s="5">
        <v>45848</v>
      </c>
      <c r="L18" s="5">
        <v>46032</v>
      </c>
      <c r="M18">
        <v>5000</v>
      </c>
      <c r="N18">
        <v>5267.04</v>
      </c>
      <c r="O18">
        <v>64</v>
      </c>
      <c r="P18">
        <v>6</v>
      </c>
      <c r="Q18" t="s">
        <v>68</v>
      </c>
      <c r="R18">
        <v>1322.42</v>
      </c>
      <c r="S18">
        <v>348</v>
      </c>
      <c r="T18">
        <v>1740</v>
      </c>
      <c r="U18">
        <v>0</v>
      </c>
      <c r="V18">
        <v>3</v>
      </c>
      <c r="W18">
        <v>5267.04</v>
      </c>
      <c r="X18">
        <v>5707.2519807999988</v>
      </c>
      <c r="Y18">
        <v>2633.52</v>
      </c>
      <c r="Z18">
        <v>1159.73</v>
      </c>
      <c r="AA18">
        <v>174</v>
      </c>
      <c r="AB18">
        <v>1740</v>
      </c>
      <c r="AE18" t="s">
        <v>69</v>
      </c>
      <c r="AF18">
        <v>7223150550</v>
      </c>
      <c r="AG18" t="s">
        <v>1592</v>
      </c>
      <c r="AI18" t="s">
        <v>526</v>
      </c>
      <c r="AJ18">
        <v>6131023</v>
      </c>
      <c r="AM18" t="s">
        <v>1593</v>
      </c>
      <c r="AN18">
        <v>7227861311</v>
      </c>
      <c r="AO18" t="s">
        <v>1594</v>
      </c>
      <c r="AP18">
        <v>7295040120</v>
      </c>
      <c r="AQ18" t="s">
        <v>1595</v>
      </c>
      <c r="AR18">
        <v>5532502067</v>
      </c>
      <c r="AY18">
        <v>9500.5</v>
      </c>
      <c r="AZ18">
        <v>0</v>
      </c>
      <c r="BA18">
        <v>1</v>
      </c>
      <c r="BB18" t="s">
        <v>1044</v>
      </c>
      <c r="BC18" t="s">
        <v>2988</v>
      </c>
      <c r="BD18" t="s">
        <v>687</v>
      </c>
      <c r="BE18" t="s">
        <v>74</v>
      </c>
      <c r="BF18" t="s">
        <v>503</v>
      </c>
      <c r="BG18" t="s">
        <v>1596</v>
      </c>
      <c r="BH18" t="s">
        <v>2715</v>
      </c>
      <c r="BK18">
        <v>3</v>
      </c>
      <c r="BL18">
        <v>3</v>
      </c>
      <c r="BM18" t="s">
        <v>2847</v>
      </c>
    </row>
    <row r="19" spans="1:65" x14ac:dyDescent="0.3">
      <c r="A19">
        <v>1317</v>
      </c>
      <c r="B19" t="s">
        <v>61</v>
      </c>
      <c r="C19" t="s">
        <v>194</v>
      </c>
      <c r="D19">
        <v>41</v>
      </c>
      <c r="E19" t="s">
        <v>595</v>
      </c>
      <c r="F19">
        <v>78</v>
      </c>
      <c r="G19" t="s">
        <v>2801</v>
      </c>
      <c r="H19">
        <v>1317</v>
      </c>
      <c r="I19">
        <v>1</v>
      </c>
      <c r="J19" t="s">
        <v>571</v>
      </c>
      <c r="K19" s="5">
        <v>45791</v>
      </c>
      <c r="L19" s="5">
        <v>46156</v>
      </c>
      <c r="M19">
        <v>20000</v>
      </c>
      <c r="N19">
        <v>21068.16</v>
      </c>
      <c r="O19">
        <v>61</v>
      </c>
      <c r="P19">
        <v>12</v>
      </c>
      <c r="Q19" t="s">
        <v>68</v>
      </c>
      <c r="R19">
        <v>3347.38</v>
      </c>
      <c r="S19">
        <v>696</v>
      </c>
      <c r="T19">
        <v>1160</v>
      </c>
      <c r="U19">
        <v>0</v>
      </c>
      <c r="V19">
        <v>2.9</v>
      </c>
      <c r="W19">
        <v>17556.8</v>
      </c>
      <c r="X19">
        <v>10702.16</v>
      </c>
      <c r="Y19">
        <v>5267.04</v>
      </c>
      <c r="Z19">
        <v>4159.12</v>
      </c>
      <c r="AA19">
        <v>116</v>
      </c>
      <c r="AB19">
        <v>1160</v>
      </c>
      <c r="AC19">
        <v>500</v>
      </c>
      <c r="AD19" s="5">
        <v>45922</v>
      </c>
      <c r="AE19" t="s">
        <v>69</v>
      </c>
      <c r="AF19">
        <v>7294809159</v>
      </c>
      <c r="AG19" t="s">
        <v>572</v>
      </c>
      <c r="AI19" t="s">
        <v>283</v>
      </c>
      <c r="AJ19">
        <v>8944098</v>
      </c>
      <c r="AM19" t="s">
        <v>866</v>
      </c>
      <c r="AN19">
        <v>7201229534</v>
      </c>
      <c r="AO19" t="s">
        <v>864</v>
      </c>
      <c r="AP19">
        <v>7225973209</v>
      </c>
      <c r="AQ19" t="s">
        <v>865</v>
      </c>
      <c r="AR19">
        <v>7225450074</v>
      </c>
      <c r="AY19">
        <v>33727.840000000004</v>
      </c>
      <c r="AZ19">
        <v>0</v>
      </c>
      <c r="BA19">
        <v>1</v>
      </c>
      <c r="BB19" t="s">
        <v>1044</v>
      </c>
      <c r="BC19" t="s">
        <v>2936</v>
      </c>
      <c r="BD19" t="s">
        <v>381</v>
      </c>
      <c r="BE19" t="s">
        <v>74</v>
      </c>
      <c r="BF19" t="s">
        <v>194</v>
      </c>
      <c r="BH19" t="s">
        <v>2715</v>
      </c>
      <c r="BK19">
        <v>3</v>
      </c>
      <c r="BL19">
        <v>3</v>
      </c>
      <c r="BM19" t="s">
        <v>2847</v>
      </c>
    </row>
    <row r="20" spans="1:65" x14ac:dyDescent="0.3">
      <c r="A20">
        <v>1332</v>
      </c>
      <c r="B20" t="s">
        <v>61</v>
      </c>
      <c r="C20" t="s">
        <v>194</v>
      </c>
      <c r="D20">
        <v>41</v>
      </c>
      <c r="E20" t="s">
        <v>595</v>
      </c>
      <c r="F20">
        <v>78</v>
      </c>
      <c r="G20" t="s">
        <v>2801</v>
      </c>
      <c r="H20">
        <v>1332</v>
      </c>
      <c r="I20">
        <v>1</v>
      </c>
      <c r="J20" t="s">
        <v>624</v>
      </c>
      <c r="K20" s="5">
        <v>45799</v>
      </c>
      <c r="L20" s="5">
        <v>45983</v>
      </c>
      <c r="M20">
        <v>30000</v>
      </c>
      <c r="N20">
        <v>31602.23</v>
      </c>
      <c r="O20">
        <v>53</v>
      </c>
      <c r="P20">
        <v>6</v>
      </c>
      <c r="Q20" t="s">
        <v>68</v>
      </c>
      <c r="R20">
        <v>7059.79</v>
      </c>
      <c r="S20">
        <v>348</v>
      </c>
      <c r="T20">
        <v>1160</v>
      </c>
      <c r="U20">
        <v>0</v>
      </c>
      <c r="V20">
        <v>2</v>
      </c>
      <c r="W20">
        <v>21068.15</v>
      </c>
      <c r="X20">
        <v>15269.1633</v>
      </c>
      <c r="Y20">
        <v>10534.07</v>
      </c>
      <c r="Z20">
        <v>3469.51</v>
      </c>
      <c r="AA20">
        <v>105.58</v>
      </c>
      <c r="AB20">
        <v>1160</v>
      </c>
      <c r="AC20">
        <v>7650</v>
      </c>
      <c r="AD20" s="5">
        <v>45868</v>
      </c>
      <c r="AE20" t="s">
        <v>69</v>
      </c>
      <c r="AF20">
        <v>7222506939</v>
      </c>
      <c r="AG20" t="s">
        <v>626</v>
      </c>
      <c r="AI20" t="s">
        <v>89</v>
      </c>
      <c r="AJ20">
        <v>6211023</v>
      </c>
      <c r="AM20" t="s">
        <v>837</v>
      </c>
      <c r="AN20">
        <v>7221551295</v>
      </c>
      <c r="AO20" t="s">
        <v>834</v>
      </c>
      <c r="AP20">
        <v>7295030367</v>
      </c>
      <c r="AQ20" t="s">
        <v>836</v>
      </c>
      <c r="AR20">
        <v>7298576589</v>
      </c>
      <c r="AY20">
        <v>29272.74</v>
      </c>
      <c r="AZ20">
        <v>0</v>
      </c>
      <c r="BA20">
        <v>1</v>
      </c>
      <c r="BB20" t="s">
        <v>1044</v>
      </c>
      <c r="BC20" t="s">
        <v>2995</v>
      </c>
      <c r="BD20" t="s">
        <v>251</v>
      </c>
      <c r="BE20" t="s">
        <v>74</v>
      </c>
      <c r="BF20" t="s">
        <v>194</v>
      </c>
      <c r="BH20" t="s">
        <v>2715</v>
      </c>
      <c r="BK20">
        <v>4</v>
      </c>
      <c r="BL20">
        <v>4</v>
      </c>
      <c r="BM20" t="s">
        <v>2847</v>
      </c>
    </row>
    <row r="21" spans="1:65" x14ac:dyDescent="0.3">
      <c r="A21">
        <v>1571</v>
      </c>
      <c r="B21" t="s">
        <v>61</v>
      </c>
      <c r="C21" t="s">
        <v>194</v>
      </c>
      <c r="D21">
        <v>41</v>
      </c>
      <c r="E21" t="s">
        <v>595</v>
      </c>
      <c r="F21">
        <v>39</v>
      </c>
      <c r="G21" t="s">
        <v>2763</v>
      </c>
      <c r="H21">
        <v>1571</v>
      </c>
      <c r="I21">
        <v>1</v>
      </c>
      <c r="J21" t="s">
        <v>1829</v>
      </c>
      <c r="K21" s="5">
        <v>45867</v>
      </c>
      <c r="L21" s="5">
        <v>46054</v>
      </c>
      <c r="M21">
        <v>5000</v>
      </c>
      <c r="N21">
        <v>5267.04</v>
      </c>
      <c r="O21">
        <v>43</v>
      </c>
      <c r="P21">
        <v>6</v>
      </c>
      <c r="Q21" t="s">
        <v>68</v>
      </c>
      <c r="R21">
        <v>1328.72</v>
      </c>
      <c r="S21">
        <v>348</v>
      </c>
      <c r="T21">
        <v>580</v>
      </c>
      <c r="U21">
        <v>0</v>
      </c>
      <c r="V21">
        <v>1.5</v>
      </c>
      <c r="W21">
        <v>4969.2</v>
      </c>
      <c r="X21">
        <v>2488.7213205333333</v>
      </c>
      <c r="Y21">
        <v>1457.84</v>
      </c>
      <c r="Z21">
        <v>392.88</v>
      </c>
      <c r="AA21">
        <v>58</v>
      </c>
      <c r="AB21">
        <v>580</v>
      </c>
      <c r="AC21">
        <v>1328.72</v>
      </c>
      <c r="AD21" s="5">
        <v>45911</v>
      </c>
      <c r="AE21" t="s">
        <v>69</v>
      </c>
      <c r="AF21">
        <v>3344773102</v>
      </c>
      <c r="AG21" t="s">
        <v>1830</v>
      </c>
      <c r="AI21" t="s">
        <v>1831</v>
      </c>
      <c r="AJ21">
        <v>7113012</v>
      </c>
      <c r="AK21" t="s">
        <v>1832</v>
      </c>
      <c r="AM21" t="s">
        <v>1833</v>
      </c>
      <c r="AN21">
        <v>7226772974</v>
      </c>
      <c r="AO21" t="s">
        <v>1834</v>
      </c>
      <c r="AP21">
        <v>7227855416</v>
      </c>
      <c r="AQ21" t="s">
        <v>1835</v>
      </c>
      <c r="AR21">
        <v>7228333821</v>
      </c>
      <c r="AY21">
        <v>7571.6</v>
      </c>
      <c r="AZ21">
        <v>0</v>
      </c>
      <c r="BA21">
        <v>1</v>
      </c>
      <c r="BB21" t="s">
        <v>1044</v>
      </c>
      <c r="BC21" t="s">
        <v>3018</v>
      </c>
      <c r="BD21" t="s">
        <v>1718</v>
      </c>
      <c r="BE21" t="s">
        <v>74</v>
      </c>
      <c r="BF21" t="s">
        <v>194</v>
      </c>
      <c r="BG21" t="s">
        <v>1836</v>
      </c>
      <c r="BH21" t="s">
        <v>2715</v>
      </c>
      <c r="BK21">
        <v>2</v>
      </c>
      <c r="BL21">
        <v>2</v>
      </c>
      <c r="BM21" t="s">
        <v>2847</v>
      </c>
    </row>
    <row r="22" spans="1:65" x14ac:dyDescent="0.3">
      <c r="A22">
        <v>1357</v>
      </c>
      <c r="B22" t="s">
        <v>61</v>
      </c>
      <c r="C22" t="s">
        <v>194</v>
      </c>
      <c r="D22">
        <v>42</v>
      </c>
      <c r="E22" t="s">
        <v>589</v>
      </c>
      <c r="F22">
        <v>78</v>
      </c>
      <c r="G22" t="s">
        <v>2801</v>
      </c>
      <c r="H22">
        <v>1357</v>
      </c>
      <c r="I22">
        <v>1</v>
      </c>
      <c r="J22" t="s">
        <v>1016</v>
      </c>
      <c r="K22" s="5">
        <v>45807</v>
      </c>
      <c r="L22" s="5">
        <v>46031</v>
      </c>
      <c r="M22">
        <v>10000</v>
      </c>
      <c r="N22">
        <v>10534.08</v>
      </c>
      <c r="O22">
        <v>39</v>
      </c>
      <c r="P22">
        <v>16</v>
      </c>
      <c r="Q22" t="s">
        <v>496</v>
      </c>
      <c r="R22">
        <v>1069.3399999999999</v>
      </c>
      <c r="S22">
        <v>928</v>
      </c>
      <c r="T22">
        <v>1740</v>
      </c>
      <c r="U22">
        <v>9</v>
      </c>
      <c r="V22">
        <v>3</v>
      </c>
      <c r="W22">
        <v>6583.8</v>
      </c>
      <c r="X22">
        <v>4944.08</v>
      </c>
      <c r="Y22">
        <v>1975.14</v>
      </c>
      <c r="Z22">
        <v>1058.8900000000001</v>
      </c>
      <c r="AA22">
        <v>170.05</v>
      </c>
      <c r="AB22">
        <v>1740</v>
      </c>
      <c r="AC22">
        <v>1070</v>
      </c>
      <c r="AD22" s="5">
        <v>45891</v>
      </c>
      <c r="AE22" t="s">
        <v>69</v>
      </c>
      <c r="AF22">
        <v>7221191802</v>
      </c>
      <c r="AG22" t="s">
        <v>1017</v>
      </c>
      <c r="AI22" t="s">
        <v>283</v>
      </c>
      <c r="AJ22">
        <v>8944098</v>
      </c>
      <c r="AM22" t="s">
        <v>1018</v>
      </c>
      <c r="AN22">
        <v>7221459037</v>
      </c>
      <c r="AO22" t="s">
        <v>1019</v>
      </c>
      <c r="AP22">
        <v>7224918355</v>
      </c>
      <c r="AQ22" t="s">
        <v>1020</v>
      </c>
      <c r="AR22">
        <v>7224446260</v>
      </c>
      <c r="AY22">
        <v>12023.47</v>
      </c>
      <c r="AZ22">
        <v>0</v>
      </c>
      <c r="BA22">
        <v>1</v>
      </c>
      <c r="BB22" t="s">
        <v>1044</v>
      </c>
      <c r="BC22" t="s">
        <v>2935</v>
      </c>
      <c r="BD22" t="s">
        <v>1021</v>
      </c>
      <c r="BE22" t="s">
        <v>74</v>
      </c>
      <c r="BF22" t="s">
        <v>204</v>
      </c>
      <c r="BH22" t="s">
        <v>2715</v>
      </c>
      <c r="BK22">
        <v>3</v>
      </c>
      <c r="BL22">
        <v>3</v>
      </c>
      <c r="BM22" t="s">
        <v>2847</v>
      </c>
    </row>
    <row r="23" spans="1:65" x14ac:dyDescent="0.3">
      <c r="A23">
        <v>1340</v>
      </c>
      <c r="B23" t="s">
        <v>61</v>
      </c>
      <c r="C23" t="s">
        <v>194</v>
      </c>
      <c r="D23">
        <v>42</v>
      </c>
      <c r="E23" t="s">
        <v>589</v>
      </c>
      <c r="F23">
        <v>78</v>
      </c>
      <c r="G23" t="s">
        <v>2801</v>
      </c>
      <c r="H23">
        <v>1340</v>
      </c>
      <c r="I23">
        <v>1</v>
      </c>
      <c r="J23" t="s">
        <v>642</v>
      </c>
      <c r="K23" s="5">
        <v>45803</v>
      </c>
      <c r="L23" s="5">
        <v>45915</v>
      </c>
      <c r="M23">
        <v>5000</v>
      </c>
      <c r="N23">
        <v>5267.04</v>
      </c>
      <c r="O23">
        <v>36</v>
      </c>
      <c r="P23">
        <v>16</v>
      </c>
      <c r="Q23" t="s">
        <v>469</v>
      </c>
      <c r="R23">
        <v>475.43</v>
      </c>
      <c r="S23">
        <v>928</v>
      </c>
      <c r="T23">
        <v>1160</v>
      </c>
      <c r="U23">
        <v>16</v>
      </c>
      <c r="V23">
        <v>1.1000000000000001</v>
      </c>
      <c r="W23">
        <v>358.65000000000003</v>
      </c>
      <c r="X23">
        <v>1896.89</v>
      </c>
      <c r="Y23">
        <v>358.65000000000003</v>
      </c>
      <c r="Z23">
        <v>88.24</v>
      </c>
      <c r="AA23">
        <v>290</v>
      </c>
      <c r="AB23">
        <v>1160</v>
      </c>
      <c r="AC23">
        <v>438</v>
      </c>
      <c r="AD23" s="5">
        <v>45938</v>
      </c>
      <c r="AE23" t="s">
        <v>69</v>
      </c>
      <c r="AF23">
        <v>7201686870</v>
      </c>
      <c r="AG23" t="s">
        <v>643</v>
      </c>
      <c r="AI23" t="s">
        <v>644</v>
      </c>
      <c r="AJ23">
        <v>6212013</v>
      </c>
      <c r="AM23" t="s">
        <v>831</v>
      </c>
      <c r="AN23">
        <v>7228634600</v>
      </c>
      <c r="AO23" t="s">
        <v>832</v>
      </c>
      <c r="AP23">
        <v>7228634600</v>
      </c>
      <c r="AQ23" t="s">
        <v>833</v>
      </c>
      <c r="AR23">
        <v>5564729233</v>
      </c>
      <c r="AY23">
        <v>1896.89</v>
      </c>
      <c r="AZ23">
        <v>0</v>
      </c>
      <c r="BA23">
        <v>1</v>
      </c>
      <c r="BB23" t="s">
        <v>1044</v>
      </c>
      <c r="BC23" t="s">
        <v>2999</v>
      </c>
      <c r="BD23" t="s">
        <v>645</v>
      </c>
      <c r="BE23" t="s">
        <v>74</v>
      </c>
      <c r="BF23" t="s">
        <v>646</v>
      </c>
      <c r="BH23" t="s">
        <v>2715</v>
      </c>
      <c r="BK23">
        <v>7</v>
      </c>
      <c r="BL23">
        <v>6</v>
      </c>
      <c r="BM23" t="s">
        <v>2847</v>
      </c>
    </row>
    <row r="24" spans="1:65" x14ac:dyDescent="0.3">
      <c r="A24">
        <v>1473</v>
      </c>
      <c r="B24" t="s">
        <v>61</v>
      </c>
      <c r="C24" t="s">
        <v>194</v>
      </c>
      <c r="D24">
        <v>42</v>
      </c>
      <c r="E24" t="s">
        <v>589</v>
      </c>
      <c r="F24">
        <v>78</v>
      </c>
      <c r="G24" t="s">
        <v>2801</v>
      </c>
      <c r="H24">
        <v>1473</v>
      </c>
      <c r="I24">
        <v>1</v>
      </c>
      <c r="J24" t="s">
        <v>1585</v>
      </c>
      <c r="K24" s="5">
        <v>45846</v>
      </c>
      <c r="L24" s="5">
        <v>46211</v>
      </c>
      <c r="M24">
        <v>10000</v>
      </c>
      <c r="N24">
        <v>10534.08</v>
      </c>
      <c r="O24">
        <v>36</v>
      </c>
      <c r="P24">
        <v>12</v>
      </c>
      <c r="Q24" t="s">
        <v>68</v>
      </c>
      <c r="R24">
        <v>1702.69</v>
      </c>
      <c r="S24">
        <v>696</v>
      </c>
      <c r="T24">
        <v>1160</v>
      </c>
      <c r="U24">
        <v>0</v>
      </c>
      <c r="V24">
        <v>2</v>
      </c>
      <c r="W24">
        <v>9656.24</v>
      </c>
      <c r="X24">
        <v>4564.08</v>
      </c>
      <c r="Y24">
        <v>1755.68</v>
      </c>
      <c r="Z24">
        <v>1533.71</v>
      </c>
      <c r="AA24">
        <v>114.69</v>
      </c>
      <c r="AB24">
        <v>1160</v>
      </c>
      <c r="AC24">
        <v>2284</v>
      </c>
      <c r="AD24" s="5">
        <v>45890</v>
      </c>
      <c r="AE24" t="s">
        <v>69</v>
      </c>
      <c r="AF24">
        <v>7226407121</v>
      </c>
      <c r="AG24" t="s">
        <v>1586</v>
      </c>
      <c r="AI24" t="s">
        <v>1360</v>
      </c>
      <c r="AJ24">
        <v>6999041</v>
      </c>
      <c r="AM24" t="s">
        <v>1587</v>
      </c>
      <c r="AN24">
        <v>7226682127</v>
      </c>
      <c r="AO24" t="s">
        <v>1588</v>
      </c>
      <c r="AP24">
        <v>7221854627</v>
      </c>
      <c r="AQ24" t="s">
        <v>1589</v>
      </c>
      <c r="AR24">
        <v>7221056419</v>
      </c>
      <c r="AY24">
        <v>19366.3</v>
      </c>
      <c r="AZ24">
        <v>0</v>
      </c>
      <c r="BA24">
        <v>1</v>
      </c>
      <c r="BB24" t="s">
        <v>1044</v>
      </c>
      <c r="BC24" t="s">
        <v>3017</v>
      </c>
      <c r="BD24" t="s">
        <v>550</v>
      </c>
      <c r="BE24" t="s">
        <v>74</v>
      </c>
      <c r="BF24" t="s">
        <v>503</v>
      </c>
      <c r="BG24" t="s">
        <v>1590</v>
      </c>
      <c r="BH24" t="s">
        <v>2715</v>
      </c>
      <c r="BK24">
        <v>3</v>
      </c>
      <c r="BL24">
        <v>3</v>
      </c>
      <c r="BM24" t="s">
        <v>2847</v>
      </c>
    </row>
    <row r="25" spans="1:65" x14ac:dyDescent="0.3">
      <c r="A25">
        <v>1333</v>
      </c>
      <c r="B25" t="s">
        <v>61</v>
      </c>
      <c r="C25" t="s">
        <v>194</v>
      </c>
      <c r="D25">
        <v>41</v>
      </c>
      <c r="E25" t="s">
        <v>595</v>
      </c>
      <c r="F25">
        <v>39</v>
      </c>
      <c r="G25" t="s">
        <v>2763</v>
      </c>
      <c r="H25">
        <v>1333</v>
      </c>
      <c r="I25">
        <v>1</v>
      </c>
      <c r="J25" t="s">
        <v>627</v>
      </c>
      <c r="K25" s="5">
        <v>45799</v>
      </c>
      <c r="L25" s="5">
        <v>45967</v>
      </c>
      <c r="M25">
        <v>5000</v>
      </c>
      <c r="N25">
        <v>5267.04</v>
      </c>
      <c r="O25">
        <v>33</v>
      </c>
      <c r="P25">
        <v>12</v>
      </c>
      <c r="Q25" t="s">
        <v>496</v>
      </c>
      <c r="R25">
        <v>673.4</v>
      </c>
      <c r="S25">
        <v>696</v>
      </c>
      <c r="T25">
        <v>1740</v>
      </c>
      <c r="U25">
        <v>10</v>
      </c>
      <c r="V25">
        <v>3</v>
      </c>
      <c r="W25">
        <v>2194.6</v>
      </c>
      <c r="X25">
        <v>3750.01</v>
      </c>
      <c r="Y25">
        <v>1316.76</v>
      </c>
      <c r="Z25">
        <v>529.44000000000005</v>
      </c>
      <c r="AA25">
        <v>163.81</v>
      </c>
      <c r="AB25">
        <v>1740</v>
      </c>
      <c r="AC25">
        <v>675</v>
      </c>
      <c r="AD25" s="5">
        <v>45897</v>
      </c>
      <c r="AE25" t="s">
        <v>69</v>
      </c>
      <c r="AF25">
        <v>7298803794</v>
      </c>
      <c r="AG25" t="s">
        <v>628</v>
      </c>
      <c r="AI25" t="s">
        <v>86</v>
      </c>
      <c r="AJ25">
        <v>8711021</v>
      </c>
      <c r="AM25" t="s">
        <v>840</v>
      </c>
      <c r="AN25">
        <v>7221196228</v>
      </c>
      <c r="AO25" t="s">
        <v>838</v>
      </c>
      <c r="AP25">
        <v>7222459682</v>
      </c>
      <c r="AQ25" t="s">
        <v>839</v>
      </c>
      <c r="AR25">
        <v>7225119418</v>
      </c>
      <c r="AY25">
        <v>4980.8100000000004</v>
      </c>
      <c r="AZ25">
        <v>0</v>
      </c>
      <c r="BA25">
        <v>1</v>
      </c>
      <c r="BB25" t="s">
        <v>1044</v>
      </c>
      <c r="BC25" t="s">
        <v>2885</v>
      </c>
      <c r="BD25" t="s">
        <v>251</v>
      </c>
      <c r="BE25" t="s">
        <v>74</v>
      </c>
      <c r="BF25" t="s">
        <v>194</v>
      </c>
      <c r="BH25" t="s">
        <v>2715</v>
      </c>
      <c r="BK25">
        <v>3</v>
      </c>
      <c r="BL25">
        <v>3</v>
      </c>
      <c r="BM25" t="s">
        <v>2847</v>
      </c>
    </row>
    <row r="26" spans="1:65" x14ac:dyDescent="0.3">
      <c r="A26">
        <v>1482</v>
      </c>
      <c r="B26" t="s">
        <v>61</v>
      </c>
      <c r="C26" t="s">
        <v>194</v>
      </c>
      <c r="D26">
        <v>42</v>
      </c>
      <c r="E26" t="s">
        <v>589</v>
      </c>
      <c r="F26">
        <v>78</v>
      </c>
      <c r="G26" t="s">
        <v>2801</v>
      </c>
      <c r="H26">
        <v>1482</v>
      </c>
      <c r="I26">
        <v>1</v>
      </c>
      <c r="J26" t="s">
        <v>1682</v>
      </c>
      <c r="K26" s="5">
        <v>45855</v>
      </c>
      <c r="L26" s="5">
        <v>46023</v>
      </c>
      <c r="M26">
        <v>5000</v>
      </c>
      <c r="N26">
        <v>5267.04</v>
      </c>
      <c r="O26">
        <v>33</v>
      </c>
      <c r="P26">
        <v>24</v>
      </c>
      <c r="Q26" t="s">
        <v>469</v>
      </c>
      <c r="R26">
        <v>365.7</v>
      </c>
      <c r="S26">
        <v>1392</v>
      </c>
      <c r="T26">
        <v>2421.2600000000002</v>
      </c>
      <c r="U26">
        <v>12</v>
      </c>
      <c r="V26">
        <v>5</v>
      </c>
      <c r="W26">
        <v>3730.82</v>
      </c>
      <c r="X26">
        <v>4191.7700000000004</v>
      </c>
      <c r="Y26">
        <v>1097.3</v>
      </c>
      <c r="Z26">
        <v>441.21000000000004</v>
      </c>
      <c r="AA26">
        <v>232</v>
      </c>
      <c r="AB26">
        <v>2421.2600000000002</v>
      </c>
      <c r="AC26">
        <v>370</v>
      </c>
      <c r="AD26" s="5">
        <v>45939</v>
      </c>
      <c r="AE26" t="s">
        <v>69</v>
      </c>
      <c r="AF26">
        <v>5649639680</v>
      </c>
      <c r="AG26" t="s">
        <v>1683</v>
      </c>
      <c r="AI26" t="s">
        <v>1684</v>
      </c>
      <c r="AJ26">
        <v>2094027</v>
      </c>
      <c r="AK26" t="s">
        <v>1685</v>
      </c>
      <c r="AM26" t="s">
        <v>1686</v>
      </c>
      <c r="AN26">
        <v>7224567448</v>
      </c>
      <c r="AO26" t="s">
        <v>1687</v>
      </c>
      <c r="AP26">
        <v>7223153613</v>
      </c>
      <c r="AQ26" t="s">
        <v>1688</v>
      </c>
      <c r="AR26">
        <v>7222405074</v>
      </c>
      <c r="AY26">
        <v>7884.17</v>
      </c>
      <c r="AZ26">
        <v>0</v>
      </c>
      <c r="BA26">
        <v>1</v>
      </c>
      <c r="BB26" t="s">
        <v>1044</v>
      </c>
      <c r="BC26" t="s">
        <v>2962</v>
      </c>
      <c r="BD26" t="s">
        <v>503</v>
      </c>
      <c r="BE26" t="s">
        <v>74</v>
      </c>
      <c r="BF26" t="s">
        <v>503</v>
      </c>
      <c r="BG26" t="s">
        <v>1689</v>
      </c>
      <c r="BH26" t="s">
        <v>2715</v>
      </c>
      <c r="BK26">
        <v>11</v>
      </c>
      <c r="BL26">
        <v>9</v>
      </c>
      <c r="BM26" t="s">
        <v>2847</v>
      </c>
    </row>
    <row r="27" spans="1:65" x14ac:dyDescent="0.3">
      <c r="A27">
        <v>1747</v>
      </c>
      <c r="B27" t="s">
        <v>61</v>
      </c>
      <c r="C27" t="s">
        <v>194</v>
      </c>
      <c r="D27">
        <v>42</v>
      </c>
      <c r="E27" t="s">
        <v>589</v>
      </c>
      <c r="F27">
        <v>39</v>
      </c>
      <c r="G27" t="s">
        <v>2763</v>
      </c>
      <c r="H27">
        <v>1747</v>
      </c>
      <c r="I27">
        <v>1</v>
      </c>
      <c r="J27" t="s">
        <v>2744</v>
      </c>
      <c r="K27" s="5">
        <v>45883</v>
      </c>
      <c r="L27" s="5">
        <v>46248</v>
      </c>
      <c r="M27">
        <v>20000</v>
      </c>
      <c r="N27">
        <v>21068.16</v>
      </c>
      <c r="O27">
        <v>29</v>
      </c>
      <c r="P27">
        <v>12</v>
      </c>
      <c r="Q27" t="s">
        <v>68</v>
      </c>
      <c r="R27">
        <v>3347.38</v>
      </c>
      <c r="S27">
        <v>696</v>
      </c>
      <c r="T27">
        <v>0</v>
      </c>
      <c r="U27">
        <v>0</v>
      </c>
      <c r="V27">
        <v>1</v>
      </c>
      <c r="W27">
        <v>19389.86</v>
      </c>
      <c r="X27">
        <v>3424.77</v>
      </c>
      <c r="Y27">
        <v>1833.06</v>
      </c>
      <c r="Z27">
        <v>1533.71</v>
      </c>
      <c r="AA27">
        <v>58</v>
      </c>
      <c r="AB27">
        <v>0</v>
      </c>
      <c r="AC27">
        <v>3850</v>
      </c>
      <c r="AD27" s="5">
        <v>45924</v>
      </c>
      <c r="AE27" t="s">
        <v>69</v>
      </c>
      <c r="AF27">
        <v>7226031899</v>
      </c>
      <c r="AG27" t="s">
        <v>2746</v>
      </c>
      <c r="AI27" t="s">
        <v>393</v>
      </c>
      <c r="AJ27">
        <v>131011</v>
      </c>
      <c r="AK27" t="s">
        <v>2747</v>
      </c>
      <c r="AM27" t="s">
        <v>2748</v>
      </c>
      <c r="AN27">
        <v>7225740332</v>
      </c>
      <c r="AO27" t="s">
        <v>2750</v>
      </c>
      <c r="AP27">
        <v>7226422996</v>
      </c>
      <c r="AQ27" t="s">
        <v>2752</v>
      </c>
      <c r="AR27">
        <v>27292944394</v>
      </c>
      <c r="AY27">
        <v>36318.6</v>
      </c>
      <c r="AZ27">
        <v>0</v>
      </c>
      <c r="BA27">
        <v>1</v>
      </c>
      <c r="BB27" t="s">
        <v>1044</v>
      </c>
      <c r="BC27" t="s">
        <v>2870</v>
      </c>
      <c r="BD27" t="s">
        <v>2754</v>
      </c>
      <c r="BE27" t="s">
        <v>74</v>
      </c>
      <c r="BF27" t="s">
        <v>503</v>
      </c>
      <c r="BG27" t="s">
        <v>2755</v>
      </c>
      <c r="BH27" t="s">
        <v>2715</v>
      </c>
      <c r="BK27">
        <v>2</v>
      </c>
      <c r="BL27">
        <v>2</v>
      </c>
      <c r="BM27" t="s">
        <v>2847</v>
      </c>
    </row>
    <row r="28" spans="1:65" x14ac:dyDescent="0.3">
      <c r="A28">
        <v>1540</v>
      </c>
      <c r="B28" t="s">
        <v>61</v>
      </c>
      <c r="C28" t="s">
        <v>194</v>
      </c>
      <c r="D28">
        <v>41</v>
      </c>
      <c r="E28" t="s">
        <v>595</v>
      </c>
      <c r="F28">
        <v>78</v>
      </c>
      <c r="G28" t="s">
        <v>2801</v>
      </c>
      <c r="H28">
        <v>1540</v>
      </c>
      <c r="I28">
        <v>1</v>
      </c>
      <c r="J28" t="s">
        <v>1624</v>
      </c>
      <c r="K28" s="5">
        <v>45853</v>
      </c>
      <c r="L28" s="5">
        <v>46218</v>
      </c>
      <c r="M28">
        <v>10000</v>
      </c>
      <c r="N28">
        <v>10534.08</v>
      </c>
      <c r="O28">
        <v>29</v>
      </c>
      <c r="P28">
        <v>12</v>
      </c>
      <c r="Q28" t="s">
        <v>68</v>
      </c>
      <c r="R28">
        <v>1702.69</v>
      </c>
      <c r="S28">
        <v>696</v>
      </c>
      <c r="T28">
        <v>580</v>
      </c>
      <c r="U28">
        <v>0</v>
      </c>
      <c r="V28">
        <v>1</v>
      </c>
      <c r="W28">
        <v>9656.24</v>
      </c>
      <c r="X28">
        <v>2265.3835253333327</v>
      </c>
      <c r="Y28">
        <v>877.84</v>
      </c>
      <c r="Z28">
        <v>766.85</v>
      </c>
      <c r="AA28">
        <v>40.69</v>
      </c>
      <c r="AB28">
        <v>580</v>
      </c>
      <c r="AC28">
        <v>600</v>
      </c>
      <c r="AD28" s="5">
        <v>45890</v>
      </c>
      <c r="AE28" t="s">
        <v>69</v>
      </c>
      <c r="AF28">
        <v>7223455461</v>
      </c>
      <c r="AG28" t="s">
        <v>1625</v>
      </c>
      <c r="AI28" t="s">
        <v>684</v>
      </c>
      <c r="AJ28">
        <v>2071017</v>
      </c>
      <c r="AK28" t="s">
        <v>1626</v>
      </c>
      <c r="AM28" t="s">
        <v>1627</v>
      </c>
      <c r="AN28">
        <v>7228600375</v>
      </c>
      <c r="AO28" t="s">
        <v>1628</v>
      </c>
      <c r="AP28">
        <v>5530791723</v>
      </c>
      <c r="AQ28" t="s">
        <v>1629</v>
      </c>
      <c r="AR28">
        <v>7205832505</v>
      </c>
      <c r="AY28">
        <v>18712.3</v>
      </c>
      <c r="AZ28">
        <v>0</v>
      </c>
      <c r="BA28">
        <v>1</v>
      </c>
      <c r="BB28" t="s">
        <v>1044</v>
      </c>
      <c r="BC28" t="s">
        <v>2959</v>
      </c>
      <c r="BD28" t="s">
        <v>1630</v>
      </c>
      <c r="BE28" t="s">
        <v>74</v>
      </c>
      <c r="BF28" t="s">
        <v>194</v>
      </c>
      <c r="BG28" t="s">
        <v>1631</v>
      </c>
      <c r="BH28" t="s">
        <v>2715</v>
      </c>
      <c r="BK28">
        <v>2</v>
      </c>
      <c r="BL28">
        <v>2</v>
      </c>
      <c r="BM28" t="s">
        <v>2847</v>
      </c>
    </row>
    <row r="29" spans="1:65" x14ac:dyDescent="0.3">
      <c r="A29">
        <v>1765</v>
      </c>
      <c r="B29" t="s">
        <v>61</v>
      </c>
      <c r="C29" t="s">
        <v>194</v>
      </c>
      <c r="D29">
        <v>42</v>
      </c>
      <c r="E29" t="s">
        <v>589</v>
      </c>
      <c r="F29">
        <v>78</v>
      </c>
      <c r="G29" t="s">
        <v>2801</v>
      </c>
      <c r="H29">
        <v>1765</v>
      </c>
      <c r="I29">
        <v>1</v>
      </c>
      <c r="J29" t="s">
        <v>2717</v>
      </c>
      <c r="K29" s="5">
        <v>45883</v>
      </c>
      <c r="L29" s="5">
        <v>46067</v>
      </c>
      <c r="M29">
        <v>10000</v>
      </c>
      <c r="N29">
        <v>10534.08</v>
      </c>
      <c r="O29">
        <v>29</v>
      </c>
      <c r="P29">
        <v>6</v>
      </c>
      <c r="Q29" t="s">
        <v>68</v>
      </c>
      <c r="R29">
        <v>2586.83</v>
      </c>
      <c r="S29">
        <v>348</v>
      </c>
      <c r="T29">
        <v>580</v>
      </c>
      <c r="U29">
        <v>0</v>
      </c>
      <c r="V29">
        <v>2</v>
      </c>
      <c r="W29">
        <v>10534.08</v>
      </c>
      <c r="X29">
        <v>5753.67</v>
      </c>
      <c r="Y29">
        <v>3511.36</v>
      </c>
      <c r="Z29">
        <v>1546.31</v>
      </c>
      <c r="AA29">
        <v>116</v>
      </c>
      <c r="AB29">
        <v>580</v>
      </c>
      <c r="AE29" t="s">
        <v>69</v>
      </c>
      <c r="AF29">
        <v>7201474818</v>
      </c>
      <c r="AG29" t="s">
        <v>2719</v>
      </c>
      <c r="AI29" t="s">
        <v>393</v>
      </c>
      <c r="AJ29">
        <v>131011</v>
      </c>
      <c r="AK29" t="s">
        <v>2720</v>
      </c>
      <c r="AM29" t="s">
        <v>2721</v>
      </c>
      <c r="AN29">
        <v>7224658183</v>
      </c>
      <c r="AO29" t="s">
        <v>2723</v>
      </c>
      <c r="AP29">
        <v>7221315918</v>
      </c>
      <c r="AQ29" t="s">
        <v>2725</v>
      </c>
      <c r="AR29">
        <v>7224592356</v>
      </c>
      <c r="AY29">
        <v>15869.01</v>
      </c>
      <c r="AZ29">
        <v>0</v>
      </c>
      <c r="BA29">
        <v>1</v>
      </c>
      <c r="BB29" t="s">
        <v>1044</v>
      </c>
      <c r="BC29" t="s">
        <v>2727</v>
      </c>
      <c r="BD29" t="s">
        <v>2728</v>
      </c>
      <c r="BE29" t="s">
        <v>74</v>
      </c>
      <c r="BF29" t="s">
        <v>194</v>
      </c>
      <c r="BG29" t="s">
        <v>2729</v>
      </c>
      <c r="BH29" t="s">
        <v>2715</v>
      </c>
      <c r="BK29">
        <v>2</v>
      </c>
      <c r="BL29">
        <v>2</v>
      </c>
      <c r="BM29" t="s">
        <v>2847</v>
      </c>
    </row>
    <row r="30" spans="1:65" x14ac:dyDescent="0.3">
      <c r="A30">
        <v>1439</v>
      </c>
      <c r="B30" t="s">
        <v>61</v>
      </c>
      <c r="C30" t="s">
        <v>194</v>
      </c>
      <c r="D30">
        <v>41</v>
      </c>
      <c r="E30" t="s">
        <v>595</v>
      </c>
      <c r="F30">
        <v>78</v>
      </c>
      <c r="G30" t="s">
        <v>2801</v>
      </c>
      <c r="H30">
        <v>1439</v>
      </c>
      <c r="I30">
        <v>1</v>
      </c>
      <c r="J30" t="s">
        <v>1335</v>
      </c>
      <c r="K30" s="5">
        <v>45832</v>
      </c>
      <c r="L30" s="5">
        <v>46000</v>
      </c>
      <c r="M30">
        <v>8000</v>
      </c>
      <c r="N30">
        <v>8427.26</v>
      </c>
      <c r="O30">
        <v>27</v>
      </c>
      <c r="P30">
        <v>12</v>
      </c>
      <c r="Q30" t="s">
        <v>496</v>
      </c>
      <c r="R30">
        <v>1042.6400000000001</v>
      </c>
      <c r="S30">
        <v>696</v>
      </c>
      <c r="T30">
        <v>1160</v>
      </c>
      <c r="U30">
        <v>8</v>
      </c>
      <c r="V30">
        <v>3</v>
      </c>
      <c r="W30">
        <v>4915.9000000000005</v>
      </c>
      <c r="X30">
        <v>4251.1333000000004</v>
      </c>
      <c r="Y30">
        <v>2106.81</v>
      </c>
      <c r="Z30">
        <v>847.11</v>
      </c>
      <c r="AA30">
        <v>137.21</v>
      </c>
      <c r="AB30">
        <v>1160</v>
      </c>
      <c r="AC30">
        <v>1650</v>
      </c>
      <c r="AD30" s="5">
        <v>45905</v>
      </c>
      <c r="AE30" t="s">
        <v>69</v>
      </c>
      <c r="AF30">
        <v>7122231528</v>
      </c>
      <c r="AG30" t="s">
        <v>1336</v>
      </c>
      <c r="AI30" t="s">
        <v>283</v>
      </c>
      <c r="AJ30">
        <v>8944098</v>
      </c>
      <c r="AK30" t="s">
        <v>1337</v>
      </c>
      <c r="AM30" t="s">
        <v>1338</v>
      </c>
      <c r="AN30">
        <v>7225205121</v>
      </c>
      <c r="AO30" t="s">
        <v>1339</v>
      </c>
      <c r="AP30">
        <v>7222024897</v>
      </c>
      <c r="AQ30" t="s">
        <v>1340</v>
      </c>
      <c r="AR30">
        <v>7228353081</v>
      </c>
      <c r="AY30">
        <v>8189.6900000000005</v>
      </c>
      <c r="AZ30">
        <v>0</v>
      </c>
      <c r="BA30">
        <v>1</v>
      </c>
      <c r="BB30" t="s">
        <v>1044</v>
      </c>
      <c r="BC30" t="s">
        <v>2920</v>
      </c>
      <c r="BD30" t="s">
        <v>1584</v>
      </c>
      <c r="BE30" t="s">
        <v>74</v>
      </c>
      <c r="BF30" t="s">
        <v>194</v>
      </c>
      <c r="BG30" t="s">
        <v>1341</v>
      </c>
      <c r="BH30" t="s">
        <v>2715</v>
      </c>
      <c r="BK30">
        <v>4</v>
      </c>
      <c r="BL30">
        <v>4</v>
      </c>
      <c r="BM30" t="s">
        <v>2847</v>
      </c>
    </row>
    <row r="31" spans="1:65" x14ac:dyDescent="0.3">
      <c r="A31">
        <v>1420</v>
      </c>
      <c r="B31" t="s">
        <v>61</v>
      </c>
      <c r="C31" t="s">
        <v>194</v>
      </c>
      <c r="D31">
        <v>42</v>
      </c>
      <c r="E31" t="s">
        <v>589</v>
      </c>
      <c r="F31">
        <v>39</v>
      </c>
      <c r="G31" t="s">
        <v>2763</v>
      </c>
      <c r="H31">
        <v>1420</v>
      </c>
      <c r="I31">
        <v>1</v>
      </c>
      <c r="J31" t="s">
        <v>1235</v>
      </c>
      <c r="K31" s="5">
        <v>45827</v>
      </c>
      <c r="L31" s="5">
        <v>46192</v>
      </c>
      <c r="M31">
        <v>25000</v>
      </c>
      <c r="N31">
        <v>26335.190000000002</v>
      </c>
      <c r="O31">
        <v>25</v>
      </c>
      <c r="P31">
        <v>12</v>
      </c>
      <c r="Q31" t="s">
        <v>68</v>
      </c>
      <c r="R31">
        <v>4169.7300000000005</v>
      </c>
      <c r="S31">
        <v>696</v>
      </c>
      <c r="T31">
        <v>580</v>
      </c>
      <c r="U31">
        <v>0</v>
      </c>
      <c r="V31">
        <v>1</v>
      </c>
      <c r="W31">
        <v>21945.99</v>
      </c>
      <c r="X31">
        <v>4749.1875</v>
      </c>
      <c r="Y31">
        <v>2194.6</v>
      </c>
      <c r="Z31">
        <v>1917.13</v>
      </c>
      <c r="AA31">
        <v>57.46</v>
      </c>
      <c r="AB31">
        <v>580</v>
      </c>
      <c r="AC31">
        <v>4140</v>
      </c>
      <c r="AD31" s="5">
        <v>45888</v>
      </c>
      <c r="AE31" t="s">
        <v>69</v>
      </c>
      <c r="AF31">
        <v>7228603189</v>
      </c>
      <c r="AG31" t="s">
        <v>1236</v>
      </c>
      <c r="AI31" t="s">
        <v>86</v>
      </c>
      <c r="AJ31">
        <v>8711021</v>
      </c>
      <c r="AK31" t="s">
        <v>1237</v>
      </c>
      <c r="AM31" t="s">
        <v>1238</v>
      </c>
      <c r="AN31">
        <v>7228603189</v>
      </c>
      <c r="AO31" t="s">
        <v>1239</v>
      </c>
      <c r="AP31">
        <v>7224516487</v>
      </c>
      <c r="AQ31" t="s">
        <v>1240</v>
      </c>
      <c r="AR31">
        <v>7294881432</v>
      </c>
      <c r="AY31">
        <v>41754.730000000003</v>
      </c>
      <c r="AZ31">
        <v>0</v>
      </c>
      <c r="BA31">
        <v>1</v>
      </c>
      <c r="BB31" t="s">
        <v>1044</v>
      </c>
      <c r="BC31" t="s">
        <v>2884</v>
      </c>
      <c r="BD31" t="s">
        <v>503</v>
      </c>
      <c r="BE31" t="s">
        <v>74</v>
      </c>
      <c r="BF31" t="s">
        <v>503</v>
      </c>
      <c r="BG31" t="s">
        <v>1241</v>
      </c>
      <c r="BH31" t="s">
        <v>2715</v>
      </c>
      <c r="BK31">
        <v>1</v>
      </c>
      <c r="BL31">
        <v>1</v>
      </c>
      <c r="BM31" t="s">
        <v>2847</v>
      </c>
    </row>
    <row r="32" spans="1:65" x14ac:dyDescent="0.3">
      <c r="A32">
        <v>1807</v>
      </c>
      <c r="B32" t="s">
        <v>61</v>
      </c>
      <c r="C32" t="s">
        <v>194</v>
      </c>
      <c r="D32">
        <v>42</v>
      </c>
      <c r="E32" t="s">
        <v>589</v>
      </c>
      <c r="F32">
        <v>78</v>
      </c>
      <c r="G32" t="s">
        <v>2801</v>
      </c>
      <c r="H32">
        <v>1807</v>
      </c>
      <c r="I32">
        <v>1</v>
      </c>
      <c r="J32" t="s">
        <v>2788</v>
      </c>
      <c r="K32" s="5">
        <v>45891</v>
      </c>
      <c r="L32" s="5">
        <v>46059</v>
      </c>
      <c r="M32">
        <v>10000</v>
      </c>
      <c r="N32">
        <v>10534.08</v>
      </c>
      <c r="O32">
        <v>25</v>
      </c>
      <c r="P32">
        <v>12</v>
      </c>
      <c r="Q32" t="s">
        <v>496</v>
      </c>
      <c r="R32">
        <v>1288.8</v>
      </c>
      <c r="S32">
        <v>696</v>
      </c>
      <c r="T32">
        <v>1160</v>
      </c>
      <c r="U32">
        <v>3</v>
      </c>
      <c r="V32">
        <v>2</v>
      </c>
      <c r="W32">
        <v>9656.24</v>
      </c>
      <c r="X32">
        <v>3737.61</v>
      </c>
      <c r="Y32">
        <v>1755.68</v>
      </c>
      <c r="Z32">
        <v>705.93000000000006</v>
      </c>
      <c r="AA32">
        <v>116</v>
      </c>
      <c r="AB32">
        <v>1160</v>
      </c>
      <c r="AC32">
        <v>1288.8</v>
      </c>
      <c r="AD32" s="5">
        <v>45905</v>
      </c>
      <c r="AE32" t="s">
        <v>69</v>
      </c>
      <c r="AF32">
        <v>7222950728</v>
      </c>
      <c r="AG32" t="s">
        <v>2790</v>
      </c>
      <c r="AI32" t="s">
        <v>481</v>
      </c>
      <c r="AJ32">
        <v>8712011</v>
      </c>
      <c r="AK32" t="s">
        <v>2791</v>
      </c>
      <c r="AM32" t="s">
        <v>2792</v>
      </c>
      <c r="AN32">
        <v>7224239669</v>
      </c>
      <c r="AO32" t="s">
        <v>2794</v>
      </c>
      <c r="AP32">
        <v>7294677816</v>
      </c>
      <c r="AQ32" t="s">
        <v>2796</v>
      </c>
      <c r="AR32">
        <v>7224673273</v>
      </c>
      <c r="AY32">
        <v>14814.82</v>
      </c>
      <c r="AZ32">
        <v>0</v>
      </c>
      <c r="BA32">
        <v>1</v>
      </c>
      <c r="BB32" t="s">
        <v>1044</v>
      </c>
      <c r="BC32" t="s">
        <v>2895</v>
      </c>
      <c r="BD32" t="s">
        <v>2798</v>
      </c>
      <c r="BE32" t="s">
        <v>74</v>
      </c>
      <c r="BF32" t="s">
        <v>194</v>
      </c>
      <c r="BG32" t="s">
        <v>2799</v>
      </c>
      <c r="BH32" t="s">
        <v>2715</v>
      </c>
      <c r="BK32">
        <v>2</v>
      </c>
      <c r="BL32">
        <v>2</v>
      </c>
      <c r="BM32" t="s">
        <v>2847</v>
      </c>
    </row>
    <row r="33" spans="1:65" x14ac:dyDescent="0.3">
      <c r="A33">
        <v>1619</v>
      </c>
      <c r="B33" t="s">
        <v>61</v>
      </c>
      <c r="C33" t="s">
        <v>194</v>
      </c>
      <c r="D33">
        <v>41</v>
      </c>
      <c r="E33" t="s">
        <v>595</v>
      </c>
      <c r="F33">
        <v>78</v>
      </c>
      <c r="G33" t="s">
        <v>2801</v>
      </c>
      <c r="H33">
        <v>1619</v>
      </c>
      <c r="I33">
        <v>1</v>
      </c>
      <c r="J33" t="s">
        <v>1713</v>
      </c>
      <c r="K33" s="5">
        <v>45860</v>
      </c>
      <c r="L33" s="5">
        <v>46044</v>
      </c>
      <c r="M33">
        <v>5000</v>
      </c>
      <c r="N33">
        <v>5267.04</v>
      </c>
      <c r="O33">
        <v>22</v>
      </c>
      <c r="P33">
        <v>6</v>
      </c>
      <c r="Q33" t="s">
        <v>68</v>
      </c>
      <c r="R33">
        <v>1322.42</v>
      </c>
      <c r="S33">
        <v>348</v>
      </c>
      <c r="T33">
        <v>0</v>
      </c>
      <c r="U33">
        <v>0</v>
      </c>
      <c r="V33">
        <v>0.5</v>
      </c>
      <c r="W33">
        <v>4090.19</v>
      </c>
      <c r="X33">
        <v>578.83465386666705</v>
      </c>
      <c r="Y33">
        <v>578.83000000000004</v>
      </c>
      <c r="Z33">
        <v>0</v>
      </c>
      <c r="AA33">
        <v>0</v>
      </c>
      <c r="AB33">
        <v>0</v>
      </c>
      <c r="AC33">
        <v>580</v>
      </c>
      <c r="AD33" s="5">
        <v>45933</v>
      </c>
      <c r="AE33" t="s">
        <v>69</v>
      </c>
      <c r="AF33">
        <v>7226177941</v>
      </c>
      <c r="AG33" t="s">
        <v>1714</v>
      </c>
      <c r="AI33" t="s">
        <v>1201</v>
      </c>
      <c r="AJ33">
        <v>8933013</v>
      </c>
      <c r="AM33" t="s">
        <v>1715</v>
      </c>
      <c r="AN33">
        <v>7225671064</v>
      </c>
      <c r="AO33" t="s">
        <v>1716</v>
      </c>
      <c r="AP33">
        <v>7226647293</v>
      </c>
      <c r="AQ33" t="s">
        <v>1717</v>
      </c>
      <c r="AR33">
        <v>7292579606</v>
      </c>
      <c r="AY33">
        <v>5636.5</v>
      </c>
      <c r="AZ33">
        <v>0</v>
      </c>
      <c r="BA33">
        <v>1</v>
      </c>
      <c r="BB33" t="s">
        <v>1044</v>
      </c>
      <c r="BC33" t="s">
        <v>2904</v>
      </c>
      <c r="BD33" t="s">
        <v>1718</v>
      </c>
      <c r="BE33" t="s">
        <v>74</v>
      </c>
      <c r="BF33" t="s">
        <v>194</v>
      </c>
      <c r="BG33" t="s">
        <v>1719</v>
      </c>
      <c r="BH33" t="s">
        <v>2715</v>
      </c>
      <c r="BK33">
        <v>2</v>
      </c>
      <c r="BL33">
        <v>2</v>
      </c>
      <c r="BM33" t="s">
        <v>2847</v>
      </c>
    </row>
    <row r="34" spans="1:65" x14ac:dyDescent="0.3">
      <c r="A34">
        <v>1261</v>
      </c>
      <c r="B34" t="s">
        <v>61</v>
      </c>
      <c r="C34" t="s">
        <v>194</v>
      </c>
      <c r="D34">
        <v>37</v>
      </c>
      <c r="E34" t="s">
        <v>409</v>
      </c>
      <c r="F34">
        <v>39</v>
      </c>
      <c r="G34" t="s">
        <v>2763</v>
      </c>
      <c r="H34">
        <v>1261</v>
      </c>
      <c r="I34">
        <v>1</v>
      </c>
      <c r="J34" t="s">
        <v>413</v>
      </c>
      <c r="K34" s="5">
        <v>45770</v>
      </c>
      <c r="L34" s="5">
        <v>46135</v>
      </c>
      <c r="M34">
        <v>10000</v>
      </c>
      <c r="N34">
        <v>10534.08</v>
      </c>
      <c r="O34">
        <v>21</v>
      </c>
      <c r="P34">
        <v>12</v>
      </c>
      <c r="Q34" t="s">
        <v>68</v>
      </c>
      <c r="R34">
        <v>1702.69</v>
      </c>
      <c r="S34">
        <v>696</v>
      </c>
      <c r="T34">
        <v>580</v>
      </c>
      <c r="U34">
        <v>0</v>
      </c>
      <c r="V34">
        <v>1</v>
      </c>
      <c r="W34">
        <v>7022.72</v>
      </c>
      <c r="X34">
        <v>2281.46</v>
      </c>
      <c r="Y34">
        <v>877.84</v>
      </c>
      <c r="Z34">
        <v>766.85</v>
      </c>
      <c r="AA34">
        <v>56.77</v>
      </c>
      <c r="AB34">
        <v>580</v>
      </c>
      <c r="AC34">
        <v>1703</v>
      </c>
      <c r="AD34" s="5">
        <v>45909</v>
      </c>
      <c r="AE34" t="s">
        <v>69</v>
      </c>
      <c r="AF34">
        <v>7225684720</v>
      </c>
      <c r="AG34" t="s">
        <v>432</v>
      </c>
      <c r="AI34" t="s">
        <v>425</v>
      </c>
      <c r="AJ34">
        <v>6325048</v>
      </c>
      <c r="AM34" t="s">
        <v>817</v>
      </c>
      <c r="AN34">
        <v>7223216079</v>
      </c>
      <c r="AO34" t="s">
        <v>815</v>
      </c>
      <c r="AP34">
        <v>4434812084</v>
      </c>
      <c r="AQ34" t="s">
        <v>816</v>
      </c>
      <c r="AR34">
        <v>7221309262</v>
      </c>
      <c r="AY34">
        <v>13794.300000000001</v>
      </c>
      <c r="AZ34">
        <v>0</v>
      </c>
      <c r="BA34">
        <v>1</v>
      </c>
      <c r="BB34" t="s">
        <v>1044</v>
      </c>
      <c r="BC34" t="s">
        <v>3010</v>
      </c>
      <c r="BD34" t="s">
        <v>414</v>
      </c>
      <c r="BE34" t="s">
        <v>74</v>
      </c>
      <c r="BF34" t="s">
        <v>415</v>
      </c>
      <c r="BH34" t="s">
        <v>2715</v>
      </c>
      <c r="BK34">
        <v>2</v>
      </c>
      <c r="BL34">
        <v>2</v>
      </c>
      <c r="BM34" t="s">
        <v>2847</v>
      </c>
    </row>
    <row r="35" spans="1:65" x14ac:dyDescent="0.3">
      <c r="A35">
        <v>1303</v>
      </c>
      <c r="B35" t="s">
        <v>61</v>
      </c>
      <c r="C35" t="s">
        <v>194</v>
      </c>
      <c r="D35">
        <v>37</v>
      </c>
      <c r="E35" t="s">
        <v>409</v>
      </c>
      <c r="F35">
        <v>78</v>
      </c>
      <c r="G35" t="s">
        <v>2801</v>
      </c>
      <c r="H35">
        <v>1303</v>
      </c>
      <c r="I35">
        <v>1</v>
      </c>
      <c r="J35" t="s">
        <v>546</v>
      </c>
      <c r="K35" s="5">
        <v>45785</v>
      </c>
      <c r="L35" s="5">
        <v>46150</v>
      </c>
      <c r="M35">
        <v>10000</v>
      </c>
      <c r="N35">
        <v>10534.08</v>
      </c>
      <c r="O35">
        <v>21</v>
      </c>
      <c r="P35">
        <v>24</v>
      </c>
      <c r="Q35" t="s">
        <v>453</v>
      </c>
      <c r="R35">
        <v>880.35</v>
      </c>
      <c r="S35">
        <v>1392</v>
      </c>
      <c r="T35">
        <v>1677.77</v>
      </c>
      <c r="U35">
        <v>0</v>
      </c>
      <c r="V35">
        <v>2</v>
      </c>
      <c r="W35">
        <v>7022.72</v>
      </c>
      <c r="X35">
        <v>3380.46</v>
      </c>
      <c r="Y35">
        <v>877.84</v>
      </c>
      <c r="Z35">
        <v>766.85</v>
      </c>
      <c r="AA35">
        <v>58</v>
      </c>
      <c r="AB35">
        <v>1677.77</v>
      </c>
      <c r="AC35">
        <v>1000</v>
      </c>
      <c r="AD35" s="5">
        <v>45937</v>
      </c>
      <c r="AE35" t="s">
        <v>69</v>
      </c>
      <c r="AF35">
        <v>7225060623</v>
      </c>
      <c r="AG35" t="s">
        <v>547</v>
      </c>
      <c r="AI35" t="s">
        <v>283</v>
      </c>
      <c r="AJ35">
        <v>8944098</v>
      </c>
      <c r="AM35" t="s">
        <v>794</v>
      </c>
      <c r="AN35">
        <v>7226978030</v>
      </c>
      <c r="AO35" t="s">
        <v>792</v>
      </c>
      <c r="AP35">
        <v>7221195350</v>
      </c>
      <c r="AQ35" t="s">
        <v>793</v>
      </c>
      <c r="AR35">
        <v>7223544346</v>
      </c>
      <c r="AY35">
        <v>14893.300000000001</v>
      </c>
      <c r="AZ35">
        <v>0</v>
      </c>
      <c r="BA35">
        <v>1</v>
      </c>
      <c r="BB35" t="s">
        <v>1044</v>
      </c>
      <c r="BC35" t="s">
        <v>2919</v>
      </c>
      <c r="BD35" t="s">
        <v>548</v>
      </c>
      <c r="BE35" t="s">
        <v>74</v>
      </c>
      <c r="BF35" t="s">
        <v>194</v>
      </c>
      <c r="BH35" t="s">
        <v>2715</v>
      </c>
      <c r="BK35">
        <v>7</v>
      </c>
      <c r="BL35">
        <v>5</v>
      </c>
      <c r="BM35" t="s">
        <v>2847</v>
      </c>
    </row>
    <row r="36" spans="1:65" x14ac:dyDescent="0.3">
      <c r="A36">
        <v>1612</v>
      </c>
      <c r="B36" t="s">
        <v>61</v>
      </c>
      <c r="C36" t="s">
        <v>194</v>
      </c>
      <c r="D36">
        <v>42</v>
      </c>
      <c r="E36" t="s">
        <v>589</v>
      </c>
      <c r="F36">
        <v>78</v>
      </c>
      <c r="G36" t="s">
        <v>2801</v>
      </c>
      <c r="H36">
        <v>1612</v>
      </c>
      <c r="I36">
        <v>1</v>
      </c>
      <c r="J36" t="s">
        <v>1743</v>
      </c>
      <c r="K36" s="5">
        <v>45861</v>
      </c>
      <c r="L36" s="5">
        <v>46045</v>
      </c>
      <c r="M36">
        <v>10000</v>
      </c>
      <c r="N36">
        <v>10534.08</v>
      </c>
      <c r="O36">
        <v>21</v>
      </c>
      <c r="P36">
        <v>6</v>
      </c>
      <c r="Q36" t="s">
        <v>68</v>
      </c>
      <c r="R36">
        <v>2586.83</v>
      </c>
      <c r="S36">
        <v>348</v>
      </c>
      <c r="T36">
        <v>580</v>
      </c>
      <c r="U36">
        <v>0</v>
      </c>
      <c r="V36">
        <v>1</v>
      </c>
      <c r="W36">
        <v>8779.23</v>
      </c>
      <c r="X36">
        <v>3167.67</v>
      </c>
      <c r="Y36">
        <v>1756.51</v>
      </c>
      <c r="Z36">
        <v>773.16</v>
      </c>
      <c r="AA36">
        <v>58</v>
      </c>
      <c r="AB36">
        <v>580</v>
      </c>
      <c r="AC36">
        <v>2586</v>
      </c>
      <c r="AD36" s="5">
        <v>45894</v>
      </c>
      <c r="AE36" t="s">
        <v>69</v>
      </c>
      <c r="AF36">
        <v>7299320496</v>
      </c>
      <c r="AG36" t="s">
        <v>1744</v>
      </c>
      <c r="AI36" t="s">
        <v>684</v>
      </c>
      <c r="AJ36">
        <v>2071017</v>
      </c>
      <c r="AK36" t="s">
        <v>1745</v>
      </c>
      <c r="AM36" t="s">
        <v>1746</v>
      </c>
      <c r="AN36">
        <v>7227716303</v>
      </c>
      <c r="AO36" t="s">
        <v>1747</v>
      </c>
      <c r="AP36">
        <v>7203867108</v>
      </c>
      <c r="AQ36" t="s">
        <v>1748</v>
      </c>
      <c r="AR36">
        <v>7146904661</v>
      </c>
      <c r="AY36">
        <v>13283.01</v>
      </c>
      <c r="AZ36">
        <v>0</v>
      </c>
      <c r="BA36">
        <v>1</v>
      </c>
      <c r="BB36" t="s">
        <v>1044</v>
      </c>
      <c r="BC36" t="s">
        <v>1749</v>
      </c>
      <c r="BD36" t="s">
        <v>503</v>
      </c>
      <c r="BE36" t="s">
        <v>74</v>
      </c>
      <c r="BF36" t="s">
        <v>503</v>
      </c>
      <c r="BG36" t="s">
        <v>1742</v>
      </c>
      <c r="BH36" t="s">
        <v>2715</v>
      </c>
      <c r="BK36">
        <v>1</v>
      </c>
      <c r="BL36">
        <v>1</v>
      </c>
      <c r="BM36" t="s">
        <v>2847</v>
      </c>
    </row>
    <row r="37" spans="1:65" x14ac:dyDescent="0.3">
      <c r="A37">
        <v>1262</v>
      </c>
      <c r="B37" t="s">
        <v>61</v>
      </c>
      <c r="C37" t="s">
        <v>194</v>
      </c>
      <c r="D37">
        <v>37</v>
      </c>
      <c r="E37" t="s">
        <v>409</v>
      </c>
      <c r="F37">
        <v>78</v>
      </c>
      <c r="G37" t="s">
        <v>2801</v>
      </c>
      <c r="H37">
        <v>1262</v>
      </c>
      <c r="I37">
        <v>1</v>
      </c>
      <c r="J37" t="s">
        <v>426</v>
      </c>
      <c r="K37" s="5">
        <v>45769</v>
      </c>
      <c r="L37" s="5">
        <v>45953</v>
      </c>
      <c r="M37">
        <v>7000</v>
      </c>
      <c r="N37">
        <v>7373.85</v>
      </c>
      <c r="O37">
        <v>21</v>
      </c>
      <c r="P37">
        <v>6</v>
      </c>
      <c r="Q37" t="s">
        <v>68</v>
      </c>
      <c r="R37">
        <v>1825.24</v>
      </c>
      <c r="S37">
        <v>348</v>
      </c>
      <c r="T37">
        <v>337.97</v>
      </c>
      <c r="U37">
        <v>0</v>
      </c>
      <c r="V37">
        <v>1</v>
      </c>
      <c r="W37">
        <v>2457.9500000000003</v>
      </c>
      <c r="X37">
        <v>2105.2073525000001</v>
      </c>
      <c r="Y37">
        <v>1228.98</v>
      </c>
      <c r="Z37">
        <v>538.26</v>
      </c>
      <c r="AA37">
        <v>0</v>
      </c>
      <c r="AB37">
        <v>337.97</v>
      </c>
      <c r="AC37">
        <v>300</v>
      </c>
      <c r="AD37" s="5">
        <v>45932</v>
      </c>
      <c r="AE37" t="s">
        <v>69</v>
      </c>
      <c r="AF37">
        <v>7228880732</v>
      </c>
      <c r="AG37" t="s">
        <v>427</v>
      </c>
      <c r="AI37" t="s">
        <v>428</v>
      </c>
      <c r="AJ37">
        <v>6326012</v>
      </c>
      <c r="AM37" t="s">
        <v>827</v>
      </c>
      <c r="AN37">
        <v>4941005791</v>
      </c>
      <c r="AO37" t="s">
        <v>825</v>
      </c>
      <c r="AP37">
        <v>7225196494</v>
      </c>
      <c r="AQ37" t="s">
        <v>826</v>
      </c>
      <c r="AR37">
        <v>7226831443</v>
      </c>
      <c r="AY37">
        <v>3872.4500000000003</v>
      </c>
      <c r="AZ37">
        <v>0</v>
      </c>
      <c r="BA37">
        <v>1</v>
      </c>
      <c r="BB37" t="s">
        <v>1044</v>
      </c>
      <c r="BC37" t="s">
        <v>429</v>
      </c>
      <c r="BD37" t="s">
        <v>430</v>
      </c>
      <c r="BE37" t="s">
        <v>74</v>
      </c>
      <c r="BF37" t="s">
        <v>194</v>
      </c>
      <c r="BH37" t="s">
        <v>2715</v>
      </c>
      <c r="BK37">
        <v>2</v>
      </c>
      <c r="BL37">
        <v>2</v>
      </c>
      <c r="BM37" t="s">
        <v>2847</v>
      </c>
    </row>
    <row r="38" spans="1:65" x14ac:dyDescent="0.3">
      <c r="A38">
        <v>1587</v>
      </c>
      <c r="B38" t="s">
        <v>61</v>
      </c>
      <c r="C38" t="s">
        <v>194</v>
      </c>
      <c r="D38">
        <v>42</v>
      </c>
      <c r="E38" t="s">
        <v>589</v>
      </c>
      <c r="F38">
        <v>39</v>
      </c>
      <c r="G38" t="s">
        <v>2763</v>
      </c>
      <c r="H38">
        <v>1587</v>
      </c>
      <c r="I38">
        <v>1</v>
      </c>
      <c r="J38" t="s">
        <v>1674</v>
      </c>
      <c r="K38" s="5">
        <v>45855</v>
      </c>
      <c r="L38" s="5">
        <v>46023</v>
      </c>
      <c r="M38">
        <v>10000</v>
      </c>
      <c r="N38">
        <v>10534.08</v>
      </c>
      <c r="O38">
        <v>19</v>
      </c>
      <c r="P38">
        <v>12</v>
      </c>
      <c r="Q38" t="s">
        <v>496</v>
      </c>
      <c r="R38">
        <v>1288.8</v>
      </c>
      <c r="S38">
        <v>696</v>
      </c>
      <c r="T38">
        <v>580</v>
      </c>
      <c r="U38">
        <v>6</v>
      </c>
      <c r="V38">
        <v>1.5</v>
      </c>
      <c r="W38">
        <v>6812.89</v>
      </c>
      <c r="X38">
        <v>2536.8114432000002</v>
      </c>
      <c r="Y38">
        <v>1545.8500000000001</v>
      </c>
      <c r="Z38">
        <v>352.96</v>
      </c>
      <c r="AA38">
        <v>58</v>
      </c>
      <c r="AB38">
        <v>580</v>
      </c>
      <c r="AC38">
        <v>1200</v>
      </c>
      <c r="AD38" s="5">
        <v>45937</v>
      </c>
      <c r="AE38" t="s">
        <v>69</v>
      </c>
      <c r="AF38">
        <v>7145498442</v>
      </c>
      <c r="AG38" t="s">
        <v>1675</v>
      </c>
      <c r="AI38" t="s">
        <v>393</v>
      </c>
      <c r="AJ38">
        <v>131011</v>
      </c>
      <c r="AK38" t="s">
        <v>1676</v>
      </c>
      <c r="AM38" t="s">
        <v>1677</v>
      </c>
      <c r="AN38">
        <v>7291195882</v>
      </c>
      <c r="AO38" t="s">
        <v>1678</v>
      </c>
      <c r="AP38">
        <v>7145493921</v>
      </c>
      <c r="AQ38" t="s">
        <v>1679</v>
      </c>
      <c r="AR38">
        <v>7291464902</v>
      </c>
      <c r="AY38">
        <v>9921.6200000000008</v>
      </c>
      <c r="AZ38">
        <v>0</v>
      </c>
      <c r="BA38">
        <v>1</v>
      </c>
      <c r="BB38" t="s">
        <v>1044</v>
      </c>
      <c r="BC38" t="s">
        <v>2867</v>
      </c>
      <c r="BD38" t="s">
        <v>1680</v>
      </c>
      <c r="BE38" t="s">
        <v>74</v>
      </c>
      <c r="BF38" t="s">
        <v>503</v>
      </c>
      <c r="BG38" t="s">
        <v>1681</v>
      </c>
      <c r="BH38" t="s">
        <v>2715</v>
      </c>
      <c r="BK38">
        <v>6</v>
      </c>
      <c r="BL38">
        <v>6</v>
      </c>
      <c r="BM38" t="s">
        <v>2847</v>
      </c>
    </row>
    <row r="39" spans="1:65" x14ac:dyDescent="0.3">
      <c r="A39">
        <v>1520</v>
      </c>
      <c r="B39" t="s">
        <v>61</v>
      </c>
      <c r="C39" t="s">
        <v>194</v>
      </c>
      <c r="D39">
        <v>42</v>
      </c>
      <c r="E39" t="s">
        <v>589</v>
      </c>
      <c r="F39">
        <v>78</v>
      </c>
      <c r="G39" t="s">
        <v>2801</v>
      </c>
      <c r="H39">
        <v>1520</v>
      </c>
      <c r="I39">
        <v>1</v>
      </c>
      <c r="J39" t="s">
        <v>1735</v>
      </c>
      <c r="K39" s="5">
        <v>45861</v>
      </c>
      <c r="L39" s="5">
        <v>46029</v>
      </c>
      <c r="M39">
        <v>10000</v>
      </c>
      <c r="N39">
        <v>10534.08</v>
      </c>
      <c r="O39">
        <v>13</v>
      </c>
      <c r="P39">
        <v>12</v>
      </c>
      <c r="Q39" t="s">
        <v>496</v>
      </c>
      <c r="R39">
        <v>1288.8</v>
      </c>
      <c r="S39">
        <v>696</v>
      </c>
      <c r="T39">
        <v>580</v>
      </c>
      <c r="U39">
        <v>5</v>
      </c>
      <c r="V39">
        <v>1</v>
      </c>
      <c r="W39">
        <v>7022.72</v>
      </c>
      <c r="X39">
        <v>1866.01</v>
      </c>
      <c r="Y39">
        <v>877.84</v>
      </c>
      <c r="Z39">
        <v>352.96</v>
      </c>
      <c r="AA39">
        <v>55.21</v>
      </c>
      <c r="AB39">
        <v>580</v>
      </c>
      <c r="AC39">
        <v>1290</v>
      </c>
      <c r="AD39" s="5">
        <v>45917</v>
      </c>
      <c r="AE39" t="s">
        <v>69</v>
      </c>
      <c r="AF39">
        <v>7221655227</v>
      </c>
      <c r="AG39" t="s">
        <v>1736</v>
      </c>
      <c r="AI39" t="s">
        <v>684</v>
      </c>
      <c r="AJ39">
        <v>2071017</v>
      </c>
      <c r="AK39" t="s">
        <v>1737</v>
      </c>
      <c r="AM39" t="s">
        <v>1738</v>
      </c>
      <c r="AN39">
        <v>7223879405</v>
      </c>
      <c r="AO39" t="s">
        <v>1739</v>
      </c>
      <c r="AP39">
        <v>5628385629</v>
      </c>
      <c r="AQ39" t="s">
        <v>1740</v>
      </c>
      <c r="AR39">
        <v>7223227991</v>
      </c>
      <c r="AY39">
        <v>10481.620000000001</v>
      </c>
      <c r="AZ39">
        <v>0</v>
      </c>
      <c r="BA39">
        <v>1</v>
      </c>
      <c r="BB39" t="s">
        <v>1044</v>
      </c>
      <c r="BC39" t="s">
        <v>1741</v>
      </c>
      <c r="BD39" t="s">
        <v>503</v>
      </c>
      <c r="BE39" t="s">
        <v>74</v>
      </c>
      <c r="BF39" t="s">
        <v>503</v>
      </c>
      <c r="BG39" t="s">
        <v>1742</v>
      </c>
      <c r="BH39" t="s">
        <v>2715</v>
      </c>
      <c r="BK39">
        <v>1</v>
      </c>
      <c r="BL39">
        <v>1</v>
      </c>
      <c r="BM39" t="s">
        <v>2847</v>
      </c>
    </row>
    <row r="40" spans="1:65" x14ac:dyDescent="0.3">
      <c r="A40">
        <v>1374</v>
      </c>
      <c r="B40" t="s">
        <v>61</v>
      </c>
      <c r="C40" t="s">
        <v>194</v>
      </c>
      <c r="D40">
        <v>42</v>
      </c>
      <c r="E40" t="s">
        <v>589</v>
      </c>
      <c r="F40">
        <v>39</v>
      </c>
      <c r="G40" t="s">
        <v>2763</v>
      </c>
      <c r="H40">
        <v>1374</v>
      </c>
      <c r="I40">
        <v>1</v>
      </c>
      <c r="J40" t="s">
        <v>1109</v>
      </c>
      <c r="K40" s="5">
        <v>45814</v>
      </c>
      <c r="L40" s="5">
        <v>46179</v>
      </c>
      <c r="M40">
        <v>20000</v>
      </c>
      <c r="N40">
        <v>21068.16</v>
      </c>
      <c r="O40">
        <v>8</v>
      </c>
      <c r="P40">
        <v>12</v>
      </c>
      <c r="Q40" t="s">
        <v>68</v>
      </c>
      <c r="R40">
        <v>3347.38</v>
      </c>
      <c r="S40">
        <v>696</v>
      </c>
      <c r="T40">
        <v>580</v>
      </c>
      <c r="U40">
        <v>0</v>
      </c>
      <c r="V40">
        <v>1</v>
      </c>
      <c r="W40">
        <v>15801.12</v>
      </c>
      <c r="X40">
        <v>3901.5341013333332</v>
      </c>
      <c r="Y40">
        <v>1755.68</v>
      </c>
      <c r="Z40">
        <v>1533.7</v>
      </c>
      <c r="AA40">
        <v>32.15</v>
      </c>
      <c r="AB40">
        <v>580</v>
      </c>
      <c r="AC40">
        <v>3350</v>
      </c>
      <c r="AD40" s="5">
        <v>45908</v>
      </c>
      <c r="AE40" t="s">
        <v>69</v>
      </c>
      <c r="AF40">
        <v>7224651773</v>
      </c>
      <c r="AG40" t="s">
        <v>1110</v>
      </c>
      <c r="AI40" t="s">
        <v>481</v>
      </c>
      <c r="AJ40">
        <v>8712011</v>
      </c>
      <c r="AM40" t="s">
        <v>1111</v>
      </c>
      <c r="AN40">
        <v>7229804352</v>
      </c>
      <c r="AO40" t="s">
        <v>1112</v>
      </c>
      <c r="AP40">
        <v>7224489318</v>
      </c>
      <c r="AQ40" t="s">
        <v>1113</v>
      </c>
      <c r="AR40">
        <v>7223114459</v>
      </c>
      <c r="AY40">
        <v>30216.600000000002</v>
      </c>
      <c r="AZ40">
        <v>0</v>
      </c>
      <c r="BA40">
        <v>1</v>
      </c>
      <c r="BB40" t="s">
        <v>1044</v>
      </c>
      <c r="BC40" t="s">
        <v>2893</v>
      </c>
      <c r="BD40" t="s">
        <v>1114</v>
      </c>
      <c r="BE40" t="s">
        <v>74</v>
      </c>
      <c r="BF40" t="s">
        <v>646</v>
      </c>
      <c r="BG40" t="s">
        <v>1115</v>
      </c>
      <c r="BH40" t="s">
        <v>2715</v>
      </c>
      <c r="BK40">
        <v>2</v>
      </c>
      <c r="BL40">
        <v>1</v>
      </c>
      <c r="BM40" t="s">
        <v>2847</v>
      </c>
    </row>
    <row r="41" spans="1:65" x14ac:dyDescent="0.3">
      <c r="A41">
        <v>1557</v>
      </c>
      <c r="B41" t="s">
        <v>61</v>
      </c>
      <c r="C41" t="s">
        <v>194</v>
      </c>
      <c r="D41">
        <v>42</v>
      </c>
      <c r="E41" t="s">
        <v>589</v>
      </c>
      <c r="F41">
        <v>39</v>
      </c>
      <c r="G41" t="s">
        <v>2763</v>
      </c>
      <c r="H41">
        <v>1557</v>
      </c>
      <c r="I41">
        <v>1</v>
      </c>
      <c r="J41" t="s">
        <v>2567</v>
      </c>
      <c r="K41" s="5">
        <v>45873</v>
      </c>
      <c r="L41" s="5">
        <v>46238</v>
      </c>
      <c r="M41">
        <v>100000</v>
      </c>
      <c r="N41">
        <v>105340.78</v>
      </c>
      <c r="O41">
        <v>8</v>
      </c>
      <c r="P41">
        <v>12</v>
      </c>
      <c r="Q41" t="s">
        <v>68</v>
      </c>
      <c r="R41">
        <v>16504.91</v>
      </c>
      <c r="S41">
        <v>696</v>
      </c>
      <c r="T41">
        <v>580</v>
      </c>
      <c r="U41">
        <v>0</v>
      </c>
      <c r="V41">
        <v>1</v>
      </c>
      <c r="W41">
        <v>96562.38</v>
      </c>
      <c r="X41">
        <v>17084.829008111101</v>
      </c>
      <c r="Y41">
        <v>8778.4</v>
      </c>
      <c r="Z41">
        <v>7668.51</v>
      </c>
      <c r="AA41">
        <v>57.92</v>
      </c>
      <c r="AB41">
        <v>580</v>
      </c>
      <c r="AC41">
        <v>17085</v>
      </c>
      <c r="AD41" s="5">
        <v>45908</v>
      </c>
      <c r="AE41" t="s">
        <v>69</v>
      </c>
      <c r="AF41">
        <v>7226830718</v>
      </c>
      <c r="AG41" t="s">
        <v>2569</v>
      </c>
      <c r="AI41" t="s">
        <v>82</v>
      </c>
      <c r="AJ41">
        <v>6122014</v>
      </c>
      <c r="AK41" t="s">
        <v>2570</v>
      </c>
      <c r="AM41" t="s">
        <v>2571</v>
      </c>
      <c r="AN41">
        <v>7228047850</v>
      </c>
      <c r="AO41" t="s">
        <v>2573</v>
      </c>
      <c r="AP41">
        <v>7228478216</v>
      </c>
      <c r="AQ41" t="s">
        <v>2575</v>
      </c>
      <c r="AR41">
        <v>7227957131</v>
      </c>
      <c r="AS41" t="s">
        <v>122</v>
      </c>
      <c r="AT41" t="s">
        <v>2577</v>
      </c>
      <c r="AU41" t="s">
        <v>2578</v>
      </c>
      <c r="AY41">
        <v>181553.97</v>
      </c>
      <c r="AZ41">
        <v>0</v>
      </c>
      <c r="BA41">
        <v>2</v>
      </c>
      <c r="BB41" t="s">
        <v>1600</v>
      </c>
      <c r="BC41" t="s">
        <v>2982</v>
      </c>
      <c r="BD41" t="s">
        <v>651</v>
      </c>
      <c r="BE41" t="s">
        <v>74</v>
      </c>
      <c r="BF41" t="s">
        <v>646</v>
      </c>
      <c r="BG41" t="s">
        <v>2579</v>
      </c>
      <c r="BH41" t="s">
        <v>2715</v>
      </c>
      <c r="BK41">
        <v>2</v>
      </c>
      <c r="BL41">
        <v>2</v>
      </c>
      <c r="BM41" t="s">
        <v>2847</v>
      </c>
    </row>
    <row r="42" spans="1:65" x14ac:dyDescent="0.3">
      <c r="A42">
        <v>1298</v>
      </c>
      <c r="B42" t="s">
        <v>61</v>
      </c>
      <c r="C42" t="s">
        <v>194</v>
      </c>
      <c r="D42">
        <v>37</v>
      </c>
      <c r="E42" t="s">
        <v>409</v>
      </c>
      <c r="F42">
        <v>78</v>
      </c>
      <c r="G42" t="s">
        <v>2801</v>
      </c>
      <c r="H42">
        <v>1298</v>
      </c>
      <c r="I42">
        <v>1</v>
      </c>
      <c r="J42" t="s">
        <v>532</v>
      </c>
      <c r="K42" s="5">
        <v>45783</v>
      </c>
      <c r="L42" s="5">
        <v>45967</v>
      </c>
      <c r="M42">
        <v>6000</v>
      </c>
      <c r="N42">
        <v>6320.45</v>
      </c>
      <c r="O42">
        <v>8</v>
      </c>
      <c r="P42">
        <v>6</v>
      </c>
      <c r="Q42" t="s">
        <v>68</v>
      </c>
      <c r="R42">
        <v>1575.3</v>
      </c>
      <c r="S42">
        <v>348</v>
      </c>
      <c r="T42">
        <v>580</v>
      </c>
      <c r="U42">
        <v>0</v>
      </c>
      <c r="V42">
        <v>1</v>
      </c>
      <c r="W42">
        <v>2106.8200000000002</v>
      </c>
      <c r="X42">
        <v>2154.6063622222218</v>
      </c>
      <c r="Y42">
        <v>1053.4100000000001</v>
      </c>
      <c r="Z42">
        <v>463.89</v>
      </c>
      <c r="AA42">
        <v>57.300000000000004</v>
      </c>
      <c r="AB42">
        <v>580</v>
      </c>
      <c r="AC42">
        <v>1575.3</v>
      </c>
      <c r="AD42" s="5">
        <v>45908</v>
      </c>
      <c r="AE42" t="s">
        <v>69</v>
      </c>
      <c r="AF42">
        <v>7296400518</v>
      </c>
      <c r="AG42" t="s">
        <v>534</v>
      </c>
      <c r="AI42" t="s">
        <v>526</v>
      </c>
      <c r="AJ42">
        <v>6131023</v>
      </c>
      <c r="AM42" t="s">
        <v>788</v>
      </c>
      <c r="AN42">
        <v>7203834647</v>
      </c>
      <c r="AO42" t="s">
        <v>785</v>
      </c>
      <c r="AP42">
        <v>7218890995</v>
      </c>
      <c r="AQ42" t="s">
        <v>787</v>
      </c>
      <c r="AR42">
        <v>7298085625</v>
      </c>
      <c r="AY42">
        <v>3671.91</v>
      </c>
      <c r="AZ42">
        <v>0</v>
      </c>
      <c r="BA42">
        <v>1</v>
      </c>
      <c r="BB42" t="s">
        <v>1044</v>
      </c>
      <c r="BC42" t="s">
        <v>2987</v>
      </c>
      <c r="BD42" t="s">
        <v>535</v>
      </c>
      <c r="BE42" t="s">
        <v>74</v>
      </c>
      <c r="BF42" t="s">
        <v>194</v>
      </c>
      <c r="BH42" t="s">
        <v>2715</v>
      </c>
      <c r="BK42">
        <v>2</v>
      </c>
      <c r="BL42">
        <v>1</v>
      </c>
      <c r="BM42" t="s">
        <v>2847</v>
      </c>
    </row>
    <row r="43" spans="1:65" x14ac:dyDescent="0.3">
      <c r="A43">
        <v>1301</v>
      </c>
      <c r="B43" t="s">
        <v>61</v>
      </c>
      <c r="C43" t="s">
        <v>194</v>
      </c>
      <c r="D43">
        <v>37</v>
      </c>
      <c r="E43" t="s">
        <v>409</v>
      </c>
      <c r="F43">
        <v>78</v>
      </c>
      <c r="G43" t="s">
        <v>2801</v>
      </c>
      <c r="H43">
        <v>1301</v>
      </c>
      <c r="I43">
        <v>1</v>
      </c>
      <c r="J43" t="s">
        <v>536</v>
      </c>
      <c r="K43" s="5">
        <v>45783</v>
      </c>
      <c r="L43" s="5">
        <v>45967</v>
      </c>
      <c r="M43">
        <v>5000</v>
      </c>
      <c r="N43">
        <v>5267.04</v>
      </c>
      <c r="O43">
        <v>8</v>
      </c>
      <c r="P43">
        <v>12</v>
      </c>
      <c r="Q43" t="s">
        <v>453</v>
      </c>
      <c r="R43">
        <v>690.21</v>
      </c>
      <c r="S43">
        <v>696</v>
      </c>
      <c r="T43">
        <v>1105.4000000000001</v>
      </c>
      <c r="U43">
        <v>0</v>
      </c>
      <c r="V43">
        <v>1</v>
      </c>
      <c r="W43">
        <v>1316.76</v>
      </c>
      <c r="X43">
        <v>1737.6200000000001</v>
      </c>
      <c r="Y43">
        <v>438.92</v>
      </c>
      <c r="Z43">
        <v>193.3</v>
      </c>
      <c r="AA43">
        <v>0</v>
      </c>
      <c r="AB43">
        <v>1105.4000000000001</v>
      </c>
      <c r="AC43">
        <v>691</v>
      </c>
      <c r="AD43" s="5">
        <v>45936</v>
      </c>
      <c r="AE43" t="s">
        <v>69</v>
      </c>
      <c r="AF43">
        <v>7297604453</v>
      </c>
      <c r="AG43" t="s">
        <v>562</v>
      </c>
      <c r="AI43" t="s">
        <v>537</v>
      </c>
      <c r="AJ43">
        <v>6225024</v>
      </c>
      <c r="AM43" t="s">
        <v>791</v>
      </c>
      <c r="AN43">
        <v>7221396754</v>
      </c>
      <c r="AO43" t="s">
        <v>789</v>
      </c>
      <c r="AP43">
        <v>7225453554</v>
      </c>
      <c r="AQ43" t="s">
        <v>790</v>
      </c>
      <c r="AR43">
        <v>7226416316</v>
      </c>
      <c r="AY43">
        <v>3002.03</v>
      </c>
      <c r="AZ43">
        <v>0</v>
      </c>
      <c r="BA43">
        <v>1</v>
      </c>
      <c r="BB43" t="s">
        <v>1044</v>
      </c>
      <c r="BC43" t="s">
        <v>3002</v>
      </c>
      <c r="BD43" t="s">
        <v>381</v>
      </c>
      <c r="BE43" t="s">
        <v>74</v>
      </c>
      <c r="BF43" t="s">
        <v>194</v>
      </c>
      <c r="BH43" t="s">
        <v>2715</v>
      </c>
      <c r="BK43">
        <v>3</v>
      </c>
      <c r="BL43">
        <v>3</v>
      </c>
      <c r="BM43" t="s">
        <v>2847</v>
      </c>
    </row>
    <row r="44" spans="1:65" x14ac:dyDescent="0.3">
      <c r="A44">
        <v>1393</v>
      </c>
      <c r="B44" t="s">
        <v>61</v>
      </c>
      <c r="C44" t="s">
        <v>194</v>
      </c>
      <c r="D44">
        <v>42</v>
      </c>
      <c r="E44" t="s">
        <v>589</v>
      </c>
      <c r="F44">
        <v>39</v>
      </c>
      <c r="G44" t="s">
        <v>2763</v>
      </c>
      <c r="H44">
        <v>1393</v>
      </c>
      <c r="I44">
        <v>1</v>
      </c>
      <c r="J44" t="s">
        <v>1149</v>
      </c>
      <c r="K44" s="5">
        <v>45820</v>
      </c>
      <c r="L44" s="5">
        <v>46003</v>
      </c>
      <c r="M44">
        <v>10000</v>
      </c>
      <c r="N44">
        <v>10534.08</v>
      </c>
      <c r="O44">
        <v>1</v>
      </c>
      <c r="P44">
        <v>6</v>
      </c>
      <c r="Q44" t="s">
        <v>68</v>
      </c>
      <c r="R44">
        <v>2582.63</v>
      </c>
      <c r="S44">
        <v>348</v>
      </c>
      <c r="T44">
        <v>580</v>
      </c>
      <c r="U44">
        <v>0</v>
      </c>
      <c r="V44">
        <v>1</v>
      </c>
      <c r="W44">
        <v>5267.04</v>
      </c>
      <c r="X44">
        <v>3161.9009056</v>
      </c>
      <c r="Y44">
        <v>1755.68</v>
      </c>
      <c r="Z44">
        <v>768.95</v>
      </c>
      <c r="AA44">
        <v>57.27</v>
      </c>
      <c r="AB44">
        <v>580</v>
      </c>
      <c r="AC44">
        <v>2583</v>
      </c>
      <c r="AD44" s="5">
        <v>45917</v>
      </c>
      <c r="AE44" t="s">
        <v>69</v>
      </c>
      <c r="AF44">
        <v>7224257357</v>
      </c>
      <c r="AG44" t="s">
        <v>1150</v>
      </c>
      <c r="AI44" t="s">
        <v>1151</v>
      </c>
      <c r="AJ44">
        <v>3515022</v>
      </c>
      <c r="AK44" t="s">
        <v>1152</v>
      </c>
      <c r="AM44" t="s">
        <v>1153</v>
      </c>
      <c r="AN44">
        <v>7228435817</v>
      </c>
      <c r="AO44" t="s">
        <v>1154</v>
      </c>
      <c r="AP44">
        <v>7223740919</v>
      </c>
      <c r="AQ44" t="s">
        <v>1155</v>
      </c>
      <c r="AR44">
        <v>7218890607</v>
      </c>
      <c r="AY44">
        <v>8211.17</v>
      </c>
      <c r="AZ44">
        <v>0</v>
      </c>
      <c r="BA44">
        <v>1</v>
      </c>
      <c r="BB44" t="s">
        <v>1044</v>
      </c>
      <c r="BC44" t="s">
        <v>2971</v>
      </c>
      <c r="BD44" t="s">
        <v>651</v>
      </c>
      <c r="BE44" t="s">
        <v>74</v>
      </c>
      <c r="BF44" t="s">
        <v>646</v>
      </c>
      <c r="BG44" t="s">
        <v>1156</v>
      </c>
      <c r="BH44" t="s">
        <v>2715</v>
      </c>
      <c r="BK44">
        <v>3</v>
      </c>
      <c r="BL44">
        <v>3</v>
      </c>
      <c r="BM44" t="s">
        <v>2847</v>
      </c>
    </row>
    <row r="45" spans="1:65" x14ac:dyDescent="0.3">
      <c r="A45">
        <v>1756</v>
      </c>
      <c r="B45" t="s">
        <v>61</v>
      </c>
      <c r="C45" t="s">
        <v>194</v>
      </c>
      <c r="D45">
        <v>41</v>
      </c>
      <c r="E45" t="s">
        <v>595</v>
      </c>
      <c r="F45">
        <v>39</v>
      </c>
      <c r="G45" t="s">
        <v>2763</v>
      </c>
      <c r="H45">
        <v>1756</v>
      </c>
      <c r="I45">
        <v>1</v>
      </c>
      <c r="J45" t="s">
        <v>2607</v>
      </c>
      <c r="K45" s="5">
        <v>45880</v>
      </c>
      <c r="L45" s="5">
        <v>46245</v>
      </c>
      <c r="M45">
        <v>30000</v>
      </c>
      <c r="N45">
        <v>31602.23</v>
      </c>
      <c r="O45">
        <v>1</v>
      </c>
      <c r="P45">
        <v>12</v>
      </c>
      <c r="Q45" t="s">
        <v>68</v>
      </c>
      <c r="R45">
        <v>4992.07</v>
      </c>
      <c r="S45">
        <v>696</v>
      </c>
      <c r="T45">
        <v>580</v>
      </c>
      <c r="U45">
        <v>0</v>
      </c>
      <c r="V45">
        <v>1</v>
      </c>
      <c r="W45">
        <v>28968.71</v>
      </c>
      <c r="X45">
        <v>5572.0783000000001</v>
      </c>
      <c r="Y45">
        <v>2633.52</v>
      </c>
      <c r="Z45">
        <v>2300.56</v>
      </c>
      <c r="AA45">
        <v>58</v>
      </c>
      <c r="AB45">
        <v>580</v>
      </c>
      <c r="AC45">
        <v>4992.07</v>
      </c>
      <c r="AD45" s="5">
        <v>45911</v>
      </c>
      <c r="AE45" t="s">
        <v>69</v>
      </c>
      <c r="AF45">
        <v>7225025161</v>
      </c>
      <c r="AG45" t="s">
        <v>2609</v>
      </c>
      <c r="AI45" t="s">
        <v>336</v>
      </c>
      <c r="AJ45">
        <v>6326020</v>
      </c>
      <c r="AK45" t="s">
        <v>2610</v>
      </c>
      <c r="AM45" t="s">
        <v>2611</v>
      </c>
      <c r="AN45">
        <v>7226184702</v>
      </c>
      <c r="AO45" t="s">
        <v>2613</v>
      </c>
      <c r="AP45">
        <v>7225113931</v>
      </c>
      <c r="AQ45" t="s">
        <v>2615</v>
      </c>
      <c r="AR45">
        <v>7261738458</v>
      </c>
      <c r="AY45">
        <v>54912.81</v>
      </c>
      <c r="AZ45">
        <v>0</v>
      </c>
      <c r="BA45">
        <v>1</v>
      </c>
      <c r="BB45" t="s">
        <v>1044</v>
      </c>
      <c r="BC45" t="s">
        <v>3014</v>
      </c>
      <c r="BD45" t="s">
        <v>2617</v>
      </c>
      <c r="BE45" t="s">
        <v>74</v>
      </c>
      <c r="BF45" t="s">
        <v>194</v>
      </c>
      <c r="BG45" t="s">
        <v>2618</v>
      </c>
      <c r="BH45" t="s">
        <v>2715</v>
      </c>
      <c r="BK45">
        <v>1</v>
      </c>
      <c r="BL45">
        <v>1</v>
      </c>
      <c r="BM45" t="s">
        <v>2847</v>
      </c>
    </row>
    <row r="46" spans="1:65" x14ac:dyDescent="0.3">
      <c r="A46">
        <v>1510</v>
      </c>
      <c r="B46" t="s">
        <v>61</v>
      </c>
      <c r="C46" t="s">
        <v>194</v>
      </c>
      <c r="D46">
        <v>42</v>
      </c>
      <c r="E46" t="s">
        <v>589</v>
      </c>
      <c r="F46">
        <v>39</v>
      </c>
      <c r="G46" t="s">
        <v>2763</v>
      </c>
      <c r="H46">
        <v>1510</v>
      </c>
      <c r="I46">
        <v>1</v>
      </c>
      <c r="J46" t="s">
        <v>1610</v>
      </c>
      <c r="K46" s="5">
        <v>45849</v>
      </c>
      <c r="L46" s="5">
        <v>46214</v>
      </c>
      <c r="M46">
        <v>15000</v>
      </c>
      <c r="N46">
        <v>15801.12</v>
      </c>
      <c r="O46">
        <v>1</v>
      </c>
      <c r="P46">
        <v>12</v>
      </c>
      <c r="Q46" t="s">
        <v>68</v>
      </c>
      <c r="R46">
        <v>2525.04</v>
      </c>
      <c r="S46">
        <v>696</v>
      </c>
      <c r="T46">
        <v>580</v>
      </c>
      <c r="U46">
        <v>0</v>
      </c>
      <c r="V46">
        <v>1</v>
      </c>
      <c r="W46">
        <v>13167.6</v>
      </c>
      <c r="X46">
        <v>3104.072932</v>
      </c>
      <c r="Y46">
        <v>1316.76</v>
      </c>
      <c r="Z46">
        <v>1150.27</v>
      </c>
      <c r="AA46">
        <v>57.04</v>
      </c>
      <c r="AB46">
        <v>580</v>
      </c>
      <c r="AC46">
        <v>3106</v>
      </c>
      <c r="AD46" s="5">
        <v>45913</v>
      </c>
      <c r="AE46" t="s">
        <v>69</v>
      </c>
      <c r="AF46">
        <v>7221757286</v>
      </c>
      <c r="AG46" t="s">
        <v>1611</v>
      </c>
      <c r="AI46" t="s">
        <v>86</v>
      </c>
      <c r="AJ46">
        <v>8711021</v>
      </c>
      <c r="AM46" t="s">
        <v>1612</v>
      </c>
      <c r="AN46">
        <v>7224095163</v>
      </c>
      <c r="AO46" t="s">
        <v>1613</v>
      </c>
      <c r="AP46">
        <v>7221028250</v>
      </c>
      <c r="AQ46" t="s">
        <v>1614</v>
      </c>
      <c r="AR46">
        <v>7224441862</v>
      </c>
      <c r="AY46">
        <v>25307.41</v>
      </c>
      <c r="AZ46">
        <v>0</v>
      </c>
      <c r="BA46">
        <v>1</v>
      </c>
      <c r="BB46" t="s">
        <v>1044</v>
      </c>
      <c r="BC46" t="s">
        <v>2888</v>
      </c>
      <c r="BD46" t="s">
        <v>503</v>
      </c>
      <c r="BE46" t="s">
        <v>74</v>
      </c>
      <c r="BF46" t="s">
        <v>503</v>
      </c>
      <c r="BG46" t="s">
        <v>1615</v>
      </c>
      <c r="BH46" t="s">
        <v>2715</v>
      </c>
      <c r="BK46">
        <v>2</v>
      </c>
      <c r="BL46">
        <v>2</v>
      </c>
      <c r="BM46" t="s">
        <v>2847</v>
      </c>
    </row>
    <row r="47" spans="1:65" x14ac:dyDescent="0.3">
      <c r="A47">
        <v>1511</v>
      </c>
      <c r="B47" t="s">
        <v>61</v>
      </c>
      <c r="C47" t="s">
        <v>194</v>
      </c>
      <c r="D47">
        <v>42</v>
      </c>
      <c r="E47" t="s">
        <v>589</v>
      </c>
      <c r="F47">
        <v>39</v>
      </c>
      <c r="G47" t="s">
        <v>2763</v>
      </c>
      <c r="H47">
        <v>1511</v>
      </c>
      <c r="I47">
        <v>1</v>
      </c>
      <c r="J47" t="s">
        <v>1616</v>
      </c>
      <c r="K47" s="5">
        <v>45849</v>
      </c>
      <c r="L47" s="5">
        <v>46214</v>
      </c>
      <c r="M47">
        <v>10000</v>
      </c>
      <c r="N47">
        <v>10534.08</v>
      </c>
      <c r="O47">
        <v>1</v>
      </c>
      <c r="P47">
        <v>12</v>
      </c>
      <c r="Q47" t="s">
        <v>68</v>
      </c>
      <c r="R47">
        <v>1702.69</v>
      </c>
      <c r="S47">
        <v>696</v>
      </c>
      <c r="T47">
        <v>580</v>
      </c>
      <c r="U47">
        <v>0</v>
      </c>
      <c r="V47">
        <v>1</v>
      </c>
      <c r="W47">
        <v>8778.4</v>
      </c>
      <c r="X47">
        <v>2282.08</v>
      </c>
      <c r="Y47">
        <v>877.84</v>
      </c>
      <c r="Z47">
        <v>766.86</v>
      </c>
      <c r="AA47">
        <v>57.38</v>
      </c>
      <c r="AB47">
        <v>580</v>
      </c>
      <c r="AC47">
        <v>2283</v>
      </c>
      <c r="AD47" s="5">
        <v>45922</v>
      </c>
      <c r="AE47" t="s">
        <v>69</v>
      </c>
      <c r="AF47">
        <v>6671806345</v>
      </c>
      <c r="AG47" t="s">
        <v>1617</v>
      </c>
      <c r="AI47" t="s">
        <v>86</v>
      </c>
      <c r="AJ47">
        <v>8711021</v>
      </c>
      <c r="AM47" t="s">
        <v>1618</v>
      </c>
      <c r="AN47">
        <v>7411387321</v>
      </c>
      <c r="AO47" t="s">
        <v>1619</v>
      </c>
      <c r="AP47">
        <v>5564888856</v>
      </c>
      <c r="AQ47" t="s">
        <v>1620</v>
      </c>
      <c r="AR47">
        <v>5610063308</v>
      </c>
      <c r="AY47">
        <v>17084.3</v>
      </c>
      <c r="AZ47">
        <v>0</v>
      </c>
      <c r="BA47">
        <v>1</v>
      </c>
      <c r="BB47" t="s">
        <v>1044</v>
      </c>
      <c r="BC47" t="s">
        <v>2889</v>
      </c>
      <c r="BD47" t="s">
        <v>1621</v>
      </c>
      <c r="BE47" t="s">
        <v>74</v>
      </c>
      <c r="BF47" t="s">
        <v>503</v>
      </c>
      <c r="BG47" t="s">
        <v>1622</v>
      </c>
      <c r="BH47" t="s">
        <v>2715</v>
      </c>
      <c r="BK47">
        <v>2</v>
      </c>
      <c r="BL47">
        <v>2</v>
      </c>
      <c r="BM47" t="s">
        <v>2847</v>
      </c>
    </row>
    <row r="48" spans="1:65" x14ac:dyDescent="0.3">
      <c r="A48">
        <v>1350</v>
      </c>
      <c r="B48" t="s">
        <v>61</v>
      </c>
      <c r="C48" t="s">
        <v>194</v>
      </c>
      <c r="D48">
        <v>41</v>
      </c>
      <c r="E48" t="s">
        <v>595</v>
      </c>
      <c r="F48">
        <v>39</v>
      </c>
      <c r="G48" t="s">
        <v>2763</v>
      </c>
      <c r="H48">
        <v>1350</v>
      </c>
      <c r="I48">
        <v>2</v>
      </c>
      <c r="J48" t="s">
        <v>679</v>
      </c>
      <c r="K48" s="5">
        <v>45915</v>
      </c>
      <c r="L48" s="5">
        <v>46083</v>
      </c>
      <c r="M48">
        <v>10000</v>
      </c>
      <c r="N48">
        <v>10534.08</v>
      </c>
      <c r="O48">
        <v>1</v>
      </c>
      <c r="P48">
        <v>12</v>
      </c>
      <c r="Q48" t="s">
        <v>496</v>
      </c>
      <c r="R48">
        <v>1288.8</v>
      </c>
      <c r="S48">
        <v>696</v>
      </c>
      <c r="T48">
        <v>580</v>
      </c>
      <c r="U48">
        <v>2</v>
      </c>
      <c r="V48">
        <v>1</v>
      </c>
      <c r="W48">
        <v>9656.24</v>
      </c>
      <c r="X48">
        <v>1868.6038143999999</v>
      </c>
      <c r="Y48">
        <v>877.84</v>
      </c>
      <c r="Z48">
        <v>352.96</v>
      </c>
      <c r="AA48">
        <v>57.800000000000004</v>
      </c>
      <c r="AB48">
        <v>580</v>
      </c>
      <c r="AC48">
        <v>1289</v>
      </c>
      <c r="AD48" s="5">
        <v>45929</v>
      </c>
      <c r="AE48" t="s">
        <v>69</v>
      </c>
      <c r="AF48">
        <v>7226794251</v>
      </c>
      <c r="AG48" t="s">
        <v>680</v>
      </c>
      <c r="AI48" t="s">
        <v>283</v>
      </c>
      <c r="AJ48">
        <v>8944098</v>
      </c>
      <c r="AM48" t="s">
        <v>851</v>
      </c>
      <c r="AN48">
        <v>7226923807</v>
      </c>
      <c r="AO48" t="s">
        <v>849</v>
      </c>
      <c r="AP48">
        <v>7141104726</v>
      </c>
      <c r="AQ48" t="s">
        <v>850</v>
      </c>
      <c r="AR48">
        <v>7228281831</v>
      </c>
      <c r="AY48">
        <v>14176.62</v>
      </c>
      <c r="AZ48">
        <v>0</v>
      </c>
      <c r="BA48">
        <v>1</v>
      </c>
      <c r="BB48" t="s">
        <v>1044</v>
      </c>
      <c r="BC48" t="s">
        <v>2938</v>
      </c>
      <c r="BD48" t="s">
        <v>681</v>
      </c>
      <c r="BE48" t="s">
        <v>74</v>
      </c>
      <c r="BF48" t="s">
        <v>194</v>
      </c>
      <c r="BH48" t="s">
        <v>2715</v>
      </c>
      <c r="BK48">
        <v>1</v>
      </c>
      <c r="BL48">
        <v>1</v>
      </c>
      <c r="BM48" t="s">
        <v>2847</v>
      </c>
    </row>
    <row r="49" spans="1:65" x14ac:dyDescent="0.3">
      <c r="A49">
        <v>1621</v>
      </c>
      <c r="B49" t="s">
        <v>61</v>
      </c>
      <c r="C49" t="s">
        <v>194</v>
      </c>
      <c r="D49">
        <v>41</v>
      </c>
      <c r="E49" t="s">
        <v>595</v>
      </c>
      <c r="F49">
        <v>39</v>
      </c>
      <c r="G49" t="s">
        <v>2763</v>
      </c>
      <c r="H49">
        <v>1621</v>
      </c>
      <c r="I49">
        <v>1</v>
      </c>
      <c r="J49" t="s">
        <v>1821</v>
      </c>
      <c r="K49" s="5">
        <v>45867</v>
      </c>
      <c r="L49" s="5">
        <v>46035</v>
      </c>
      <c r="M49">
        <v>7000</v>
      </c>
      <c r="N49">
        <v>7373.85</v>
      </c>
      <c r="O49">
        <v>0</v>
      </c>
      <c r="P49">
        <v>12</v>
      </c>
      <c r="Q49" t="s">
        <v>496</v>
      </c>
      <c r="R49">
        <v>919.56000000000006</v>
      </c>
      <c r="S49">
        <v>696</v>
      </c>
      <c r="T49">
        <v>0</v>
      </c>
      <c r="U49">
        <v>5</v>
      </c>
      <c r="V49">
        <v>0</v>
      </c>
      <c r="W49">
        <v>4301.41</v>
      </c>
      <c r="X49">
        <v>0</v>
      </c>
      <c r="Y49">
        <v>0</v>
      </c>
      <c r="Z49">
        <v>0</v>
      </c>
      <c r="AA49">
        <v>0</v>
      </c>
      <c r="AB49">
        <v>0</v>
      </c>
      <c r="AC49">
        <v>919.56000000000006</v>
      </c>
      <c r="AD49" s="5">
        <v>45937</v>
      </c>
      <c r="AE49" t="s">
        <v>69</v>
      </c>
      <c r="AF49">
        <v>7208120013</v>
      </c>
      <c r="AG49" t="s">
        <v>1822</v>
      </c>
      <c r="AI49" t="s">
        <v>674</v>
      </c>
      <c r="AJ49">
        <v>4111027</v>
      </c>
      <c r="AK49" t="s">
        <v>1823</v>
      </c>
      <c r="AM49" t="s">
        <v>1824</v>
      </c>
      <c r="AN49">
        <v>7206865754</v>
      </c>
      <c r="AO49" t="s">
        <v>1825</v>
      </c>
      <c r="AP49">
        <v>7296413122</v>
      </c>
      <c r="AQ49" t="s">
        <v>1826</v>
      </c>
      <c r="AR49">
        <v>7226821725</v>
      </c>
      <c r="AY49">
        <v>6030.55</v>
      </c>
      <c r="AZ49">
        <v>0.37683</v>
      </c>
      <c r="BA49">
        <v>1</v>
      </c>
      <c r="BB49" t="s">
        <v>1044</v>
      </c>
      <c r="BC49" t="s">
        <v>2973</v>
      </c>
      <c r="BD49" t="s">
        <v>1827</v>
      </c>
      <c r="BE49" t="s">
        <v>74</v>
      </c>
      <c r="BF49" t="s">
        <v>194</v>
      </c>
      <c r="BG49" t="s">
        <v>1828</v>
      </c>
      <c r="BH49" t="s">
        <v>2715</v>
      </c>
      <c r="BK49">
        <v>0</v>
      </c>
      <c r="BL49">
        <v>0</v>
      </c>
      <c r="BM49" t="s">
        <v>2847</v>
      </c>
    </row>
    <row r="50" spans="1:65" x14ac:dyDescent="0.3">
      <c r="A50">
        <v>1575</v>
      </c>
      <c r="B50" t="s">
        <v>61</v>
      </c>
      <c r="C50" t="s">
        <v>194</v>
      </c>
      <c r="D50">
        <v>42</v>
      </c>
      <c r="E50" t="s">
        <v>589</v>
      </c>
      <c r="F50">
        <v>39</v>
      </c>
      <c r="G50" t="s">
        <v>2763</v>
      </c>
      <c r="H50">
        <v>1575</v>
      </c>
      <c r="I50">
        <v>1</v>
      </c>
      <c r="J50" t="s">
        <v>1811</v>
      </c>
      <c r="K50" s="5">
        <v>45866</v>
      </c>
      <c r="L50" s="5">
        <v>46054</v>
      </c>
      <c r="M50">
        <v>10000</v>
      </c>
      <c r="N50">
        <v>10534.08</v>
      </c>
      <c r="O50">
        <v>0</v>
      </c>
      <c r="P50">
        <v>6</v>
      </c>
      <c r="Q50" t="s">
        <v>68</v>
      </c>
      <c r="R50">
        <v>2603.64</v>
      </c>
      <c r="S50">
        <v>348</v>
      </c>
      <c r="T50">
        <v>0</v>
      </c>
      <c r="U50">
        <v>0</v>
      </c>
      <c r="V50">
        <v>0</v>
      </c>
      <c r="W50">
        <v>7022.72</v>
      </c>
      <c r="X50">
        <v>0</v>
      </c>
      <c r="Y50">
        <v>0</v>
      </c>
      <c r="Z50">
        <v>0</v>
      </c>
      <c r="AA50">
        <v>0</v>
      </c>
      <c r="AB50">
        <v>0</v>
      </c>
      <c r="AC50">
        <v>2610</v>
      </c>
      <c r="AD50" s="5">
        <v>45931</v>
      </c>
      <c r="AE50" t="s">
        <v>69</v>
      </c>
      <c r="AF50">
        <v>7225210497</v>
      </c>
      <c r="AG50" t="s">
        <v>1812</v>
      </c>
      <c r="AI50" t="s">
        <v>1813</v>
      </c>
      <c r="AJ50">
        <v>2829010</v>
      </c>
      <c r="AM50" t="s">
        <v>1814</v>
      </c>
      <c r="AN50">
        <v>7218890468</v>
      </c>
      <c r="AO50" t="s">
        <v>1815</v>
      </c>
      <c r="AP50">
        <v>7223403878</v>
      </c>
      <c r="AQ50" t="s">
        <v>1816</v>
      </c>
      <c r="AR50">
        <v>7225656410</v>
      </c>
      <c r="AY50">
        <v>10176.219999999999</v>
      </c>
      <c r="AZ50">
        <v>6.3540255999999999</v>
      </c>
      <c r="BA50">
        <v>1</v>
      </c>
      <c r="BB50" t="s">
        <v>1044</v>
      </c>
      <c r="BC50" t="s">
        <v>2969</v>
      </c>
      <c r="BD50" t="s">
        <v>503</v>
      </c>
      <c r="BE50" t="s">
        <v>74</v>
      </c>
      <c r="BF50" t="s">
        <v>503</v>
      </c>
      <c r="BG50" t="s">
        <v>1817</v>
      </c>
      <c r="BH50" t="s">
        <v>2715</v>
      </c>
      <c r="BK50">
        <v>0</v>
      </c>
      <c r="BL50">
        <v>0</v>
      </c>
      <c r="BM50" t="s">
        <v>2847</v>
      </c>
    </row>
    <row r="51" spans="1:65" x14ac:dyDescent="0.3">
      <c r="A51">
        <v>1595</v>
      </c>
      <c r="B51" t="s">
        <v>61</v>
      </c>
      <c r="C51" t="s">
        <v>194</v>
      </c>
      <c r="D51">
        <v>42</v>
      </c>
      <c r="E51" t="s">
        <v>589</v>
      </c>
      <c r="F51">
        <v>39</v>
      </c>
      <c r="G51" t="s">
        <v>2763</v>
      </c>
      <c r="H51">
        <v>1595</v>
      </c>
      <c r="I51">
        <v>1</v>
      </c>
      <c r="J51" t="s">
        <v>1837</v>
      </c>
      <c r="K51" s="5">
        <v>45866</v>
      </c>
      <c r="L51" s="5">
        <v>46235</v>
      </c>
      <c r="M51">
        <v>10000</v>
      </c>
      <c r="N51">
        <v>10534.08</v>
      </c>
      <c r="O51">
        <v>0</v>
      </c>
      <c r="P51">
        <v>12</v>
      </c>
      <c r="Q51" t="s">
        <v>68</v>
      </c>
      <c r="R51">
        <v>1711.1000000000001</v>
      </c>
      <c r="S51">
        <v>696</v>
      </c>
      <c r="T51">
        <v>0</v>
      </c>
      <c r="U51">
        <v>0</v>
      </c>
      <c r="V51">
        <v>0</v>
      </c>
      <c r="W51">
        <v>8778.4</v>
      </c>
      <c r="X51">
        <v>1.858666666667E-3</v>
      </c>
      <c r="Y51">
        <v>0</v>
      </c>
      <c r="Z51">
        <v>0</v>
      </c>
      <c r="AA51">
        <v>0</v>
      </c>
      <c r="AB51">
        <v>0</v>
      </c>
      <c r="AC51">
        <v>2291.09</v>
      </c>
      <c r="AD51" s="5">
        <v>45933</v>
      </c>
      <c r="AE51" t="s">
        <v>69</v>
      </c>
      <c r="AF51">
        <v>7223016047</v>
      </c>
      <c r="AG51" t="s">
        <v>1838</v>
      </c>
      <c r="AI51" t="s">
        <v>464</v>
      </c>
      <c r="AJ51">
        <v>9411998</v>
      </c>
      <c r="AK51" t="s">
        <v>1839</v>
      </c>
      <c r="AM51" t="s">
        <v>1840</v>
      </c>
      <c r="AN51">
        <v>7207841465</v>
      </c>
      <c r="AO51" t="s">
        <v>1841</v>
      </c>
      <c r="AP51">
        <v>5665289583</v>
      </c>
      <c r="AQ51" t="s">
        <v>1842</v>
      </c>
      <c r="AR51">
        <v>7293822882</v>
      </c>
      <c r="AY51">
        <v>16530.96</v>
      </c>
      <c r="AZ51">
        <v>0</v>
      </c>
      <c r="BA51">
        <v>1</v>
      </c>
      <c r="BB51" t="s">
        <v>1044</v>
      </c>
      <c r="BC51" t="s">
        <v>2946</v>
      </c>
      <c r="BD51" t="s">
        <v>1400</v>
      </c>
      <c r="BE51" t="s">
        <v>74</v>
      </c>
      <c r="BF51" t="s">
        <v>503</v>
      </c>
      <c r="BG51" t="s">
        <v>1843</v>
      </c>
      <c r="BH51" t="s">
        <v>2715</v>
      </c>
      <c r="BK51">
        <v>1</v>
      </c>
      <c r="BL51">
        <v>1</v>
      </c>
      <c r="BM51" t="s">
        <v>2847</v>
      </c>
    </row>
    <row r="52" spans="1:65" x14ac:dyDescent="0.3">
      <c r="A52">
        <v>1505</v>
      </c>
      <c r="B52" t="s">
        <v>61</v>
      </c>
      <c r="C52" t="s">
        <v>194</v>
      </c>
      <c r="D52">
        <v>42</v>
      </c>
      <c r="E52" t="s">
        <v>589</v>
      </c>
      <c r="F52">
        <v>39</v>
      </c>
      <c r="G52" t="s">
        <v>2763</v>
      </c>
      <c r="H52">
        <v>1505</v>
      </c>
      <c r="I52">
        <v>1</v>
      </c>
      <c r="J52" t="s">
        <v>1764</v>
      </c>
      <c r="K52" s="5">
        <v>45862</v>
      </c>
      <c r="L52" s="5">
        <v>46046</v>
      </c>
      <c r="M52">
        <v>10000</v>
      </c>
      <c r="N52">
        <v>10534.08</v>
      </c>
      <c r="O52">
        <v>0</v>
      </c>
      <c r="P52">
        <v>6</v>
      </c>
      <c r="Q52" t="s">
        <v>68</v>
      </c>
      <c r="R52">
        <v>2586.83</v>
      </c>
      <c r="S52">
        <v>348</v>
      </c>
      <c r="T52">
        <v>0</v>
      </c>
      <c r="U52">
        <v>0</v>
      </c>
      <c r="V52">
        <v>0</v>
      </c>
      <c r="W52">
        <v>7022.72</v>
      </c>
      <c r="X52">
        <v>0</v>
      </c>
      <c r="Y52">
        <v>0</v>
      </c>
      <c r="Z52">
        <v>0</v>
      </c>
      <c r="AA52">
        <v>0</v>
      </c>
      <c r="AB52">
        <v>0</v>
      </c>
      <c r="AC52">
        <v>2587</v>
      </c>
      <c r="AD52" s="5">
        <v>45924</v>
      </c>
      <c r="AE52" t="s">
        <v>69</v>
      </c>
      <c r="AF52">
        <v>7223143189</v>
      </c>
      <c r="AG52" t="s">
        <v>1765</v>
      </c>
      <c r="AI52" t="s">
        <v>1405</v>
      </c>
      <c r="AJ52">
        <v>8719017</v>
      </c>
      <c r="AM52" t="s">
        <v>1766</v>
      </c>
      <c r="AN52">
        <v>7225603679</v>
      </c>
      <c r="AO52" t="s">
        <v>1767</v>
      </c>
      <c r="AP52">
        <v>7226747726</v>
      </c>
      <c r="AQ52" t="s">
        <v>1768</v>
      </c>
      <c r="AR52">
        <v>7223771417</v>
      </c>
      <c r="AY52">
        <v>10112.01</v>
      </c>
      <c r="AZ52">
        <v>3.3306922666666701</v>
      </c>
      <c r="BA52">
        <v>1</v>
      </c>
      <c r="BB52" t="s">
        <v>1044</v>
      </c>
      <c r="BC52" t="s">
        <v>2898</v>
      </c>
      <c r="BD52" t="s">
        <v>503</v>
      </c>
      <c r="BE52" t="s">
        <v>74</v>
      </c>
      <c r="BF52" t="s">
        <v>503</v>
      </c>
      <c r="BG52" t="s">
        <v>1769</v>
      </c>
      <c r="BH52" t="s">
        <v>2715</v>
      </c>
      <c r="BK52">
        <v>0</v>
      </c>
      <c r="BL52">
        <v>0</v>
      </c>
      <c r="BM52" t="s">
        <v>2847</v>
      </c>
    </row>
    <row r="53" spans="1:65" x14ac:dyDescent="0.3">
      <c r="A53">
        <v>1494</v>
      </c>
      <c r="B53" t="s">
        <v>61</v>
      </c>
      <c r="C53" t="s">
        <v>194</v>
      </c>
      <c r="D53">
        <v>41</v>
      </c>
      <c r="E53" t="s">
        <v>595</v>
      </c>
      <c r="F53">
        <v>39</v>
      </c>
      <c r="G53" t="s">
        <v>2763</v>
      </c>
      <c r="H53">
        <v>1494</v>
      </c>
      <c r="I53">
        <v>1</v>
      </c>
      <c r="J53" t="s">
        <v>1776</v>
      </c>
      <c r="K53" s="5">
        <v>45862</v>
      </c>
      <c r="L53" s="5">
        <v>46198</v>
      </c>
      <c r="M53">
        <v>10000</v>
      </c>
      <c r="N53">
        <v>10534.08</v>
      </c>
      <c r="O53">
        <v>0</v>
      </c>
      <c r="P53">
        <v>24</v>
      </c>
      <c r="Q53" t="s">
        <v>496</v>
      </c>
      <c r="R53">
        <v>849.88</v>
      </c>
      <c r="S53">
        <v>1392</v>
      </c>
      <c r="T53">
        <v>0</v>
      </c>
      <c r="U53">
        <v>5</v>
      </c>
      <c r="V53">
        <v>0</v>
      </c>
      <c r="W53">
        <v>8339.48</v>
      </c>
      <c r="X53">
        <v>0</v>
      </c>
      <c r="Y53">
        <v>0</v>
      </c>
      <c r="Z53">
        <v>0</v>
      </c>
      <c r="AA53">
        <v>0</v>
      </c>
      <c r="AB53">
        <v>0</v>
      </c>
      <c r="AC53">
        <v>850</v>
      </c>
      <c r="AD53" s="5">
        <v>45932</v>
      </c>
      <c r="AE53" t="s">
        <v>69</v>
      </c>
      <c r="AF53">
        <v>7222295955</v>
      </c>
      <c r="AG53" t="s">
        <v>1777</v>
      </c>
      <c r="AI53" t="s">
        <v>684</v>
      </c>
      <c r="AJ53">
        <v>2071017</v>
      </c>
      <c r="AM53" t="s">
        <v>1778</v>
      </c>
      <c r="AN53">
        <v>7296122538</v>
      </c>
      <c r="AO53" t="s">
        <v>1779</v>
      </c>
      <c r="AP53">
        <v>7294528035</v>
      </c>
      <c r="AQ53" t="s">
        <v>1780</v>
      </c>
      <c r="AR53">
        <v>7294564515</v>
      </c>
      <c r="AY53">
        <v>15045.17</v>
      </c>
      <c r="AZ53">
        <v>0.59046399999999999</v>
      </c>
      <c r="BA53">
        <v>1</v>
      </c>
      <c r="BB53" t="s">
        <v>1044</v>
      </c>
      <c r="BC53" t="s">
        <v>2958</v>
      </c>
      <c r="BD53" t="s">
        <v>1781</v>
      </c>
      <c r="BE53" t="s">
        <v>74</v>
      </c>
      <c r="BF53" t="s">
        <v>194</v>
      </c>
      <c r="BG53" t="s">
        <v>1782</v>
      </c>
      <c r="BH53" t="s">
        <v>2715</v>
      </c>
      <c r="BK53">
        <v>0</v>
      </c>
      <c r="BL53">
        <v>0</v>
      </c>
      <c r="BM53" t="s">
        <v>2847</v>
      </c>
    </row>
    <row r="54" spans="1:65" x14ac:dyDescent="0.3">
      <c r="A54">
        <v>1546</v>
      </c>
      <c r="B54" t="s">
        <v>61</v>
      </c>
      <c r="C54" t="s">
        <v>194</v>
      </c>
      <c r="D54">
        <v>42</v>
      </c>
      <c r="E54" t="s">
        <v>589</v>
      </c>
      <c r="F54">
        <v>39</v>
      </c>
      <c r="G54" t="s">
        <v>2763</v>
      </c>
      <c r="H54">
        <v>1546</v>
      </c>
      <c r="I54">
        <v>1</v>
      </c>
      <c r="J54" t="s">
        <v>1659</v>
      </c>
      <c r="K54" s="5">
        <v>45854</v>
      </c>
      <c r="L54" s="5">
        <v>46038</v>
      </c>
      <c r="M54">
        <v>5000.01</v>
      </c>
      <c r="N54">
        <v>5267.04</v>
      </c>
      <c r="O54">
        <v>0</v>
      </c>
      <c r="P54">
        <v>6</v>
      </c>
      <c r="Q54" t="s">
        <v>68</v>
      </c>
      <c r="R54">
        <v>1322.42</v>
      </c>
      <c r="S54">
        <v>348</v>
      </c>
      <c r="T54">
        <v>0</v>
      </c>
      <c r="U54">
        <v>0</v>
      </c>
      <c r="V54">
        <v>0</v>
      </c>
      <c r="W54">
        <v>3511.36</v>
      </c>
      <c r="X54">
        <v>0</v>
      </c>
      <c r="Y54">
        <v>0</v>
      </c>
      <c r="Z54">
        <v>0</v>
      </c>
      <c r="AA54">
        <v>0</v>
      </c>
      <c r="AB54">
        <v>0</v>
      </c>
      <c r="AC54">
        <v>1323</v>
      </c>
      <c r="AD54" s="5">
        <v>45917</v>
      </c>
      <c r="AE54" t="s">
        <v>69</v>
      </c>
      <c r="AF54">
        <v>7141002888</v>
      </c>
      <c r="AG54" t="s">
        <v>1660</v>
      </c>
      <c r="AI54" t="s">
        <v>1661</v>
      </c>
      <c r="AJ54">
        <v>2099043</v>
      </c>
      <c r="AM54" t="s">
        <v>1662</v>
      </c>
      <c r="AN54">
        <v>7294714076</v>
      </c>
      <c r="AO54" t="s">
        <v>1663</v>
      </c>
      <c r="AP54">
        <v>7224598383</v>
      </c>
      <c r="AQ54" t="s">
        <v>1664</v>
      </c>
      <c r="AR54">
        <v>7293691929</v>
      </c>
      <c r="AY54">
        <v>5056.5</v>
      </c>
      <c r="AZ54">
        <v>1.17</v>
      </c>
      <c r="BA54">
        <v>1</v>
      </c>
      <c r="BB54" t="s">
        <v>1044</v>
      </c>
      <c r="BC54" t="s">
        <v>2964</v>
      </c>
      <c r="BD54" t="s">
        <v>1665</v>
      </c>
      <c r="BE54" t="s">
        <v>74</v>
      </c>
      <c r="BF54" t="s">
        <v>503</v>
      </c>
      <c r="BG54" t="s">
        <v>1666</v>
      </c>
      <c r="BH54" t="s">
        <v>2715</v>
      </c>
      <c r="BK54">
        <v>0</v>
      </c>
      <c r="BL54">
        <v>0</v>
      </c>
      <c r="BM54" t="s">
        <v>2847</v>
      </c>
    </row>
    <row r="55" spans="1:65" x14ac:dyDescent="0.3">
      <c r="A55">
        <v>1533</v>
      </c>
      <c r="B55" t="s">
        <v>61</v>
      </c>
      <c r="C55" t="s">
        <v>194</v>
      </c>
      <c r="D55">
        <v>42</v>
      </c>
      <c r="E55" t="s">
        <v>589</v>
      </c>
      <c r="F55">
        <v>39</v>
      </c>
      <c r="G55" t="s">
        <v>2763</v>
      </c>
      <c r="H55">
        <v>1533</v>
      </c>
      <c r="I55">
        <v>1</v>
      </c>
      <c r="J55" t="s">
        <v>1667</v>
      </c>
      <c r="K55" s="5">
        <v>45854</v>
      </c>
      <c r="L55" s="5">
        <v>46219</v>
      </c>
      <c r="M55">
        <v>12000</v>
      </c>
      <c r="N55">
        <v>12640.89</v>
      </c>
      <c r="O55">
        <v>0</v>
      </c>
      <c r="P55">
        <v>12</v>
      </c>
      <c r="Q55" t="s">
        <v>68</v>
      </c>
      <c r="R55">
        <v>2031.63</v>
      </c>
      <c r="S55">
        <v>696</v>
      </c>
      <c r="T55">
        <v>0</v>
      </c>
      <c r="U55">
        <v>0</v>
      </c>
      <c r="V55">
        <v>0</v>
      </c>
      <c r="W55">
        <v>10534.07</v>
      </c>
      <c r="X55">
        <v>0</v>
      </c>
      <c r="Y55">
        <v>0</v>
      </c>
      <c r="Z55">
        <v>0</v>
      </c>
      <c r="AA55">
        <v>0</v>
      </c>
      <c r="AB55">
        <v>0</v>
      </c>
      <c r="AC55">
        <v>2612</v>
      </c>
      <c r="AD55" s="5">
        <v>45927</v>
      </c>
      <c r="AE55" t="s">
        <v>69</v>
      </c>
      <c r="AF55">
        <v>7221055890</v>
      </c>
      <c r="AG55" t="s">
        <v>1668</v>
      </c>
      <c r="AI55" t="s">
        <v>428</v>
      </c>
      <c r="AJ55">
        <v>6326012</v>
      </c>
      <c r="AK55" t="s">
        <v>1669</v>
      </c>
      <c r="AM55" t="s">
        <v>1670</v>
      </c>
      <c r="AN55">
        <v>7228384817</v>
      </c>
      <c r="AO55" t="s">
        <v>1671</v>
      </c>
      <c r="AP55">
        <v>7226066011</v>
      </c>
      <c r="AQ55" t="s">
        <v>1672</v>
      </c>
      <c r="AR55">
        <v>7299935628</v>
      </c>
      <c r="AY55">
        <v>19735.55</v>
      </c>
      <c r="AZ55">
        <v>0.745</v>
      </c>
      <c r="BA55">
        <v>1</v>
      </c>
      <c r="BB55" t="s">
        <v>1044</v>
      </c>
      <c r="BC55" t="s">
        <v>3012</v>
      </c>
      <c r="BD55" t="s">
        <v>570</v>
      </c>
      <c r="BE55" t="s">
        <v>74</v>
      </c>
      <c r="BF55" t="s">
        <v>503</v>
      </c>
      <c r="BG55" t="s">
        <v>1673</v>
      </c>
      <c r="BH55" t="s">
        <v>2715</v>
      </c>
      <c r="BK55">
        <v>1</v>
      </c>
      <c r="BL55">
        <v>1</v>
      </c>
      <c r="BM55" t="s">
        <v>2847</v>
      </c>
    </row>
    <row r="56" spans="1:65" x14ac:dyDescent="0.3">
      <c r="A56">
        <v>1618</v>
      </c>
      <c r="B56" t="s">
        <v>61</v>
      </c>
      <c r="C56" t="s">
        <v>194</v>
      </c>
      <c r="D56">
        <v>41</v>
      </c>
      <c r="E56" t="s">
        <v>595</v>
      </c>
      <c r="F56">
        <v>39</v>
      </c>
      <c r="G56" t="s">
        <v>2763</v>
      </c>
      <c r="H56">
        <v>1618</v>
      </c>
      <c r="I56">
        <v>1</v>
      </c>
      <c r="J56" t="s">
        <v>1750</v>
      </c>
      <c r="K56" s="5">
        <v>45861</v>
      </c>
      <c r="L56" s="5">
        <v>46226</v>
      </c>
      <c r="M56">
        <v>10000</v>
      </c>
      <c r="N56">
        <v>10534.08</v>
      </c>
      <c r="O56">
        <v>0</v>
      </c>
      <c r="P56">
        <v>12</v>
      </c>
      <c r="Q56" t="s">
        <v>68</v>
      </c>
      <c r="R56">
        <v>1702.69</v>
      </c>
      <c r="S56">
        <v>696</v>
      </c>
      <c r="T56">
        <v>0</v>
      </c>
      <c r="U56">
        <v>0</v>
      </c>
      <c r="V56">
        <v>0</v>
      </c>
      <c r="W56">
        <v>8778.4</v>
      </c>
      <c r="X56">
        <v>0</v>
      </c>
      <c r="Y56">
        <v>0</v>
      </c>
      <c r="Z56">
        <v>0</v>
      </c>
      <c r="AA56">
        <v>0</v>
      </c>
      <c r="AB56">
        <v>0</v>
      </c>
      <c r="AC56">
        <v>1703</v>
      </c>
      <c r="AD56" s="5">
        <v>45923</v>
      </c>
      <c r="AE56" t="s">
        <v>69</v>
      </c>
      <c r="AF56">
        <v>7295938738</v>
      </c>
      <c r="AG56" t="s">
        <v>1751</v>
      </c>
      <c r="AI56" t="s">
        <v>86</v>
      </c>
      <c r="AJ56">
        <v>8711021</v>
      </c>
      <c r="AM56" t="s">
        <v>1752</v>
      </c>
      <c r="AN56">
        <v>7298173665</v>
      </c>
      <c r="AO56" t="s">
        <v>1753</v>
      </c>
      <c r="AP56">
        <v>7226259496</v>
      </c>
      <c r="AQ56" t="s">
        <v>1754</v>
      </c>
      <c r="AR56">
        <v>7295214120</v>
      </c>
      <c r="AY56">
        <v>16446.3</v>
      </c>
      <c r="AZ56">
        <v>0.62</v>
      </c>
      <c r="BA56">
        <v>1</v>
      </c>
      <c r="BB56" t="s">
        <v>1044</v>
      </c>
      <c r="BC56" t="s">
        <v>2886</v>
      </c>
      <c r="BD56" t="s">
        <v>1718</v>
      </c>
      <c r="BE56" t="s">
        <v>74</v>
      </c>
      <c r="BF56" t="s">
        <v>194</v>
      </c>
      <c r="BG56" t="s">
        <v>1755</v>
      </c>
      <c r="BH56" t="s">
        <v>2715</v>
      </c>
      <c r="BK56">
        <v>0</v>
      </c>
      <c r="BL56">
        <v>0</v>
      </c>
      <c r="BM56" t="s">
        <v>2847</v>
      </c>
    </row>
    <row r="57" spans="1:65" x14ac:dyDescent="0.3">
      <c r="A57">
        <v>3186</v>
      </c>
      <c r="B57" t="s">
        <v>61</v>
      </c>
      <c r="C57" t="s">
        <v>194</v>
      </c>
      <c r="D57">
        <v>37</v>
      </c>
      <c r="E57" t="s">
        <v>409</v>
      </c>
      <c r="F57">
        <v>39</v>
      </c>
      <c r="G57" t="s">
        <v>2763</v>
      </c>
      <c r="H57">
        <v>3186</v>
      </c>
      <c r="I57">
        <v>1</v>
      </c>
      <c r="J57" t="s">
        <v>2922</v>
      </c>
      <c r="K57" s="5">
        <v>45936</v>
      </c>
      <c r="L57" s="5">
        <v>46104</v>
      </c>
      <c r="M57">
        <v>5000</v>
      </c>
      <c r="N57">
        <v>5267.04</v>
      </c>
      <c r="O57">
        <v>0</v>
      </c>
      <c r="P57">
        <v>12</v>
      </c>
      <c r="Q57" t="s">
        <v>496</v>
      </c>
      <c r="R57">
        <v>673.4</v>
      </c>
      <c r="S57">
        <v>696</v>
      </c>
      <c r="T57">
        <v>0</v>
      </c>
      <c r="U57">
        <v>0</v>
      </c>
      <c r="V57">
        <v>0</v>
      </c>
      <c r="W57">
        <v>5267.04</v>
      </c>
      <c r="X57">
        <v>0</v>
      </c>
      <c r="Y57">
        <v>0</v>
      </c>
      <c r="Z57">
        <v>0</v>
      </c>
      <c r="AA57">
        <v>0</v>
      </c>
      <c r="AB57">
        <v>0</v>
      </c>
      <c r="AE57" t="s">
        <v>69</v>
      </c>
      <c r="AF57">
        <v>7223344062</v>
      </c>
      <c r="AG57" t="s">
        <v>2924</v>
      </c>
      <c r="AI57" t="s">
        <v>283</v>
      </c>
      <c r="AJ57">
        <v>8944098</v>
      </c>
      <c r="AK57" t="s">
        <v>2925</v>
      </c>
      <c r="AM57" t="s">
        <v>2926</v>
      </c>
      <c r="AN57">
        <v>7205750865</v>
      </c>
      <c r="AO57" t="s">
        <v>2928</v>
      </c>
      <c r="AP57">
        <v>7228045660</v>
      </c>
      <c r="AQ57" t="s">
        <v>2930</v>
      </c>
      <c r="AR57">
        <v>7295938738</v>
      </c>
      <c r="AY57">
        <v>7384.81</v>
      </c>
      <c r="AZ57">
        <v>0</v>
      </c>
      <c r="BA57">
        <v>1</v>
      </c>
      <c r="BB57" t="s">
        <v>1044</v>
      </c>
      <c r="BC57" t="s">
        <v>2931</v>
      </c>
      <c r="BD57" t="s">
        <v>1718</v>
      </c>
      <c r="BE57" t="s">
        <v>74</v>
      </c>
      <c r="BF57" t="s">
        <v>194</v>
      </c>
      <c r="BG57" t="s">
        <v>2932</v>
      </c>
      <c r="BH57" t="s">
        <v>2715</v>
      </c>
      <c r="BK57">
        <v>0</v>
      </c>
      <c r="BL57">
        <v>0</v>
      </c>
      <c r="BM57" t="s">
        <v>2847</v>
      </c>
    </row>
    <row r="58" spans="1:65" x14ac:dyDescent="0.3">
      <c r="A58">
        <v>1055</v>
      </c>
      <c r="B58" t="s">
        <v>61</v>
      </c>
      <c r="C58" t="s">
        <v>194</v>
      </c>
      <c r="D58">
        <v>42</v>
      </c>
      <c r="E58" t="s">
        <v>589</v>
      </c>
      <c r="F58">
        <v>39</v>
      </c>
      <c r="G58" t="s">
        <v>2763</v>
      </c>
      <c r="H58">
        <v>1055</v>
      </c>
      <c r="I58">
        <v>2</v>
      </c>
      <c r="J58" t="s">
        <v>1116</v>
      </c>
      <c r="K58" s="5">
        <v>45817</v>
      </c>
      <c r="L58" s="5">
        <v>46182</v>
      </c>
      <c r="M58">
        <v>40000</v>
      </c>
      <c r="N58">
        <v>42136.31</v>
      </c>
      <c r="O58">
        <v>0</v>
      </c>
      <c r="P58">
        <v>12</v>
      </c>
      <c r="Q58" t="s">
        <v>68</v>
      </c>
      <c r="R58">
        <v>6636.77</v>
      </c>
      <c r="S58">
        <v>696</v>
      </c>
      <c r="T58">
        <v>0</v>
      </c>
      <c r="U58">
        <v>0</v>
      </c>
      <c r="V58">
        <v>0</v>
      </c>
      <c r="W58">
        <v>28090.87</v>
      </c>
      <c r="X58">
        <v>0</v>
      </c>
      <c r="Y58">
        <v>0</v>
      </c>
      <c r="Z58">
        <v>0</v>
      </c>
      <c r="AA58">
        <v>0</v>
      </c>
      <c r="AB58">
        <v>0</v>
      </c>
      <c r="AC58">
        <v>6637</v>
      </c>
      <c r="AD58" s="5">
        <v>45939</v>
      </c>
      <c r="AE58" t="s">
        <v>69</v>
      </c>
      <c r="AF58">
        <v>7221604238</v>
      </c>
      <c r="AG58" t="s">
        <v>1117</v>
      </c>
      <c r="AI58" t="s">
        <v>1118</v>
      </c>
      <c r="AJ58">
        <v>111063</v>
      </c>
      <c r="AK58" t="s">
        <v>1119</v>
      </c>
      <c r="AM58" t="s">
        <v>1120</v>
      </c>
      <c r="AN58">
        <v>7226718927</v>
      </c>
      <c r="AO58" t="s">
        <v>1121</v>
      </c>
      <c r="AP58">
        <v>7131194517</v>
      </c>
      <c r="AQ58" t="s">
        <v>1122</v>
      </c>
      <c r="AR58">
        <v>7223953758</v>
      </c>
      <c r="AY58">
        <v>52629.19</v>
      </c>
      <c r="AZ58">
        <v>0.93804255555555505</v>
      </c>
      <c r="BA58">
        <v>1</v>
      </c>
      <c r="BB58" t="s">
        <v>1044</v>
      </c>
      <c r="BC58" t="s">
        <v>2864</v>
      </c>
      <c r="BD58" t="s">
        <v>690</v>
      </c>
      <c r="BE58" t="s">
        <v>74</v>
      </c>
      <c r="BF58" t="s">
        <v>691</v>
      </c>
      <c r="BG58" t="s">
        <v>1123</v>
      </c>
      <c r="BH58" t="s">
        <v>2715</v>
      </c>
      <c r="BK58">
        <v>1</v>
      </c>
      <c r="BL58">
        <v>1</v>
      </c>
      <c r="BM58" t="s">
        <v>2847</v>
      </c>
    </row>
    <row r="59" spans="1:65" x14ac:dyDescent="0.3">
      <c r="A59">
        <v>1281</v>
      </c>
      <c r="B59" t="s">
        <v>61</v>
      </c>
      <c r="C59" t="s">
        <v>194</v>
      </c>
      <c r="D59">
        <v>37</v>
      </c>
      <c r="E59" t="s">
        <v>409</v>
      </c>
      <c r="F59">
        <v>39</v>
      </c>
      <c r="G59" t="s">
        <v>2763</v>
      </c>
      <c r="H59">
        <v>1281</v>
      </c>
      <c r="I59">
        <v>2</v>
      </c>
      <c r="J59" t="s">
        <v>468</v>
      </c>
      <c r="K59" s="5">
        <v>45926</v>
      </c>
      <c r="L59" s="5">
        <v>46094</v>
      </c>
      <c r="M59">
        <v>10000</v>
      </c>
      <c r="N59">
        <v>10534.08</v>
      </c>
      <c r="O59">
        <v>0</v>
      </c>
      <c r="P59">
        <v>12</v>
      </c>
      <c r="Q59" t="s">
        <v>496</v>
      </c>
      <c r="R59">
        <v>1288.8</v>
      </c>
      <c r="S59">
        <v>696</v>
      </c>
      <c r="T59">
        <v>0</v>
      </c>
      <c r="U59">
        <v>1</v>
      </c>
      <c r="V59">
        <v>0</v>
      </c>
      <c r="W59">
        <v>9665.0400000000009</v>
      </c>
      <c r="X59">
        <v>8.8019072000000005</v>
      </c>
      <c r="Y59">
        <v>8.8000000000000007</v>
      </c>
      <c r="Z59">
        <v>0</v>
      </c>
      <c r="AA59">
        <v>0</v>
      </c>
      <c r="AB59">
        <v>0</v>
      </c>
      <c r="AC59">
        <v>1280</v>
      </c>
      <c r="AD59" s="5">
        <v>45940</v>
      </c>
      <c r="AE59" t="s">
        <v>69</v>
      </c>
      <c r="AF59">
        <v>7221116623</v>
      </c>
      <c r="AG59" t="s">
        <v>2844</v>
      </c>
      <c r="AI59" t="s">
        <v>283</v>
      </c>
      <c r="AJ59">
        <v>8944098</v>
      </c>
      <c r="AM59" t="s">
        <v>803</v>
      </c>
      <c r="AN59">
        <v>7228090869</v>
      </c>
      <c r="AO59" t="s">
        <v>801</v>
      </c>
      <c r="AP59">
        <v>7226611440</v>
      </c>
      <c r="AQ59" t="s">
        <v>802</v>
      </c>
      <c r="AR59">
        <v>7224127300</v>
      </c>
      <c r="AY59">
        <v>13547.62</v>
      </c>
      <c r="AZ59">
        <v>0</v>
      </c>
      <c r="BA59">
        <v>1</v>
      </c>
      <c r="BB59" t="s">
        <v>1044</v>
      </c>
      <c r="BC59" t="s">
        <v>2934</v>
      </c>
      <c r="BD59" t="s">
        <v>470</v>
      </c>
      <c r="BE59" t="s">
        <v>74</v>
      </c>
      <c r="BF59" t="s">
        <v>194</v>
      </c>
      <c r="BH59" t="s">
        <v>2715</v>
      </c>
      <c r="BK59">
        <v>0</v>
      </c>
      <c r="BL59">
        <v>0</v>
      </c>
      <c r="BM59" t="s">
        <v>2847</v>
      </c>
    </row>
    <row r="60" spans="1:65" x14ac:dyDescent="0.3">
      <c r="A60">
        <v>1409</v>
      </c>
      <c r="B60" t="s">
        <v>61</v>
      </c>
      <c r="C60" t="s">
        <v>194</v>
      </c>
      <c r="D60">
        <v>42</v>
      </c>
      <c r="E60" t="s">
        <v>589</v>
      </c>
      <c r="F60">
        <v>39</v>
      </c>
      <c r="G60" t="s">
        <v>2763</v>
      </c>
      <c r="H60">
        <v>1409</v>
      </c>
      <c r="I60">
        <v>2</v>
      </c>
      <c r="J60" t="s">
        <v>1193</v>
      </c>
      <c r="K60" s="5">
        <v>45926</v>
      </c>
      <c r="L60" s="5">
        <v>46113</v>
      </c>
      <c r="M60">
        <v>10000</v>
      </c>
      <c r="N60">
        <v>10534.08</v>
      </c>
      <c r="O60">
        <v>0</v>
      </c>
      <c r="P60">
        <v>6</v>
      </c>
      <c r="Q60" t="s">
        <v>68</v>
      </c>
      <c r="R60">
        <v>2599.44</v>
      </c>
      <c r="S60">
        <v>348</v>
      </c>
      <c r="T60">
        <v>0</v>
      </c>
      <c r="U60">
        <v>0</v>
      </c>
      <c r="V60">
        <v>0</v>
      </c>
      <c r="W60">
        <v>10534.08</v>
      </c>
      <c r="X60">
        <v>0</v>
      </c>
      <c r="Y60">
        <v>0</v>
      </c>
      <c r="Z60">
        <v>0</v>
      </c>
      <c r="AA60">
        <v>0</v>
      </c>
      <c r="AB60">
        <v>0</v>
      </c>
      <c r="AE60" t="s">
        <v>69</v>
      </c>
      <c r="AF60">
        <v>7294046761</v>
      </c>
      <c r="AG60" t="s">
        <v>2842</v>
      </c>
      <c r="AI60" t="s">
        <v>526</v>
      </c>
      <c r="AJ60">
        <v>6131023</v>
      </c>
      <c r="AK60" t="s">
        <v>1194</v>
      </c>
      <c r="AM60" t="s">
        <v>1195</v>
      </c>
      <c r="AN60">
        <v>7223827563</v>
      </c>
      <c r="AO60" t="s">
        <v>1196</v>
      </c>
      <c r="AP60">
        <v>7229003618</v>
      </c>
      <c r="AQ60" t="s">
        <v>1197</v>
      </c>
      <c r="AR60">
        <v>7292990336</v>
      </c>
      <c r="AY60">
        <v>15248.64</v>
      </c>
      <c r="AZ60">
        <v>0</v>
      </c>
      <c r="BA60">
        <v>1</v>
      </c>
      <c r="BB60" t="s">
        <v>1044</v>
      </c>
      <c r="BC60" t="s">
        <v>2845</v>
      </c>
      <c r="BD60" t="s">
        <v>424</v>
      </c>
      <c r="BE60" t="s">
        <v>74</v>
      </c>
      <c r="BF60" t="s">
        <v>194</v>
      </c>
      <c r="BG60" t="s">
        <v>1198</v>
      </c>
      <c r="BH60" t="s">
        <v>2715</v>
      </c>
      <c r="BK60">
        <v>0</v>
      </c>
      <c r="BL60">
        <v>0</v>
      </c>
      <c r="BM60" t="s">
        <v>2847</v>
      </c>
    </row>
    <row r="61" spans="1:65" x14ac:dyDescent="0.3">
      <c r="A61">
        <v>1456</v>
      </c>
      <c r="B61" t="s">
        <v>61</v>
      </c>
      <c r="C61" t="s">
        <v>194</v>
      </c>
      <c r="D61">
        <v>41</v>
      </c>
      <c r="E61" t="s">
        <v>595</v>
      </c>
      <c r="F61">
        <v>39</v>
      </c>
      <c r="G61" t="s">
        <v>2763</v>
      </c>
      <c r="H61">
        <v>1456</v>
      </c>
      <c r="I61">
        <v>1</v>
      </c>
      <c r="J61" t="s">
        <v>1394</v>
      </c>
      <c r="K61" s="5">
        <v>45838</v>
      </c>
      <c r="L61" s="5">
        <v>46023</v>
      </c>
      <c r="M61">
        <v>5000</v>
      </c>
      <c r="N61">
        <v>5267.04</v>
      </c>
      <c r="O61">
        <v>0</v>
      </c>
      <c r="P61">
        <v>6</v>
      </c>
      <c r="Q61" t="s">
        <v>68</v>
      </c>
      <c r="R61">
        <v>1324.52</v>
      </c>
      <c r="S61">
        <v>348</v>
      </c>
      <c r="T61">
        <v>0</v>
      </c>
      <c r="U61">
        <v>0</v>
      </c>
      <c r="V61">
        <v>0</v>
      </c>
      <c r="W61">
        <v>2633.52</v>
      </c>
      <c r="X61">
        <v>0</v>
      </c>
      <c r="Y61">
        <v>0</v>
      </c>
      <c r="Z61">
        <v>0</v>
      </c>
      <c r="AA61">
        <v>0</v>
      </c>
      <c r="AB61">
        <v>0</v>
      </c>
      <c r="AC61">
        <v>1324.52</v>
      </c>
      <c r="AD61" s="5">
        <v>45931</v>
      </c>
      <c r="AE61" t="s">
        <v>69</v>
      </c>
      <c r="AF61">
        <v>7224848066</v>
      </c>
      <c r="AG61" t="s">
        <v>1395</v>
      </c>
      <c r="AI61" t="s">
        <v>644</v>
      </c>
      <c r="AJ61">
        <v>6212013</v>
      </c>
      <c r="AK61" t="s">
        <v>1396</v>
      </c>
      <c r="AM61" t="s">
        <v>1397</v>
      </c>
      <c r="AN61">
        <v>7295261598</v>
      </c>
      <c r="AO61" t="s">
        <v>1398</v>
      </c>
      <c r="AP61">
        <v>7361179319</v>
      </c>
      <c r="AQ61" t="s">
        <v>1399</v>
      </c>
      <c r="AR61">
        <v>7224292933</v>
      </c>
      <c r="AY61">
        <v>3799.55</v>
      </c>
      <c r="AZ61">
        <v>3.0192000000000001E-3</v>
      </c>
      <c r="BA61">
        <v>1</v>
      </c>
      <c r="BB61" t="s">
        <v>1044</v>
      </c>
      <c r="BC61" t="s">
        <v>3000</v>
      </c>
      <c r="BD61" t="s">
        <v>1400</v>
      </c>
      <c r="BE61" t="s">
        <v>74</v>
      </c>
      <c r="BF61" t="s">
        <v>194</v>
      </c>
      <c r="BG61" t="s">
        <v>1401</v>
      </c>
      <c r="BH61" t="s">
        <v>2715</v>
      </c>
      <c r="BK61">
        <v>0</v>
      </c>
      <c r="BL61">
        <v>0</v>
      </c>
      <c r="BM61" t="s">
        <v>2847</v>
      </c>
    </row>
    <row r="62" spans="1:65" x14ac:dyDescent="0.3">
      <c r="A62">
        <v>1680</v>
      </c>
      <c r="B62" t="s">
        <v>61</v>
      </c>
      <c r="C62" t="s">
        <v>194</v>
      </c>
      <c r="D62">
        <v>42</v>
      </c>
      <c r="E62" t="s">
        <v>589</v>
      </c>
      <c r="F62">
        <v>39</v>
      </c>
      <c r="G62" t="s">
        <v>2763</v>
      </c>
      <c r="H62">
        <v>1680</v>
      </c>
      <c r="I62">
        <v>1</v>
      </c>
      <c r="J62" t="s">
        <v>2594</v>
      </c>
      <c r="K62" s="5">
        <v>45874</v>
      </c>
      <c r="L62" s="5">
        <v>46239</v>
      </c>
      <c r="M62">
        <v>15000</v>
      </c>
      <c r="N62">
        <v>15801.12</v>
      </c>
      <c r="O62">
        <v>0</v>
      </c>
      <c r="P62">
        <v>12</v>
      </c>
      <c r="Q62" t="s">
        <v>68</v>
      </c>
      <c r="R62">
        <v>2525.04</v>
      </c>
      <c r="S62">
        <v>696</v>
      </c>
      <c r="T62">
        <v>0</v>
      </c>
      <c r="U62">
        <v>0</v>
      </c>
      <c r="V62">
        <v>0</v>
      </c>
      <c r="W62">
        <v>13167.6</v>
      </c>
      <c r="X62">
        <v>0</v>
      </c>
      <c r="Y62">
        <v>0</v>
      </c>
      <c r="Z62">
        <v>0</v>
      </c>
      <c r="AA62">
        <v>0</v>
      </c>
      <c r="AB62">
        <v>0</v>
      </c>
      <c r="AC62">
        <v>2525.04</v>
      </c>
      <c r="AD62" s="5">
        <v>45936</v>
      </c>
      <c r="AE62" t="s">
        <v>69</v>
      </c>
      <c r="AF62">
        <v>7223963932</v>
      </c>
      <c r="AG62" t="s">
        <v>2596</v>
      </c>
      <c r="AI62" t="s">
        <v>393</v>
      </c>
      <c r="AJ62">
        <v>131011</v>
      </c>
      <c r="AK62" t="s">
        <v>2597</v>
      </c>
      <c r="AM62" t="s">
        <v>2598</v>
      </c>
      <c r="AN62">
        <v>7224094282</v>
      </c>
      <c r="AO62" t="s">
        <v>2600</v>
      </c>
      <c r="AP62">
        <v>7227963156</v>
      </c>
      <c r="AQ62" t="s">
        <v>2602</v>
      </c>
      <c r="AR62">
        <v>7298726548</v>
      </c>
      <c r="AY62">
        <v>24670.37</v>
      </c>
      <c r="AZ62">
        <v>4.712E-3</v>
      </c>
      <c r="BA62">
        <v>1</v>
      </c>
      <c r="BB62" t="s">
        <v>1044</v>
      </c>
      <c r="BC62" t="s">
        <v>2866</v>
      </c>
      <c r="BD62" t="s">
        <v>2604</v>
      </c>
      <c r="BE62" t="s">
        <v>74</v>
      </c>
      <c r="BF62" t="s">
        <v>503</v>
      </c>
      <c r="BG62" t="s">
        <v>2605</v>
      </c>
      <c r="BH62" t="s">
        <v>2715</v>
      </c>
      <c r="BK62">
        <v>0</v>
      </c>
      <c r="BL62">
        <v>0</v>
      </c>
      <c r="BM62" t="s">
        <v>2847</v>
      </c>
    </row>
    <row r="63" spans="1:65" x14ac:dyDescent="0.3">
      <c r="A63">
        <v>1770</v>
      </c>
      <c r="B63" t="s">
        <v>61</v>
      </c>
      <c r="C63" t="s">
        <v>194</v>
      </c>
      <c r="D63">
        <v>41</v>
      </c>
      <c r="E63" t="s">
        <v>595</v>
      </c>
      <c r="F63">
        <v>39</v>
      </c>
      <c r="G63" t="s">
        <v>2763</v>
      </c>
      <c r="H63">
        <v>1770</v>
      </c>
      <c r="I63">
        <v>1</v>
      </c>
      <c r="J63" t="s">
        <v>2731</v>
      </c>
      <c r="K63" s="5">
        <v>45884</v>
      </c>
      <c r="L63" s="5">
        <v>46068</v>
      </c>
      <c r="M63">
        <v>8000</v>
      </c>
      <c r="N63">
        <v>8427.26</v>
      </c>
      <c r="O63">
        <v>0</v>
      </c>
      <c r="P63">
        <v>6</v>
      </c>
      <c r="Q63" t="s">
        <v>68</v>
      </c>
      <c r="R63">
        <v>2081.0700000000002</v>
      </c>
      <c r="S63">
        <v>348</v>
      </c>
      <c r="T63">
        <v>0</v>
      </c>
      <c r="U63">
        <v>0</v>
      </c>
      <c r="V63">
        <v>0</v>
      </c>
      <c r="W63">
        <v>7022.72</v>
      </c>
      <c r="X63">
        <v>0</v>
      </c>
      <c r="Y63">
        <v>0</v>
      </c>
      <c r="Z63">
        <v>0</v>
      </c>
      <c r="AA63">
        <v>0</v>
      </c>
      <c r="AB63">
        <v>0</v>
      </c>
      <c r="AC63">
        <v>2662</v>
      </c>
      <c r="AD63" s="5">
        <v>45922</v>
      </c>
      <c r="AE63" t="s">
        <v>69</v>
      </c>
      <c r="AF63">
        <v>7226824469</v>
      </c>
      <c r="AG63" t="s">
        <v>2733</v>
      </c>
      <c r="AI63" t="s">
        <v>481</v>
      </c>
      <c r="AJ63">
        <v>8712011</v>
      </c>
      <c r="AK63" t="s">
        <v>2734</v>
      </c>
      <c r="AM63" t="s">
        <v>2735</v>
      </c>
      <c r="AN63">
        <v>7201364638</v>
      </c>
      <c r="AO63" t="s">
        <v>2737</v>
      </c>
      <c r="AP63">
        <v>7223127351</v>
      </c>
      <c r="AQ63" t="s">
        <v>2739</v>
      </c>
      <c r="AR63">
        <v>7225320264</v>
      </c>
      <c r="AY63">
        <v>10114.4</v>
      </c>
      <c r="AZ63">
        <v>0.93669999999999998</v>
      </c>
      <c r="BA63">
        <v>1</v>
      </c>
      <c r="BB63" t="s">
        <v>1044</v>
      </c>
      <c r="BC63" t="s">
        <v>2894</v>
      </c>
      <c r="BD63" t="s">
        <v>2741</v>
      </c>
      <c r="BE63" t="s">
        <v>74</v>
      </c>
      <c r="BF63" t="s">
        <v>194</v>
      </c>
      <c r="BG63" t="s">
        <v>2742</v>
      </c>
      <c r="BH63" t="s">
        <v>2715</v>
      </c>
      <c r="BK63">
        <v>1</v>
      </c>
      <c r="BL63">
        <v>1</v>
      </c>
      <c r="BM63" t="s">
        <v>2847</v>
      </c>
    </row>
    <row r="64" spans="1:65" x14ac:dyDescent="0.3">
      <c r="A64">
        <v>1283</v>
      </c>
      <c r="B64" t="s">
        <v>61</v>
      </c>
      <c r="C64" t="s">
        <v>194</v>
      </c>
      <c r="D64">
        <v>37</v>
      </c>
      <c r="E64" t="s">
        <v>409</v>
      </c>
      <c r="F64">
        <v>39</v>
      </c>
      <c r="G64" t="s">
        <v>2763</v>
      </c>
      <c r="H64">
        <v>1283</v>
      </c>
      <c r="I64">
        <v>1</v>
      </c>
      <c r="J64" t="s">
        <v>495</v>
      </c>
      <c r="K64" s="5">
        <v>45777</v>
      </c>
      <c r="L64" s="5">
        <v>45945</v>
      </c>
      <c r="M64">
        <v>5000</v>
      </c>
      <c r="N64">
        <v>5267.04</v>
      </c>
      <c r="O64">
        <v>0</v>
      </c>
      <c r="P64">
        <v>12</v>
      </c>
      <c r="Q64" t="s">
        <v>496</v>
      </c>
      <c r="R64">
        <v>673.4</v>
      </c>
      <c r="S64">
        <v>696</v>
      </c>
      <c r="T64">
        <v>0</v>
      </c>
      <c r="U64">
        <v>11</v>
      </c>
      <c r="V64">
        <v>0</v>
      </c>
      <c r="W64">
        <v>438.92</v>
      </c>
      <c r="X64">
        <v>0</v>
      </c>
      <c r="Y64">
        <v>0</v>
      </c>
      <c r="Z64">
        <v>0</v>
      </c>
      <c r="AA64">
        <v>0</v>
      </c>
      <c r="AB64">
        <v>0</v>
      </c>
      <c r="AC64">
        <v>674</v>
      </c>
      <c r="AD64" s="5">
        <v>45931</v>
      </c>
      <c r="AE64" t="s">
        <v>69</v>
      </c>
      <c r="AF64">
        <v>7294761146</v>
      </c>
      <c r="AG64" t="s">
        <v>2814</v>
      </c>
      <c r="AI64" t="s">
        <v>497</v>
      </c>
      <c r="AJ64">
        <v>6231021</v>
      </c>
      <c r="AM64" t="s">
        <v>810</v>
      </c>
      <c r="AN64">
        <v>7291221647</v>
      </c>
      <c r="AO64" t="s">
        <v>808</v>
      </c>
      <c r="AP64">
        <v>7228633584</v>
      </c>
      <c r="AQ64" t="s">
        <v>809</v>
      </c>
      <c r="AR64">
        <v>7224279351</v>
      </c>
      <c r="AY64">
        <v>609.81000000000006</v>
      </c>
      <c r="AZ64">
        <v>5.59</v>
      </c>
      <c r="BA64">
        <v>1</v>
      </c>
      <c r="BB64" t="s">
        <v>1044</v>
      </c>
      <c r="BC64" t="s">
        <v>3006</v>
      </c>
      <c r="BD64" t="s">
        <v>430</v>
      </c>
      <c r="BE64" t="s">
        <v>74</v>
      </c>
      <c r="BF64" t="s">
        <v>194</v>
      </c>
      <c r="BH64" t="s">
        <v>2715</v>
      </c>
      <c r="BK64">
        <v>1</v>
      </c>
      <c r="BL64">
        <v>1</v>
      </c>
      <c r="BM64" t="s">
        <v>2847</v>
      </c>
    </row>
    <row r="65" spans="1:65" x14ac:dyDescent="0.3">
      <c r="A65">
        <v>1315</v>
      </c>
      <c r="B65" t="s">
        <v>61</v>
      </c>
      <c r="C65" t="s">
        <v>194</v>
      </c>
      <c r="D65">
        <v>42</v>
      </c>
      <c r="E65" t="s">
        <v>589</v>
      </c>
      <c r="F65">
        <v>39</v>
      </c>
      <c r="G65" t="s">
        <v>2763</v>
      </c>
      <c r="H65">
        <v>1315</v>
      </c>
      <c r="I65">
        <v>1</v>
      </c>
      <c r="J65" t="s">
        <v>567</v>
      </c>
      <c r="K65" s="5">
        <v>45791</v>
      </c>
      <c r="L65" s="5">
        <v>45959</v>
      </c>
      <c r="M65">
        <v>12000</v>
      </c>
      <c r="N65">
        <v>12640.89</v>
      </c>
      <c r="O65">
        <v>0</v>
      </c>
      <c r="P65">
        <v>24</v>
      </c>
      <c r="Q65" t="s">
        <v>469</v>
      </c>
      <c r="R65">
        <v>796.48</v>
      </c>
      <c r="S65">
        <v>1392</v>
      </c>
      <c r="T65">
        <v>0</v>
      </c>
      <c r="U65">
        <v>21</v>
      </c>
      <c r="V65">
        <v>0</v>
      </c>
      <c r="W65">
        <v>1580.1100000000001</v>
      </c>
      <c r="X65">
        <v>0</v>
      </c>
      <c r="Y65">
        <v>0</v>
      </c>
      <c r="Z65">
        <v>0</v>
      </c>
      <c r="AA65">
        <v>0</v>
      </c>
      <c r="AB65">
        <v>0</v>
      </c>
      <c r="AC65">
        <v>797</v>
      </c>
      <c r="AD65" s="5">
        <v>45938</v>
      </c>
      <c r="AE65" t="s">
        <v>69</v>
      </c>
      <c r="AF65">
        <v>7228386232</v>
      </c>
      <c r="AG65" t="s">
        <v>569</v>
      </c>
      <c r="AI65" t="s">
        <v>379</v>
      </c>
      <c r="AJ65">
        <v>6112023</v>
      </c>
      <c r="AM65" t="s">
        <v>863</v>
      </c>
      <c r="AN65">
        <v>6642804687</v>
      </c>
      <c r="AO65" t="s">
        <v>860</v>
      </c>
      <c r="AP65">
        <v>7225111421</v>
      </c>
      <c r="AQ65" t="s">
        <v>862</v>
      </c>
      <c r="AR65">
        <v>7226045579</v>
      </c>
      <c r="AY65">
        <v>2209.54</v>
      </c>
      <c r="AZ65">
        <v>5.9033302000000001</v>
      </c>
      <c r="BA65">
        <v>1</v>
      </c>
      <c r="BB65" t="s">
        <v>1044</v>
      </c>
      <c r="BC65" t="s">
        <v>2978</v>
      </c>
      <c r="BD65" t="s">
        <v>570</v>
      </c>
      <c r="BE65" t="s">
        <v>74</v>
      </c>
      <c r="BF65" t="s">
        <v>503</v>
      </c>
      <c r="BH65" t="s">
        <v>2715</v>
      </c>
      <c r="BK65">
        <v>7</v>
      </c>
      <c r="BL65">
        <v>3</v>
      </c>
      <c r="BM65" t="s">
        <v>2847</v>
      </c>
    </row>
    <row r="66" spans="1:65" x14ac:dyDescent="0.3">
      <c r="A66">
        <v>1445</v>
      </c>
      <c r="B66" t="s">
        <v>61</v>
      </c>
      <c r="C66" t="s">
        <v>194</v>
      </c>
      <c r="D66">
        <v>42</v>
      </c>
      <c r="E66" t="s">
        <v>589</v>
      </c>
      <c r="F66">
        <v>39</v>
      </c>
      <c r="G66" t="s">
        <v>2763</v>
      </c>
      <c r="H66">
        <v>1445</v>
      </c>
      <c r="I66">
        <v>1</v>
      </c>
      <c r="J66" t="s">
        <v>1342</v>
      </c>
      <c r="K66" s="5">
        <v>45833</v>
      </c>
      <c r="L66" s="5">
        <v>46001</v>
      </c>
      <c r="M66">
        <v>10000</v>
      </c>
      <c r="N66">
        <v>10534.08</v>
      </c>
      <c r="O66">
        <v>0</v>
      </c>
      <c r="P66">
        <v>12</v>
      </c>
      <c r="Q66" t="s">
        <v>496</v>
      </c>
      <c r="R66">
        <v>1288.8</v>
      </c>
      <c r="S66">
        <v>696</v>
      </c>
      <c r="T66">
        <v>0</v>
      </c>
      <c r="U66">
        <v>7</v>
      </c>
      <c r="V66">
        <v>0</v>
      </c>
      <c r="W66">
        <v>4389.21</v>
      </c>
      <c r="X66">
        <v>1.33504E-2</v>
      </c>
      <c r="Y66">
        <v>0.01</v>
      </c>
      <c r="Z66">
        <v>0</v>
      </c>
      <c r="AA66">
        <v>0</v>
      </c>
      <c r="AB66">
        <v>0</v>
      </c>
      <c r="AC66">
        <v>1288.8</v>
      </c>
      <c r="AD66" s="5">
        <v>45931</v>
      </c>
      <c r="AE66" t="s">
        <v>69</v>
      </c>
      <c r="AF66">
        <v>7224083842</v>
      </c>
      <c r="AG66" t="s">
        <v>1343</v>
      </c>
      <c r="AI66" t="s">
        <v>425</v>
      </c>
      <c r="AJ66">
        <v>6325048</v>
      </c>
      <c r="AM66" t="s">
        <v>1344</v>
      </c>
      <c r="AN66">
        <v>7297900011</v>
      </c>
      <c r="AO66" t="s">
        <v>1345</v>
      </c>
      <c r="AP66">
        <v>7223730234</v>
      </c>
      <c r="AQ66" t="s">
        <v>1346</v>
      </c>
      <c r="AR66">
        <v>7293313946</v>
      </c>
      <c r="AY66">
        <v>6154.02</v>
      </c>
      <c r="AZ66">
        <v>0</v>
      </c>
      <c r="BA66">
        <v>1</v>
      </c>
      <c r="BB66" t="s">
        <v>1044</v>
      </c>
      <c r="BC66" t="s">
        <v>3011</v>
      </c>
      <c r="BD66" t="s">
        <v>414</v>
      </c>
      <c r="BE66" t="s">
        <v>74</v>
      </c>
      <c r="BF66" t="s">
        <v>415</v>
      </c>
      <c r="BG66" t="s">
        <v>1347</v>
      </c>
      <c r="BH66" t="s">
        <v>2715</v>
      </c>
      <c r="BK66">
        <v>0</v>
      </c>
      <c r="BL66">
        <v>0</v>
      </c>
      <c r="BM66" t="s">
        <v>2847</v>
      </c>
    </row>
    <row r="67" spans="1:65" x14ac:dyDescent="0.3">
      <c r="A67">
        <v>1649</v>
      </c>
      <c r="B67" t="s">
        <v>61</v>
      </c>
      <c r="C67" t="s">
        <v>194</v>
      </c>
      <c r="D67">
        <v>41</v>
      </c>
      <c r="E67" t="s">
        <v>595</v>
      </c>
      <c r="F67">
        <v>39</v>
      </c>
      <c r="G67" t="s">
        <v>2763</v>
      </c>
      <c r="H67">
        <v>1649</v>
      </c>
      <c r="I67">
        <v>1</v>
      </c>
      <c r="J67" t="s">
        <v>2620</v>
      </c>
      <c r="K67" s="5">
        <v>45873</v>
      </c>
      <c r="L67" s="5">
        <v>46057</v>
      </c>
      <c r="M67">
        <v>5000</v>
      </c>
      <c r="N67">
        <v>5267.04</v>
      </c>
      <c r="O67">
        <v>0</v>
      </c>
      <c r="P67">
        <v>6</v>
      </c>
      <c r="Q67" t="s">
        <v>68</v>
      </c>
      <c r="R67">
        <v>1322.42</v>
      </c>
      <c r="S67">
        <v>348</v>
      </c>
      <c r="T67">
        <v>0</v>
      </c>
      <c r="U67">
        <v>0</v>
      </c>
      <c r="V67">
        <v>0</v>
      </c>
      <c r="W67">
        <v>3511.36</v>
      </c>
      <c r="X67">
        <v>0</v>
      </c>
      <c r="Y67">
        <v>0</v>
      </c>
      <c r="Z67">
        <v>0</v>
      </c>
      <c r="AA67">
        <v>0</v>
      </c>
      <c r="AB67">
        <v>0</v>
      </c>
      <c r="AC67">
        <v>1322.42</v>
      </c>
      <c r="AD67" s="5">
        <v>45936</v>
      </c>
      <c r="AE67" t="s">
        <v>69</v>
      </c>
      <c r="AF67">
        <v>7218891374</v>
      </c>
      <c r="AG67" t="s">
        <v>2621</v>
      </c>
      <c r="AI67" t="s">
        <v>2622</v>
      </c>
      <c r="AJ67">
        <v>9129017</v>
      </c>
      <c r="AK67" t="s">
        <v>2624</v>
      </c>
      <c r="AM67" t="s">
        <v>2625</v>
      </c>
      <c r="AN67">
        <v>7228804276</v>
      </c>
      <c r="AO67" t="s">
        <v>2627</v>
      </c>
      <c r="AP67">
        <v>7223751475</v>
      </c>
      <c r="AQ67" t="s">
        <v>2629</v>
      </c>
      <c r="AR67">
        <v>7222848358</v>
      </c>
      <c r="AY67">
        <v>5057.66</v>
      </c>
      <c r="AZ67">
        <v>0.01</v>
      </c>
      <c r="BA67">
        <v>1</v>
      </c>
      <c r="BB67" t="s">
        <v>1044</v>
      </c>
      <c r="BC67" t="s">
        <v>2942</v>
      </c>
      <c r="BD67" t="s">
        <v>2631</v>
      </c>
      <c r="BE67" t="s">
        <v>74</v>
      </c>
      <c r="BF67" t="s">
        <v>194</v>
      </c>
      <c r="BG67" t="s">
        <v>2632</v>
      </c>
      <c r="BH67" t="s">
        <v>2715</v>
      </c>
      <c r="BK67">
        <v>0</v>
      </c>
      <c r="BL67">
        <v>0</v>
      </c>
      <c r="BM67" t="s">
        <v>2847</v>
      </c>
    </row>
    <row r="68" spans="1:65" x14ac:dyDescent="0.3">
      <c r="A68">
        <v>1311</v>
      </c>
      <c r="B68" t="s">
        <v>61</v>
      </c>
      <c r="C68" t="s">
        <v>194</v>
      </c>
      <c r="D68">
        <v>37</v>
      </c>
      <c r="E68" t="s">
        <v>409</v>
      </c>
      <c r="F68">
        <v>39</v>
      </c>
      <c r="G68" t="s">
        <v>2763</v>
      </c>
      <c r="H68">
        <v>1311</v>
      </c>
      <c r="I68">
        <v>1</v>
      </c>
      <c r="J68" t="s">
        <v>556</v>
      </c>
      <c r="K68" s="5">
        <v>45786</v>
      </c>
      <c r="L68" s="5">
        <v>45970</v>
      </c>
      <c r="M68">
        <v>20000</v>
      </c>
      <c r="N68">
        <v>21068.16</v>
      </c>
      <c r="O68">
        <v>0</v>
      </c>
      <c r="P68">
        <v>6</v>
      </c>
      <c r="Q68" t="s">
        <v>68</v>
      </c>
      <c r="R68">
        <v>5115.67</v>
      </c>
      <c r="S68">
        <v>348</v>
      </c>
      <c r="T68">
        <v>0</v>
      </c>
      <c r="U68">
        <v>0</v>
      </c>
      <c r="V68">
        <v>0</v>
      </c>
      <c r="W68">
        <v>3511.36</v>
      </c>
      <c r="X68">
        <v>0</v>
      </c>
      <c r="Y68">
        <v>0</v>
      </c>
      <c r="Z68">
        <v>0</v>
      </c>
      <c r="AA68">
        <v>0</v>
      </c>
      <c r="AB68">
        <v>0</v>
      </c>
      <c r="AC68">
        <v>580</v>
      </c>
      <c r="AD68" s="5">
        <v>45941</v>
      </c>
      <c r="AE68" t="s">
        <v>69</v>
      </c>
      <c r="AF68">
        <v>7292249239</v>
      </c>
      <c r="AG68" t="s">
        <v>557</v>
      </c>
      <c r="AI68" t="s">
        <v>393</v>
      </c>
      <c r="AJ68">
        <v>131011</v>
      </c>
      <c r="AM68" t="s">
        <v>820</v>
      </c>
      <c r="AN68">
        <v>7297312371</v>
      </c>
      <c r="AO68" t="s">
        <v>818</v>
      </c>
      <c r="AP68">
        <v>7226645108</v>
      </c>
      <c r="AQ68" t="s">
        <v>819</v>
      </c>
      <c r="AR68">
        <v>7296621526</v>
      </c>
      <c r="AY68">
        <v>5052.0200000000004</v>
      </c>
      <c r="AZ68">
        <v>5.6534613333333299</v>
      </c>
      <c r="BA68">
        <v>1</v>
      </c>
      <c r="BB68" t="s">
        <v>1044</v>
      </c>
      <c r="BC68" t="s">
        <v>2869</v>
      </c>
      <c r="BD68" t="s">
        <v>564</v>
      </c>
      <c r="BE68" t="s">
        <v>74</v>
      </c>
      <c r="BF68" t="s">
        <v>194</v>
      </c>
      <c r="BH68" t="s">
        <v>2715</v>
      </c>
      <c r="BK68">
        <v>1</v>
      </c>
      <c r="BL68">
        <v>1</v>
      </c>
      <c r="BM68" t="s">
        <v>2847</v>
      </c>
    </row>
    <row r="69" spans="1:65" x14ac:dyDescent="0.3">
      <c r="A69">
        <v>1759</v>
      </c>
      <c r="B69" t="s">
        <v>61</v>
      </c>
      <c r="C69" t="s">
        <v>194</v>
      </c>
      <c r="D69">
        <v>42</v>
      </c>
      <c r="E69" t="s">
        <v>589</v>
      </c>
      <c r="F69">
        <v>39</v>
      </c>
      <c r="G69" t="s">
        <v>2763</v>
      </c>
      <c r="H69">
        <v>1759</v>
      </c>
      <c r="I69">
        <v>1</v>
      </c>
      <c r="J69" t="s">
        <v>2769</v>
      </c>
      <c r="K69" s="5">
        <v>45889</v>
      </c>
      <c r="L69" s="5">
        <v>46073</v>
      </c>
      <c r="M69">
        <v>8000</v>
      </c>
      <c r="N69">
        <v>8427.26</v>
      </c>
      <c r="O69">
        <v>0</v>
      </c>
      <c r="P69">
        <v>6</v>
      </c>
      <c r="Q69" t="s">
        <v>68</v>
      </c>
      <c r="R69">
        <v>2081.0700000000002</v>
      </c>
      <c r="S69">
        <v>348</v>
      </c>
      <c r="T69">
        <v>0</v>
      </c>
      <c r="U69">
        <v>0</v>
      </c>
      <c r="V69">
        <v>0</v>
      </c>
      <c r="W69">
        <v>7022.72</v>
      </c>
      <c r="X69">
        <v>0</v>
      </c>
      <c r="Y69">
        <v>0</v>
      </c>
      <c r="Z69">
        <v>0</v>
      </c>
      <c r="AA69">
        <v>0</v>
      </c>
      <c r="AB69">
        <v>0</v>
      </c>
      <c r="AC69">
        <v>2081.0700000000002</v>
      </c>
      <c r="AD69" s="5">
        <v>45920</v>
      </c>
      <c r="AE69" t="s">
        <v>69</v>
      </c>
      <c r="AF69">
        <v>7224273323</v>
      </c>
      <c r="AG69" t="s">
        <v>2771</v>
      </c>
      <c r="AI69" t="s">
        <v>2772</v>
      </c>
      <c r="AJ69">
        <v>9504003</v>
      </c>
      <c r="AK69" t="s">
        <v>2774</v>
      </c>
      <c r="AM69" t="s">
        <v>2775</v>
      </c>
      <c r="AN69">
        <v>7294023533</v>
      </c>
      <c r="AO69" t="s">
        <v>2777</v>
      </c>
      <c r="AP69">
        <v>7294023412</v>
      </c>
      <c r="AQ69" t="s">
        <v>2779</v>
      </c>
      <c r="AR69">
        <v>7228650495</v>
      </c>
      <c r="AY69">
        <v>10115.33</v>
      </c>
      <c r="AZ69">
        <v>6.7000000000000002E-3</v>
      </c>
      <c r="BA69">
        <v>1</v>
      </c>
      <c r="BB69" t="s">
        <v>1044</v>
      </c>
      <c r="BC69" t="s">
        <v>2954</v>
      </c>
      <c r="BD69" t="s">
        <v>1680</v>
      </c>
      <c r="BE69" t="s">
        <v>74</v>
      </c>
      <c r="BF69" t="s">
        <v>503</v>
      </c>
      <c r="BG69" t="s">
        <v>2781</v>
      </c>
      <c r="BH69" t="s">
        <v>2715</v>
      </c>
      <c r="BK69">
        <v>0</v>
      </c>
      <c r="BL69">
        <v>0</v>
      </c>
      <c r="BM69" t="s">
        <v>2847</v>
      </c>
    </row>
    <row r="70" spans="1:65" x14ac:dyDescent="0.3">
      <c r="A70">
        <v>1319</v>
      </c>
      <c r="B70" t="s">
        <v>61</v>
      </c>
      <c r="C70" t="s">
        <v>194</v>
      </c>
      <c r="D70">
        <v>42</v>
      </c>
      <c r="E70" t="s">
        <v>589</v>
      </c>
      <c r="F70">
        <v>39</v>
      </c>
      <c r="G70" t="s">
        <v>2763</v>
      </c>
      <c r="H70">
        <v>1319</v>
      </c>
      <c r="I70">
        <v>1</v>
      </c>
      <c r="J70" t="s">
        <v>591</v>
      </c>
      <c r="K70" s="5">
        <v>45792</v>
      </c>
      <c r="L70" s="5">
        <v>45976</v>
      </c>
      <c r="M70">
        <v>10000</v>
      </c>
      <c r="N70">
        <v>10534.08</v>
      </c>
      <c r="O70">
        <v>0</v>
      </c>
      <c r="P70">
        <v>6</v>
      </c>
      <c r="Q70" t="s">
        <v>68</v>
      </c>
      <c r="R70">
        <v>2586.83</v>
      </c>
      <c r="S70">
        <v>348</v>
      </c>
      <c r="T70">
        <v>0</v>
      </c>
      <c r="U70">
        <v>0</v>
      </c>
      <c r="V70">
        <v>0</v>
      </c>
      <c r="W70">
        <v>3511.38</v>
      </c>
      <c r="X70">
        <v>0.02</v>
      </c>
      <c r="Y70">
        <v>0.02</v>
      </c>
      <c r="Z70">
        <v>0</v>
      </c>
      <c r="AA70">
        <v>0</v>
      </c>
      <c r="AB70">
        <v>0</v>
      </c>
      <c r="AC70">
        <v>2586.83</v>
      </c>
      <c r="AD70" s="5">
        <v>45915</v>
      </c>
      <c r="AE70" t="s">
        <v>69</v>
      </c>
      <c r="AF70">
        <v>7223610986</v>
      </c>
      <c r="AG70" t="s">
        <v>592</v>
      </c>
      <c r="AI70" t="s">
        <v>89</v>
      </c>
      <c r="AJ70">
        <v>6211023</v>
      </c>
      <c r="AM70" t="s">
        <v>869</v>
      </c>
      <c r="AN70">
        <v>7222064947</v>
      </c>
      <c r="AO70" t="s">
        <v>867</v>
      </c>
      <c r="AP70">
        <v>7226024096</v>
      </c>
      <c r="AQ70" t="s">
        <v>868</v>
      </c>
      <c r="AR70">
        <v>7226093206</v>
      </c>
      <c r="AY70">
        <v>5057.6900000000005</v>
      </c>
      <c r="AZ70">
        <v>0</v>
      </c>
      <c r="BA70">
        <v>1</v>
      </c>
      <c r="BB70" t="s">
        <v>1044</v>
      </c>
      <c r="BC70" t="s">
        <v>2996</v>
      </c>
      <c r="BD70" t="s">
        <v>593</v>
      </c>
      <c r="BE70" t="s">
        <v>74</v>
      </c>
      <c r="BF70" t="s">
        <v>194</v>
      </c>
      <c r="BH70" t="s">
        <v>2715</v>
      </c>
      <c r="BK70">
        <v>0</v>
      </c>
      <c r="BL70">
        <v>0</v>
      </c>
      <c r="BM70" t="s">
        <v>2847</v>
      </c>
    </row>
    <row r="71" spans="1:65" x14ac:dyDescent="0.3">
      <c r="A71">
        <v>1320</v>
      </c>
      <c r="B71" t="s">
        <v>61</v>
      </c>
      <c r="C71" t="s">
        <v>194</v>
      </c>
      <c r="D71">
        <v>42</v>
      </c>
      <c r="E71" t="s">
        <v>589</v>
      </c>
      <c r="F71">
        <v>39</v>
      </c>
      <c r="G71" t="s">
        <v>2763</v>
      </c>
      <c r="H71">
        <v>1320</v>
      </c>
      <c r="I71">
        <v>1</v>
      </c>
      <c r="J71" t="s">
        <v>585</v>
      </c>
      <c r="K71" s="5">
        <v>45792</v>
      </c>
      <c r="L71" s="5">
        <v>45960</v>
      </c>
      <c r="M71">
        <v>7000</v>
      </c>
      <c r="N71">
        <v>7373.85</v>
      </c>
      <c r="O71">
        <v>0</v>
      </c>
      <c r="P71">
        <v>12</v>
      </c>
      <c r="Q71" t="s">
        <v>496</v>
      </c>
      <c r="R71">
        <v>919.56000000000006</v>
      </c>
      <c r="S71">
        <v>696</v>
      </c>
      <c r="T71">
        <v>0</v>
      </c>
      <c r="U71">
        <v>10</v>
      </c>
      <c r="V71">
        <v>0</v>
      </c>
      <c r="W71">
        <v>1228.97</v>
      </c>
      <c r="X71">
        <v>0</v>
      </c>
      <c r="Y71">
        <v>0</v>
      </c>
      <c r="Z71">
        <v>0</v>
      </c>
      <c r="AA71">
        <v>0</v>
      </c>
      <c r="AB71">
        <v>0</v>
      </c>
      <c r="AC71">
        <v>920</v>
      </c>
      <c r="AD71" s="5">
        <v>45932</v>
      </c>
      <c r="AE71" t="s">
        <v>69</v>
      </c>
      <c r="AF71">
        <v>7291251949</v>
      </c>
      <c r="AG71" t="s">
        <v>586</v>
      </c>
      <c r="AI71" t="s">
        <v>283</v>
      </c>
      <c r="AJ71">
        <v>8944098</v>
      </c>
      <c r="AM71" t="s">
        <v>872</v>
      </c>
      <c r="AN71">
        <v>7222923239</v>
      </c>
      <c r="AO71" t="s">
        <v>870</v>
      </c>
      <c r="AP71">
        <v>7206688819</v>
      </c>
      <c r="AQ71" t="s">
        <v>871</v>
      </c>
      <c r="AR71">
        <v>7297807111</v>
      </c>
      <c r="AY71">
        <v>1708.73</v>
      </c>
      <c r="AZ71">
        <v>14.395000000000001</v>
      </c>
      <c r="BA71">
        <v>1</v>
      </c>
      <c r="BB71" t="s">
        <v>1044</v>
      </c>
      <c r="BC71" t="s">
        <v>2937</v>
      </c>
      <c r="BD71" t="s">
        <v>587</v>
      </c>
      <c r="BE71" t="s">
        <v>74</v>
      </c>
      <c r="BF71" t="s">
        <v>415</v>
      </c>
      <c r="BH71" t="s">
        <v>2715</v>
      </c>
      <c r="BK71">
        <v>0</v>
      </c>
      <c r="BL71">
        <v>0</v>
      </c>
      <c r="BM71" t="s">
        <v>2847</v>
      </c>
    </row>
    <row r="72" spans="1:65" x14ac:dyDescent="0.3">
      <c r="A72">
        <v>1343</v>
      </c>
      <c r="B72" t="s">
        <v>61</v>
      </c>
      <c r="C72" t="s">
        <v>194</v>
      </c>
      <c r="D72">
        <v>42</v>
      </c>
      <c r="E72" t="s">
        <v>589</v>
      </c>
      <c r="F72">
        <v>39</v>
      </c>
      <c r="G72" t="s">
        <v>2763</v>
      </c>
      <c r="H72">
        <v>1343</v>
      </c>
      <c r="I72">
        <v>1</v>
      </c>
      <c r="J72" t="s">
        <v>672</v>
      </c>
      <c r="K72" s="5">
        <v>45804</v>
      </c>
      <c r="L72" s="5">
        <v>46169</v>
      </c>
      <c r="M72">
        <v>20000</v>
      </c>
      <c r="N72">
        <v>21068.16</v>
      </c>
      <c r="O72">
        <v>0</v>
      </c>
      <c r="P72">
        <v>12</v>
      </c>
      <c r="Q72" t="s">
        <v>68</v>
      </c>
      <c r="R72">
        <v>3347.38</v>
      </c>
      <c r="S72">
        <v>696</v>
      </c>
      <c r="T72">
        <v>0</v>
      </c>
      <c r="U72">
        <v>0</v>
      </c>
      <c r="V72">
        <v>0</v>
      </c>
      <c r="W72">
        <v>14045.44</v>
      </c>
      <c r="X72">
        <v>0</v>
      </c>
      <c r="Y72">
        <v>0</v>
      </c>
      <c r="Z72">
        <v>0</v>
      </c>
      <c r="AA72">
        <v>0</v>
      </c>
      <c r="AB72">
        <v>0</v>
      </c>
      <c r="AC72">
        <v>3348</v>
      </c>
      <c r="AD72" s="5">
        <v>45926</v>
      </c>
      <c r="AE72" t="s">
        <v>69</v>
      </c>
      <c r="AF72">
        <v>7295179841</v>
      </c>
      <c r="AG72" t="s">
        <v>673</v>
      </c>
      <c r="AI72" t="s">
        <v>674</v>
      </c>
      <c r="AJ72">
        <v>4111027</v>
      </c>
      <c r="AM72" t="s">
        <v>875</v>
      </c>
      <c r="AN72">
        <v>7225957128</v>
      </c>
      <c r="AO72" t="s">
        <v>873</v>
      </c>
      <c r="AP72">
        <v>7227964327</v>
      </c>
      <c r="AQ72" t="s">
        <v>874</v>
      </c>
      <c r="AR72">
        <v>7225593677</v>
      </c>
      <c r="AY72">
        <v>26312.600000000002</v>
      </c>
      <c r="AZ72">
        <v>2.4700000000000002</v>
      </c>
      <c r="BA72">
        <v>1</v>
      </c>
      <c r="BB72" t="s">
        <v>1044</v>
      </c>
      <c r="BC72" t="s">
        <v>2974</v>
      </c>
      <c r="BD72" t="s">
        <v>675</v>
      </c>
      <c r="BE72" t="s">
        <v>74</v>
      </c>
      <c r="BF72" t="s">
        <v>503</v>
      </c>
      <c r="BH72" t="s">
        <v>2715</v>
      </c>
      <c r="BK72">
        <v>0</v>
      </c>
      <c r="BL72">
        <v>0</v>
      </c>
      <c r="BM72" t="s">
        <v>2847</v>
      </c>
    </row>
    <row r="73" spans="1:65" x14ac:dyDescent="0.3">
      <c r="A73">
        <v>1741</v>
      </c>
      <c r="B73" t="s">
        <v>61</v>
      </c>
      <c r="C73" t="s">
        <v>194</v>
      </c>
      <c r="D73">
        <v>41</v>
      </c>
      <c r="E73" t="s">
        <v>595</v>
      </c>
      <c r="F73">
        <v>39</v>
      </c>
      <c r="G73" t="s">
        <v>2763</v>
      </c>
      <c r="H73">
        <v>1741</v>
      </c>
      <c r="I73">
        <v>1</v>
      </c>
      <c r="J73" t="s">
        <v>2634</v>
      </c>
      <c r="K73" s="5">
        <v>45876</v>
      </c>
      <c r="L73" s="5">
        <v>46241</v>
      </c>
      <c r="M73">
        <v>10000</v>
      </c>
      <c r="N73">
        <v>10534.08</v>
      </c>
      <c r="O73">
        <v>0</v>
      </c>
      <c r="P73">
        <v>12</v>
      </c>
      <c r="Q73" t="s">
        <v>68</v>
      </c>
      <c r="R73">
        <v>1702.69</v>
      </c>
      <c r="S73">
        <v>696</v>
      </c>
      <c r="T73">
        <v>0</v>
      </c>
      <c r="U73">
        <v>0</v>
      </c>
      <c r="V73">
        <v>0</v>
      </c>
      <c r="W73">
        <v>8778.4</v>
      </c>
      <c r="X73">
        <v>0</v>
      </c>
      <c r="Y73">
        <v>0</v>
      </c>
      <c r="Z73">
        <v>0</v>
      </c>
      <c r="AA73">
        <v>0</v>
      </c>
      <c r="AB73">
        <v>0</v>
      </c>
      <c r="AC73">
        <v>1703</v>
      </c>
      <c r="AD73" s="5">
        <v>45937</v>
      </c>
      <c r="AE73" t="s">
        <v>69</v>
      </c>
      <c r="AF73">
        <v>7295713281</v>
      </c>
      <c r="AG73" t="s">
        <v>2636</v>
      </c>
      <c r="AI73" t="s">
        <v>644</v>
      </c>
      <c r="AJ73">
        <v>6212013</v>
      </c>
      <c r="AK73" t="s">
        <v>2637</v>
      </c>
      <c r="AM73" t="s">
        <v>2638</v>
      </c>
      <c r="AN73">
        <v>7226140293</v>
      </c>
      <c r="AO73" t="s">
        <v>2640</v>
      </c>
      <c r="AP73">
        <v>7228957579</v>
      </c>
      <c r="AQ73" t="s">
        <v>2642</v>
      </c>
      <c r="AR73">
        <v>7293067888</v>
      </c>
      <c r="AY73">
        <v>16446.3</v>
      </c>
      <c r="AZ73">
        <v>0.62</v>
      </c>
      <c r="BA73">
        <v>1</v>
      </c>
      <c r="BB73" t="s">
        <v>1044</v>
      </c>
      <c r="BC73" t="s">
        <v>3001</v>
      </c>
      <c r="BD73" t="s">
        <v>2644</v>
      </c>
      <c r="BE73" t="s">
        <v>74</v>
      </c>
      <c r="BF73" t="s">
        <v>194</v>
      </c>
      <c r="BG73" t="s">
        <v>2645</v>
      </c>
      <c r="BH73" t="s">
        <v>2715</v>
      </c>
      <c r="BK73">
        <v>0</v>
      </c>
      <c r="BL73">
        <v>0</v>
      </c>
      <c r="BM73" t="s">
        <v>2847</v>
      </c>
    </row>
    <row r="74" spans="1:65" x14ac:dyDescent="0.3">
      <c r="A74">
        <v>2226</v>
      </c>
      <c r="B74" t="s">
        <v>61</v>
      </c>
      <c r="C74" t="s">
        <v>194</v>
      </c>
      <c r="D74">
        <v>57</v>
      </c>
      <c r="E74" t="s">
        <v>2883</v>
      </c>
      <c r="F74">
        <v>39</v>
      </c>
      <c r="G74" t="s">
        <v>2763</v>
      </c>
      <c r="H74">
        <v>2226</v>
      </c>
      <c r="I74">
        <v>1</v>
      </c>
      <c r="J74" t="s">
        <v>2818</v>
      </c>
      <c r="K74" s="5">
        <v>45904</v>
      </c>
      <c r="L74" s="5">
        <v>46085</v>
      </c>
      <c r="M74">
        <v>5000</v>
      </c>
      <c r="N74">
        <v>5267.04</v>
      </c>
      <c r="O74">
        <v>0</v>
      </c>
      <c r="P74">
        <v>6</v>
      </c>
      <c r="Q74" t="s">
        <v>68</v>
      </c>
      <c r="R74">
        <v>1316.1100000000001</v>
      </c>
      <c r="S74">
        <v>348</v>
      </c>
      <c r="T74">
        <v>0</v>
      </c>
      <c r="U74">
        <v>0</v>
      </c>
      <c r="V74">
        <v>0</v>
      </c>
      <c r="W74">
        <v>4389.2</v>
      </c>
      <c r="X74">
        <v>4.435733333333E-3</v>
      </c>
      <c r="Y74">
        <v>0</v>
      </c>
      <c r="Z74">
        <v>0</v>
      </c>
      <c r="AA74">
        <v>0</v>
      </c>
      <c r="AB74">
        <v>0</v>
      </c>
      <c r="AC74">
        <v>1316.1100000000001</v>
      </c>
      <c r="AD74" s="5">
        <v>45933</v>
      </c>
      <c r="AE74" t="s">
        <v>69</v>
      </c>
      <c r="AF74">
        <v>7298055134</v>
      </c>
      <c r="AG74" t="s">
        <v>2820</v>
      </c>
      <c r="AI74" t="s">
        <v>89</v>
      </c>
      <c r="AJ74">
        <v>6211023</v>
      </c>
      <c r="AM74" t="s">
        <v>2821</v>
      </c>
      <c r="AN74">
        <v>7225575293</v>
      </c>
      <c r="AO74" t="s">
        <v>2823</v>
      </c>
      <c r="AP74">
        <v>7225036476</v>
      </c>
      <c r="AQ74" t="s">
        <v>2825</v>
      </c>
      <c r="AR74">
        <v>7228603189</v>
      </c>
      <c r="AY74">
        <v>6290.58</v>
      </c>
      <c r="AZ74">
        <v>0</v>
      </c>
      <c r="BA74">
        <v>1</v>
      </c>
      <c r="BB74" t="s">
        <v>1044</v>
      </c>
      <c r="BC74" t="s">
        <v>2997</v>
      </c>
      <c r="BD74" t="s">
        <v>503</v>
      </c>
      <c r="BE74" t="s">
        <v>74</v>
      </c>
      <c r="BF74" t="s">
        <v>503</v>
      </c>
      <c r="BG74" t="s">
        <v>2826</v>
      </c>
      <c r="BH74" t="s">
        <v>2715</v>
      </c>
      <c r="BK74">
        <v>0</v>
      </c>
      <c r="BL74">
        <v>0</v>
      </c>
      <c r="BM74" t="s">
        <v>2847</v>
      </c>
    </row>
    <row r="75" spans="1:65" x14ac:dyDescent="0.3">
      <c r="A75">
        <v>1402</v>
      </c>
      <c r="B75" t="s">
        <v>61</v>
      </c>
      <c r="C75" t="s">
        <v>194</v>
      </c>
      <c r="D75">
        <v>42</v>
      </c>
      <c r="E75" t="s">
        <v>589</v>
      </c>
      <c r="F75">
        <v>39</v>
      </c>
      <c r="G75" t="s">
        <v>2763</v>
      </c>
      <c r="H75">
        <v>1402</v>
      </c>
      <c r="I75">
        <v>1</v>
      </c>
      <c r="J75" t="s">
        <v>1157</v>
      </c>
      <c r="K75" s="5">
        <v>45821</v>
      </c>
      <c r="L75" s="5">
        <v>45989</v>
      </c>
      <c r="M75">
        <v>5000</v>
      </c>
      <c r="N75">
        <v>5267.04</v>
      </c>
      <c r="O75">
        <v>0</v>
      </c>
      <c r="P75">
        <v>12</v>
      </c>
      <c r="Q75" t="s">
        <v>496</v>
      </c>
      <c r="R75">
        <v>673.4</v>
      </c>
      <c r="S75">
        <v>696</v>
      </c>
      <c r="T75">
        <v>580</v>
      </c>
      <c r="U75">
        <v>8</v>
      </c>
      <c r="V75">
        <v>0</v>
      </c>
      <c r="W75">
        <v>1757.0900000000001</v>
      </c>
      <c r="X75">
        <v>581.41</v>
      </c>
      <c r="Y75">
        <v>1.41</v>
      </c>
      <c r="Z75">
        <v>0</v>
      </c>
      <c r="AA75">
        <v>0</v>
      </c>
      <c r="AB75">
        <v>580</v>
      </c>
      <c r="AC75">
        <v>673</v>
      </c>
      <c r="AD75" s="5">
        <v>45934</v>
      </c>
      <c r="AE75" t="s">
        <v>69</v>
      </c>
      <c r="AF75">
        <v>7222456355</v>
      </c>
      <c r="AG75" t="s">
        <v>1158</v>
      </c>
      <c r="AI75" t="s">
        <v>1159</v>
      </c>
      <c r="AJ75">
        <v>2639039</v>
      </c>
      <c r="AK75" t="s">
        <v>1160</v>
      </c>
      <c r="AM75" t="s">
        <v>1161</v>
      </c>
      <c r="AN75">
        <v>7294931747</v>
      </c>
      <c r="AO75" t="s">
        <v>1162</v>
      </c>
      <c r="AP75">
        <v>7224959062</v>
      </c>
      <c r="AQ75" t="s">
        <v>1163</v>
      </c>
      <c r="AR75">
        <v>3223505010</v>
      </c>
      <c r="AY75">
        <v>3043.01</v>
      </c>
      <c r="AZ75">
        <v>0</v>
      </c>
      <c r="BA75">
        <v>1</v>
      </c>
      <c r="BB75" t="s">
        <v>1044</v>
      </c>
      <c r="BC75" t="s">
        <v>2967</v>
      </c>
      <c r="BD75" t="s">
        <v>415</v>
      </c>
      <c r="BE75" t="s">
        <v>74</v>
      </c>
      <c r="BF75" t="s">
        <v>415</v>
      </c>
      <c r="BG75" t="s">
        <v>1165</v>
      </c>
      <c r="BH75" t="s">
        <v>2715</v>
      </c>
      <c r="BK75">
        <v>3</v>
      </c>
      <c r="BL75">
        <v>2</v>
      </c>
      <c r="BM75" t="s">
        <v>2847</v>
      </c>
    </row>
    <row r="76" spans="1:65" x14ac:dyDescent="0.3">
      <c r="A76">
        <v>1307</v>
      </c>
      <c r="B76" t="s">
        <v>61</v>
      </c>
      <c r="C76" t="s">
        <v>194</v>
      </c>
      <c r="D76">
        <v>37</v>
      </c>
      <c r="E76" t="s">
        <v>409</v>
      </c>
      <c r="F76">
        <v>39</v>
      </c>
      <c r="G76" t="s">
        <v>2763</v>
      </c>
      <c r="H76">
        <v>1307</v>
      </c>
      <c r="I76">
        <v>2</v>
      </c>
      <c r="J76" t="s">
        <v>549</v>
      </c>
      <c r="K76" s="5">
        <v>45933</v>
      </c>
      <c r="L76" s="5">
        <v>46101</v>
      </c>
      <c r="M76">
        <v>12000</v>
      </c>
      <c r="N76">
        <v>12640.89</v>
      </c>
      <c r="O76">
        <v>0</v>
      </c>
      <c r="P76">
        <v>12</v>
      </c>
      <c r="Q76" t="s">
        <v>496</v>
      </c>
      <c r="R76">
        <v>1534.96</v>
      </c>
      <c r="S76">
        <v>696</v>
      </c>
      <c r="T76">
        <v>0</v>
      </c>
      <c r="U76">
        <v>0</v>
      </c>
      <c r="V76">
        <v>0</v>
      </c>
      <c r="W76">
        <v>12640.89</v>
      </c>
      <c r="X76">
        <v>0</v>
      </c>
      <c r="Y76">
        <v>0</v>
      </c>
      <c r="Z76">
        <v>0</v>
      </c>
      <c r="AA76">
        <v>0</v>
      </c>
      <c r="AB76">
        <v>0</v>
      </c>
      <c r="AE76" t="s">
        <v>69</v>
      </c>
      <c r="AF76">
        <v>7227913375</v>
      </c>
      <c r="AG76" t="s">
        <v>2850</v>
      </c>
      <c r="AI76" t="s">
        <v>393</v>
      </c>
      <c r="AJ76">
        <v>131011</v>
      </c>
      <c r="AK76" t="s">
        <v>2851</v>
      </c>
      <c r="AM76" t="s">
        <v>797</v>
      </c>
      <c r="AN76">
        <v>7223555681</v>
      </c>
      <c r="AO76" t="s">
        <v>795</v>
      </c>
      <c r="AP76">
        <v>7226110715</v>
      </c>
      <c r="AQ76" t="s">
        <v>796</v>
      </c>
      <c r="AR76">
        <v>7224054288</v>
      </c>
      <c r="AY76">
        <v>17723.54</v>
      </c>
      <c r="AZ76">
        <v>0</v>
      </c>
      <c r="BA76">
        <v>1</v>
      </c>
      <c r="BB76" t="s">
        <v>1044</v>
      </c>
      <c r="BC76" t="s">
        <v>2871</v>
      </c>
      <c r="BD76" t="s">
        <v>550</v>
      </c>
      <c r="BE76" t="s">
        <v>74</v>
      </c>
      <c r="BF76" t="s">
        <v>503</v>
      </c>
      <c r="BH76" t="s">
        <v>2715</v>
      </c>
      <c r="BK76">
        <v>0</v>
      </c>
      <c r="BL76">
        <v>0</v>
      </c>
      <c r="BM76" t="s">
        <v>2847</v>
      </c>
    </row>
  </sheetData>
  <autoFilter ref="B6:BV6" xr:uid="{C6671F2A-1FFB-4A41-BA88-0F4B13B26D4D}"/>
  <mergeCells count="2">
    <mergeCell ref="BM5:BP5"/>
    <mergeCell ref="BR5:BV5"/>
  </mergeCells>
  <conditionalFormatting sqref="O6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00602-1889-4343-9734-9AB3A266C3EE}">
  <sheetPr codeName="Hoja3"/>
  <dimension ref="A5:BV57"/>
  <sheetViews>
    <sheetView topLeftCell="I1" workbookViewId="0">
      <selection activeCell="A4" sqref="A4"/>
    </sheetView>
  </sheetViews>
  <sheetFormatPr baseColWidth="10" defaultRowHeight="14.4" x14ac:dyDescent="0.3"/>
  <cols>
    <col min="1" max="1" width="0" hidden="1" customWidth="1"/>
    <col min="2" max="2" width="39" bestFit="1" customWidth="1"/>
    <col min="3" max="3" width="18.33203125" bestFit="1" customWidth="1"/>
    <col min="5" max="5" width="30.21875" bestFit="1" customWidth="1"/>
    <col min="7" max="7" width="25.44140625" bestFit="1" customWidth="1"/>
    <col min="10" max="10" width="34.5546875" bestFit="1" customWidth="1"/>
    <col min="15" max="15" width="13.77734375" bestFit="1" customWidth="1"/>
    <col min="24" max="53" width="11.5546875" customWidth="1"/>
    <col min="54" max="54" width="38" bestFit="1" customWidth="1"/>
    <col min="58" max="58" width="17" bestFit="1" customWidth="1"/>
    <col min="59" max="59" width="30.44140625" bestFit="1" customWidth="1"/>
    <col min="60" max="60" width="30.44140625" customWidth="1"/>
  </cols>
  <sheetData>
    <row r="5" spans="1:74" x14ac:dyDescent="0.3">
      <c r="B5" s="6" t="s">
        <v>3061</v>
      </c>
      <c r="X5" s="57"/>
      <c r="BM5" s="62" t="s">
        <v>344</v>
      </c>
      <c r="BN5" s="62"/>
      <c r="BO5" s="62"/>
      <c r="BP5" s="62"/>
      <c r="BQ5" s="10"/>
      <c r="BR5" s="63" t="s">
        <v>345</v>
      </c>
      <c r="BS5" s="63"/>
      <c r="BT5" s="63"/>
      <c r="BU5" s="63"/>
      <c r="BV5" s="63"/>
    </row>
    <row r="6" spans="1:74" s="43" customFormat="1" ht="69" x14ac:dyDescent="0.25">
      <c r="A6" s="56" t="s">
        <v>6</v>
      </c>
      <c r="B6" s="36" t="s">
        <v>1088</v>
      </c>
      <c r="C6" s="36" t="s">
        <v>1</v>
      </c>
      <c r="D6" s="37" t="s">
        <v>2</v>
      </c>
      <c r="E6" s="37" t="s">
        <v>3</v>
      </c>
      <c r="F6" s="37" t="s">
        <v>4</v>
      </c>
      <c r="G6" s="37" t="s">
        <v>5</v>
      </c>
      <c r="H6" s="37" t="s">
        <v>6</v>
      </c>
      <c r="I6" s="36" t="s">
        <v>7</v>
      </c>
      <c r="J6" s="36" t="s">
        <v>8</v>
      </c>
      <c r="K6" s="38" t="s">
        <v>9</v>
      </c>
      <c r="L6" s="38" t="s">
        <v>10</v>
      </c>
      <c r="M6" s="39" t="s">
        <v>11</v>
      </c>
      <c r="N6" s="39" t="s">
        <v>12</v>
      </c>
      <c r="O6" s="44" t="s">
        <v>13</v>
      </c>
      <c r="P6" s="40" t="s">
        <v>14</v>
      </c>
      <c r="Q6" s="36" t="s">
        <v>15</v>
      </c>
      <c r="R6" s="39" t="s">
        <v>16</v>
      </c>
      <c r="S6" s="39" t="s">
        <v>17</v>
      </c>
      <c r="T6" s="39" t="s">
        <v>18</v>
      </c>
      <c r="U6" s="41" t="s">
        <v>19</v>
      </c>
      <c r="V6" s="39" t="s">
        <v>20</v>
      </c>
      <c r="W6" s="39" t="s">
        <v>21</v>
      </c>
      <c r="X6" s="58" t="s">
        <v>22</v>
      </c>
      <c r="Y6" s="41" t="s">
        <v>23</v>
      </c>
      <c r="Z6" s="41" t="s">
        <v>24</v>
      </c>
      <c r="AA6" s="41" t="s">
        <v>25</v>
      </c>
      <c r="AB6" s="41" t="s">
        <v>26</v>
      </c>
      <c r="AC6" s="39" t="s">
        <v>27</v>
      </c>
      <c r="AD6" s="38" t="s">
        <v>28</v>
      </c>
      <c r="AE6" s="37" t="s">
        <v>29</v>
      </c>
      <c r="AF6" s="37" t="s">
        <v>30</v>
      </c>
      <c r="AG6" s="37" t="s">
        <v>31</v>
      </c>
      <c r="AH6" s="37" t="s">
        <v>32</v>
      </c>
      <c r="AI6" s="37" t="s">
        <v>33</v>
      </c>
      <c r="AJ6" s="37" t="s">
        <v>34</v>
      </c>
      <c r="AK6" s="37" t="s">
        <v>35</v>
      </c>
      <c r="AL6" s="37" t="s">
        <v>36</v>
      </c>
      <c r="AM6" s="36" t="s">
        <v>1005</v>
      </c>
      <c r="AN6" s="36" t="s">
        <v>1006</v>
      </c>
      <c r="AO6" s="36" t="s">
        <v>1007</v>
      </c>
      <c r="AP6" s="36" t="s">
        <v>1008</v>
      </c>
      <c r="AQ6" s="36" t="s">
        <v>1009</v>
      </c>
      <c r="AR6" s="36" t="s">
        <v>1010</v>
      </c>
      <c r="AS6" s="36" t="s">
        <v>43</v>
      </c>
      <c r="AT6" s="42" t="s">
        <v>44</v>
      </c>
      <c r="AU6" s="36" t="s">
        <v>45</v>
      </c>
      <c r="AV6" s="36" t="s">
        <v>46</v>
      </c>
      <c r="AW6" s="42" t="s">
        <v>47</v>
      </c>
      <c r="AX6" s="36" t="s">
        <v>48</v>
      </c>
      <c r="AY6" s="39" t="s">
        <v>49</v>
      </c>
      <c r="AZ6" s="39" t="s">
        <v>50</v>
      </c>
      <c r="BA6" s="37" t="s">
        <v>51</v>
      </c>
      <c r="BB6" s="37" t="s">
        <v>52</v>
      </c>
      <c r="BC6" s="36" t="s">
        <v>53</v>
      </c>
      <c r="BD6" s="36" t="s">
        <v>54</v>
      </c>
      <c r="BE6" s="37" t="s">
        <v>55</v>
      </c>
      <c r="BF6" s="36" t="s">
        <v>56</v>
      </c>
      <c r="BG6" s="36" t="s">
        <v>1011</v>
      </c>
      <c r="BH6" s="36" t="s">
        <v>1085</v>
      </c>
      <c r="BI6" s="38" t="s">
        <v>57</v>
      </c>
      <c r="BJ6" s="37" t="s">
        <v>58</v>
      </c>
      <c r="BK6" s="36" t="s">
        <v>59</v>
      </c>
      <c r="BL6" s="36" t="s">
        <v>60</v>
      </c>
    </row>
    <row r="7" spans="1:74" x14ac:dyDescent="0.3">
      <c r="A7">
        <v>1016</v>
      </c>
      <c r="B7" t="s">
        <v>61</v>
      </c>
      <c r="C7" t="s">
        <v>273</v>
      </c>
      <c r="D7">
        <v>24</v>
      </c>
      <c r="E7" t="s">
        <v>287</v>
      </c>
      <c r="F7">
        <v>20</v>
      </c>
      <c r="G7" t="s">
        <v>2784</v>
      </c>
      <c r="H7">
        <v>1016</v>
      </c>
      <c r="I7">
        <v>1</v>
      </c>
      <c r="J7" t="s">
        <v>289</v>
      </c>
      <c r="K7" s="5">
        <v>45194</v>
      </c>
      <c r="L7" s="5">
        <v>45560</v>
      </c>
      <c r="M7">
        <v>130000</v>
      </c>
      <c r="N7">
        <v>136943.01</v>
      </c>
      <c r="O7">
        <v>446</v>
      </c>
      <c r="P7">
        <v>12</v>
      </c>
      <c r="Q7" t="s">
        <v>68</v>
      </c>
      <c r="R7">
        <v>20230.48</v>
      </c>
      <c r="S7">
        <v>696</v>
      </c>
      <c r="T7">
        <v>580</v>
      </c>
      <c r="U7">
        <v>0</v>
      </c>
      <c r="V7">
        <v>2.1</v>
      </c>
      <c r="W7">
        <v>39682.01</v>
      </c>
      <c r="X7">
        <v>44446.42</v>
      </c>
      <c r="Y7">
        <v>39682</v>
      </c>
      <c r="Z7">
        <v>3488.42</v>
      </c>
      <c r="AA7">
        <v>696</v>
      </c>
      <c r="AB7">
        <v>580</v>
      </c>
      <c r="AC7">
        <v>5050</v>
      </c>
      <c r="AD7" s="5">
        <v>45555</v>
      </c>
      <c r="AE7" t="s">
        <v>69</v>
      </c>
      <c r="AF7">
        <v>7226478184</v>
      </c>
      <c r="AI7" t="s">
        <v>291</v>
      </c>
      <c r="AJ7">
        <v>6629010</v>
      </c>
      <c r="AY7">
        <v>42768.090000000004</v>
      </c>
      <c r="AZ7">
        <v>0</v>
      </c>
      <c r="BA7">
        <v>3</v>
      </c>
      <c r="BB7" t="s">
        <v>124</v>
      </c>
      <c r="BC7" t="s">
        <v>293</v>
      </c>
      <c r="BD7" t="s">
        <v>294</v>
      </c>
      <c r="BE7" t="s">
        <v>74</v>
      </c>
      <c r="BF7" t="s">
        <v>204</v>
      </c>
      <c r="BH7" t="s">
        <v>2715</v>
      </c>
      <c r="BK7">
        <v>24</v>
      </c>
      <c r="BL7">
        <v>24</v>
      </c>
      <c r="BM7" t="s">
        <v>2847</v>
      </c>
    </row>
    <row r="8" spans="1:74" x14ac:dyDescent="0.3">
      <c r="A8">
        <v>1069</v>
      </c>
      <c r="B8" t="s">
        <v>61</v>
      </c>
      <c r="C8" t="s">
        <v>273</v>
      </c>
      <c r="D8">
        <v>2</v>
      </c>
      <c r="E8" t="s">
        <v>275</v>
      </c>
      <c r="F8">
        <v>20</v>
      </c>
      <c r="G8" t="s">
        <v>2784</v>
      </c>
      <c r="H8">
        <v>1069</v>
      </c>
      <c r="I8">
        <v>1</v>
      </c>
      <c r="J8" t="s">
        <v>277</v>
      </c>
      <c r="K8" s="5">
        <v>45492</v>
      </c>
      <c r="L8" s="5">
        <v>45676</v>
      </c>
      <c r="M8">
        <v>15000</v>
      </c>
      <c r="N8">
        <v>15000</v>
      </c>
      <c r="O8">
        <v>421</v>
      </c>
      <c r="P8">
        <v>6</v>
      </c>
      <c r="Q8" t="s">
        <v>68</v>
      </c>
      <c r="R8">
        <v>2876.9700000000003</v>
      </c>
      <c r="S8">
        <v>0</v>
      </c>
      <c r="T8">
        <v>0</v>
      </c>
      <c r="U8">
        <v>0</v>
      </c>
      <c r="V8">
        <v>6</v>
      </c>
      <c r="W8">
        <v>15000</v>
      </c>
      <c r="X8">
        <v>17261.82</v>
      </c>
      <c r="Y8">
        <v>14999.99</v>
      </c>
      <c r="Z8">
        <v>2261.83</v>
      </c>
      <c r="AA8">
        <v>0</v>
      </c>
      <c r="AB8">
        <v>0</v>
      </c>
      <c r="AE8" t="s">
        <v>69</v>
      </c>
      <c r="AF8">
        <v>7226072677</v>
      </c>
      <c r="AG8" t="s">
        <v>279</v>
      </c>
      <c r="AI8" t="s">
        <v>192</v>
      </c>
      <c r="AJ8">
        <v>9501009</v>
      </c>
      <c r="AY8">
        <v>17261.830000000002</v>
      </c>
      <c r="AZ8">
        <v>0</v>
      </c>
      <c r="BA8">
        <v>1</v>
      </c>
      <c r="BB8" t="s">
        <v>281</v>
      </c>
      <c r="BC8" t="s">
        <v>2950</v>
      </c>
      <c r="BD8" t="s">
        <v>282</v>
      </c>
      <c r="BE8" t="s">
        <v>74</v>
      </c>
      <c r="BF8" t="s">
        <v>204</v>
      </c>
      <c r="BH8" t="s">
        <v>2715</v>
      </c>
      <c r="BK8">
        <v>14</v>
      </c>
      <c r="BL8">
        <v>14</v>
      </c>
      <c r="BM8" t="s">
        <v>2846</v>
      </c>
    </row>
    <row r="9" spans="1:74" x14ac:dyDescent="0.3">
      <c r="A9">
        <v>1060</v>
      </c>
      <c r="B9" t="s">
        <v>61</v>
      </c>
      <c r="C9" t="s">
        <v>273</v>
      </c>
      <c r="D9">
        <v>24</v>
      </c>
      <c r="E9" t="s">
        <v>287</v>
      </c>
      <c r="F9">
        <v>79</v>
      </c>
      <c r="G9" t="s">
        <v>2786</v>
      </c>
      <c r="H9">
        <v>1060</v>
      </c>
      <c r="I9">
        <v>1</v>
      </c>
      <c r="J9" t="s">
        <v>314</v>
      </c>
      <c r="K9" s="5">
        <v>45443</v>
      </c>
      <c r="L9" s="5">
        <v>45992</v>
      </c>
      <c r="M9">
        <v>130000</v>
      </c>
      <c r="N9">
        <v>136943.01</v>
      </c>
      <c r="O9">
        <v>105</v>
      </c>
      <c r="P9">
        <v>18</v>
      </c>
      <c r="Q9" t="s">
        <v>68</v>
      </c>
      <c r="R9">
        <v>18565.189999999999</v>
      </c>
      <c r="S9">
        <v>1044</v>
      </c>
      <c r="T9">
        <v>2320</v>
      </c>
      <c r="U9">
        <v>0</v>
      </c>
      <c r="V9">
        <v>3.1</v>
      </c>
      <c r="W9">
        <v>68661.03</v>
      </c>
      <c r="X9">
        <v>59296.05</v>
      </c>
      <c r="Y9">
        <v>37217.96</v>
      </c>
      <c r="Z9">
        <v>19584.09</v>
      </c>
      <c r="AA9">
        <v>174</v>
      </c>
      <c r="AB9">
        <v>2320</v>
      </c>
      <c r="AC9">
        <v>6000</v>
      </c>
      <c r="AD9" s="5">
        <v>45941</v>
      </c>
      <c r="AE9" t="s">
        <v>69</v>
      </c>
      <c r="AF9">
        <v>7225133761</v>
      </c>
      <c r="AG9" t="s">
        <v>316</v>
      </c>
      <c r="AI9" t="s">
        <v>98</v>
      </c>
      <c r="AJ9">
        <v>222018</v>
      </c>
      <c r="AM9" t="s">
        <v>942</v>
      </c>
      <c r="AN9">
        <v>7221605882</v>
      </c>
      <c r="AO9" t="s">
        <v>1253</v>
      </c>
      <c r="AP9">
        <v>7224167383</v>
      </c>
      <c r="AQ9" t="s">
        <v>1255</v>
      </c>
      <c r="AR9">
        <v>7223956311</v>
      </c>
      <c r="AS9" t="s">
        <v>122</v>
      </c>
      <c r="AT9" t="s">
        <v>317</v>
      </c>
      <c r="AU9" t="s">
        <v>318</v>
      </c>
      <c r="AV9" t="s">
        <v>122</v>
      </c>
      <c r="AW9" t="s">
        <v>319</v>
      </c>
      <c r="AX9" t="s">
        <v>320</v>
      </c>
      <c r="AY9">
        <v>90739.12</v>
      </c>
      <c r="AZ9">
        <v>0</v>
      </c>
      <c r="BA9">
        <v>1</v>
      </c>
      <c r="BB9" t="s">
        <v>77</v>
      </c>
      <c r="BC9" t="s">
        <v>2874</v>
      </c>
      <c r="BD9" t="s">
        <v>322</v>
      </c>
      <c r="BE9" t="s">
        <v>74</v>
      </c>
      <c r="BF9" t="s">
        <v>323</v>
      </c>
      <c r="BH9" t="s">
        <v>2715</v>
      </c>
      <c r="BK9">
        <v>11</v>
      </c>
      <c r="BL9">
        <v>7</v>
      </c>
      <c r="BM9" t="s">
        <v>2846</v>
      </c>
    </row>
    <row r="10" spans="1:74" x14ac:dyDescent="0.3">
      <c r="A10">
        <v>1299</v>
      </c>
      <c r="B10" t="s">
        <v>61</v>
      </c>
      <c r="C10" t="s">
        <v>273</v>
      </c>
      <c r="D10">
        <v>37</v>
      </c>
      <c r="E10" t="s">
        <v>409</v>
      </c>
      <c r="F10">
        <v>79</v>
      </c>
      <c r="G10" t="s">
        <v>2786</v>
      </c>
      <c r="H10">
        <v>1299</v>
      </c>
      <c r="I10">
        <v>1</v>
      </c>
      <c r="J10" t="s">
        <v>538</v>
      </c>
      <c r="K10" s="5">
        <v>45783</v>
      </c>
      <c r="L10" s="5">
        <v>45967</v>
      </c>
      <c r="M10">
        <v>7000</v>
      </c>
      <c r="N10">
        <v>7373.85</v>
      </c>
      <c r="O10">
        <v>69</v>
      </c>
      <c r="P10">
        <v>6</v>
      </c>
      <c r="Q10" t="s">
        <v>68</v>
      </c>
      <c r="R10">
        <v>1828.18</v>
      </c>
      <c r="S10">
        <v>348</v>
      </c>
      <c r="T10">
        <v>1740</v>
      </c>
      <c r="U10">
        <v>0</v>
      </c>
      <c r="V10">
        <v>2.2000000000000002</v>
      </c>
      <c r="W10">
        <v>4014.29</v>
      </c>
      <c r="X10">
        <v>5723.7350000000006</v>
      </c>
      <c r="Y10">
        <v>2785.32</v>
      </c>
      <c r="Z10">
        <v>1082.42</v>
      </c>
      <c r="AA10">
        <v>116</v>
      </c>
      <c r="AB10">
        <v>1740</v>
      </c>
      <c r="AC10">
        <v>1500</v>
      </c>
      <c r="AD10" s="5">
        <v>45933</v>
      </c>
      <c r="AE10" t="s">
        <v>69</v>
      </c>
      <c r="AF10">
        <v>7296641340</v>
      </c>
      <c r="AG10" t="s">
        <v>539</v>
      </c>
      <c r="AI10" t="s">
        <v>187</v>
      </c>
      <c r="AJ10">
        <v>2411023</v>
      </c>
      <c r="AM10" t="s">
        <v>951</v>
      </c>
      <c r="AN10">
        <v>7228387018</v>
      </c>
      <c r="AO10" t="s">
        <v>949</v>
      </c>
      <c r="AP10">
        <v>7291109450</v>
      </c>
      <c r="AQ10" t="s">
        <v>950</v>
      </c>
      <c r="AR10">
        <v>7226908526</v>
      </c>
      <c r="AY10">
        <v>7493.92</v>
      </c>
      <c r="AZ10">
        <v>0</v>
      </c>
      <c r="BA10">
        <v>1</v>
      </c>
      <c r="BB10" t="s">
        <v>1044</v>
      </c>
      <c r="BC10" t="s">
        <v>540</v>
      </c>
      <c r="BD10" t="s">
        <v>541</v>
      </c>
      <c r="BE10" t="s">
        <v>74</v>
      </c>
      <c r="BF10" t="s">
        <v>296</v>
      </c>
      <c r="BH10" t="s">
        <v>2715</v>
      </c>
      <c r="BK10">
        <v>3</v>
      </c>
      <c r="BL10">
        <v>3</v>
      </c>
      <c r="BM10" t="s">
        <v>2847</v>
      </c>
    </row>
    <row r="11" spans="1:74" x14ac:dyDescent="0.3">
      <c r="A11">
        <v>1408</v>
      </c>
      <c r="B11" t="s">
        <v>61</v>
      </c>
      <c r="C11" t="s">
        <v>273</v>
      </c>
      <c r="D11">
        <v>44</v>
      </c>
      <c r="E11" t="s">
        <v>614</v>
      </c>
      <c r="F11">
        <v>79</v>
      </c>
      <c r="G11" t="s">
        <v>2786</v>
      </c>
      <c r="H11">
        <v>1408</v>
      </c>
      <c r="I11">
        <v>1</v>
      </c>
      <c r="J11" t="s">
        <v>1199</v>
      </c>
      <c r="K11" s="5">
        <v>45825</v>
      </c>
      <c r="L11" s="5">
        <v>46008</v>
      </c>
      <c r="M11">
        <v>10000</v>
      </c>
      <c r="N11">
        <v>10534.08</v>
      </c>
      <c r="O11">
        <v>57</v>
      </c>
      <c r="P11">
        <v>6</v>
      </c>
      <c r="Q11" t="s">
        <v>68</v>
      </c>
      <c r="R11">
        <v>2582.63</v>
      </c>
      <c r="S11">
        <v>348</v>
      </c>
      <c r="T11">
        <v>1160</v>
      </c>
      <c r="U11">
        <v>0</v>
      </c>
      <c r="V11">
        <v>2</v>
      </c>
      <c r="W11">
        <v>8778.4</v>
      </c>
      <c r="X11">
        <v>6324.27</v>
      </c>
      <c r="Y11">
        <v>3511.36</v>
      </c>
      <c r="Z11">
        <v>1537.91</v>
      </c>
      <c r="AA11">
        <v>115</v>
      </c>
      <c r="AB11">
        <v>1160</v>
      </c>
      <c r="AC11">
        <v>2583.63</v>
      </c>
      <c r="AD11" s="5">
        <v>45859</v>
      </c>
      <c r="AE11" t="s">
        <v>69</v>
      </c>
      <c r="AF11">
        <v>7201031689</v>
      </c>
      <c r="AG11" t="s">
        <v>1200</v>
      </c>
      <c r="AI11" t="s">
        <v>1201</v>
      </c>
      <c r="AJ11">
        <v>8933013</v>
      </c>
      <c r="AM11" t="s">
        <v>1202</v>
      </c>
      <c r="AN11">
        <v>7205964302</v>
      </c>
      <c r="AO11" t="s">
        <v>1203</v>
      </c>
      <c r="AP11">
        <v>7221416489</v>
      </c>
      <c r="AQ11" t="s">
        <v>1204</v>
      </c>
      <c r="AR11">
        <v>7205747763</v>
      </c>
      <c r="AY11">
        <v>13898.17</v>
      </c>
      <c r="AZ11">
        <v>0</v>
      </c>
      <c r="BA11">
        <v>1</v>
      </c>
      <c r="BB11" t="s">
        <v>1044</v>
      </c>
      <c r="BC11" t="s">
        <v>2903</v>
      </c>
      <c r="BD11" t="s">
        <v>1206</v>
      </c>
      <c r="BE11" t="s">
        <v>74</v>
      </c>
      <c r="BF11" t="s">
        <v>285</v>
      </c>
      <c r="BG11" t="s">
        <v>1207</v>
      </c>
      <c r="BH11" t="s">
        <v>2715</v>
      </c>
      <c r="BK11">
        <v>3</v>
      </c>
      <c r="BL11">
        <v>3</v>
      </c>
      <c r="BM11" t="s">
        <v>2847</v>
      </c>
    </row>
    <row r="12" spans="1:74" x14ac:dyDescent="0.3">
      <c r="A12">
        <v>1263</v>
      </c>
      <c r="B12" t="s">
        <v>61</v>
      </c>
      <c r="C12" t="s">
        <v>273</v>
      </c>
      <c r="D12">
        <v>37</v>
      </c>
      <c r="E12" t="s">
        <v>409</v>
      </c>
      <c r="F12">
        <v>79</v>
      </c>
      <c r="G12" t="s">
        <v>2786</v>
      </c>
      <c r="H12">
        <v>1263</v>
      </c>
      <c r="I12">
        <v>1</v>
      </c>
      <c r="J12" t="s">
        <v>440</v>
      </c>
      <c r="K12" s="5">
        <v>45770</v>
      </c>
      <c r="L12" s="5">
        <v>46135</v>
      </c>
      <c r="M12">
        <v>15000</v>
      </c>
      <c r="N12">
        <v>15801.12</v>
      </c>
      <c r="O12">
        <v>50</v>
      </c>
      <c r="P12">
        <v>12</v>
      </c>
      <c r="Q12" t="s">
        <v>68</v>
      </c>
      <c r="R12">
        <v>2525.04</v>
      </c>
      <c r="S12">
        <v>696</v>
      </c>
      <c r="T12">
        <v>1160</v>
      </c>
      <c r="U12">
        <v>0</v>
      </c>
      <c r="V12">
        <v>1.1000000000000001</v>
      </c>
      <c r="W12">
        <v>10759.23</v>
      </c>
      <c r="X12">
        <v>3910.19</v>
      </c>
      <c r="Y12">
        <v>1541.91</v>
      </c>
      <c r="Z12">
        <v>1150.28</v>
      </c>
      <c r="AA12">
        <v>58</v>
      </c>
      <c r="AB12">
        <v>1160</v>
      </c>
      <c r="AC12">
        <v>2000</v>
      </c>
      <c r="AD12" s="5">
        <v>45938</v>
      </c>
      <c r="AE12" t="s">
        <v>69</v>
      </c>
      <c r="AF12">
        <v>7224852577</v>
      </c>
      <c r="AG12" t="s">
        <v>442</v>
      </c>
      <c r="AI12" t="s">
        <v>86</v>
      </c>
      <c r="AJ12">
        <v>8711021</v>
      </c>
      <c r="AM12" t="s">
        <v>973</v>
      </c>
      <c r="AN12">
        <v>7224108994</v>
      </c>
      <c r="AO12" t="s">
        <v>970</v>
      </c>
      <c r="AP12">
        <v>7228267354</v>
      </c>
      <c r="AQ12" t="s">
        <v>972</v>
      </c>
      <c r="AR12">
        <v>5649151517</v>
      </c>
      <c r="AY12">
        <v>21179.45</v>
      </c>
      <c r="AZ12">
        <v>0</v>
      </c>
      <c r="BA12">
        <v>1</v>
      </c>
      <c r="BB12" t="s">
        <v>1044</v>
      </c>
      <c r="BC12" t="s">
        <v>2881</v>
      </c>
      <c r="BD12" t="s">
        <v>444</v>
      </c>
      <c r="BE12" t="s">
        <v>74</v>
      </c>
      <c r="BF12" t="s">
        <v>445</v>
      </c>
      <c r="BH12" t="s">
        <v>2715</v>
      </c>
      <c r="BK12">
        <v>4</v>
      </c>
      <c r="BL12">
        <v>4</v>
      </c>
      <c r="BM12" t="s">
        <v>2847</v>
      </c>
    </row>
    <row r="13" spans="1:74" x14ac:dyDescent="0.3">
      <c r="A13">
        <v>1166</v>
      </c>
      <c r="B13" t="s">
        <v>61</v>
      </c>
      <c r="C13" t="s">
        <v>273</v>
      </c>
      <c r="D13">
        <v>37</v>
      </c>
      <c r="E13" t="s">
        <v>409</v>
      </c>
      <c r="F13">
        <v>79</v>
      </c>
      <c r="G13" t="s">
        <v>2786</v>
      </c>
      <c r="H13">
        <v>1166</v>
      </c>
      <c r="I13">
        <v>1</v>
      </c>
      <c r="J13" t="s">
        <v>479</v>
      </c>
      <c r="K13" s="5">
        <v>45775</v>
      </c>
      <c r="L13" s="5">
        <v>46140</v>
      </c>
      <c r="M13">
        <v>15000</v>
      </c>
      <c r="N13">
        <v>15801.12</v>
      </c>
      <c r="O13">
        <v>47</v>
      </c>
      <c r="P13">
        <v>12</v>
      </c>
      <c r="Q13" t="s">
        <v>68</v>
      </c>
      <c r="R13">
        <v>2525.04</v>
      </c>
      <c r="S13">
        <v>696</v>
      </c>
      <c r="T13">
        <v>1160</v>
      </c>
      <c r="U13">
        <v>0</v>
      </c>
      <c r="V13">
        <v>1.5</v>
      </c>
      <c r="W13">
        <v>11738.23</v>
      </c>
      <c r="X13">
        <v>4889.1900000000005</v>
      </c>
      <c r="Y13">
        <v>2520.91</v>
      </c>
      <c r="Z13">
        <v>1150.28</v>
      </c>
      <c r="AA13">
        <v>58</v>
      </c>
      <c r="AB13">
        <v>1160</v>
      </c>
      <c r="AC13">
        <v>1000</v>
      </c>
      <c r="AD13" s="5">
        <v>45940</v>
      </c>
      <c r="AE13" t="s">
        <v>69</v>
      </c>
      <c r="AF13">
        <v>7225619622</v>
      </c>
      <c r="AG13" t="s">
        <v>480</v>
      </c>
      <c r="AI13" t="s">
        <v>481</v>
      </c>
      <c r="AJ13">
        <v>8712011</v>
      </c>
      <c r="AM13" t="s">
        <v>957</v>
      </c>
      <c r="AN13">
        <v>7223944200</v>
      </c>
      <c r="AO13" t="s">
        <v>955</v>
      </c>
      <c r="AP13">
        <v>7226756628</v>
      </c>
      <c r="AQ13" t="s">
        <v>956</v>
      </c>
      <c r="AR13">
        <v>7291409879</v>
      </c>
      <c r="AY13">
        <v>22158.45</v>
      </c>
      <c r="AZ13">
        <v>0</v>
      </c>
      <c r="BA13">
        <v>1</v>
      </c>
      <c r="BB13" t="s">
        <v>1044</v>
      </c>
      <c r="BC13" t="s">
        <v>2891</v>
      </c>
      <c r="BD13" t="s">
        <v>484</v>
      </c>
      <c r="BE13" t="s">
        <v>74</v>
      </c>
      <c r="BF13" t="s">
        <v>296</v>
      </c>
      <c r="BH13" t="s">
        <v>2715</v>
      </c>
      <c r="BK13">
        <v>4</v>
      </c>
      <c r="BL13">
        <v>4</v>
      </c>
      <c r="BM13" t="s">
        <v>2847</v>
      </c>
    </row>
    <row r="14" spans="1:74" x14ac:dyDescent="0.3">
      <c r="A14">
        <v>1276</v>
      </c>
      <c r="B14" t="s">
        <v>61</v>
      </c>
      <c r="C14" t="s">
        <v>273</v>
      </c>
      <c r="D14">
        <v>37</v>
      </c>
      <c r="E14" t="s">
        <v>409</v>
      </c>
      <c r="F14">
        <v>79</v>
      </c>
      <c r="G14" t="s">
        <v>2786</v>
      </c>
      <c r="H14">
        <v>1276</v>
      </c>
      <c r="I14">
        <v>1</v>
      </c>
      <c r="J14" t="s">
        <v>485</v>
      </c>
      <c r="K14" s="5">
        <v>45775</v>
      </c>
      <c r="L14" s="5">
        <v>46140</v>
      </c>
      <c r="M14">
        <v>20000</v>
      </c>
      <c r="N14">
        <v>21068.16</v>
      </c>
      <c r="O14">
        <v>47</v>
      </c>
      <c r="P14">
        <v>12</v>
      </c>
      <c r="Q14" t="s">
        <v>68</v>
      </c>
      <c r="R14">
        <v>3347.38</v>
      </c>
      <c r="S14">
        <v>696</v>
      </c>
      <c r="T14">
        <v>1740</v>
      </c>
      <c r="U14">
        <v>0</v>
      </c>
      <c r="V14">
        <v>2</v>
      </c>
      <c r="W14">
        <v>15801.12</v>
      </c>
      <c r="X14">
        <v>8404.92</v>
      </c>
      <c r="Y14">
        <v>3511.36</v>
      </c>
      <c r="Z14">
        <v>3067.41</v>
      </c>
      <c r="AA14">
        <v>86.15</v>
      </c>
      <c r="AB14">
        <v>1740</v>
      </c>
      <c r="AC14">
        <v>2804</v>
      </c>
      <c r="AD14" s="5">
        <v>45937</v>
      </c>
      <c r="AE14" t="s">
        <v>69</v>
      </c>
      <c r="AF14">
        <v>7223944200</v>
      </c>
      <c r="AG14" t="s">
        <v>486</v>
      </c>
      <c r="AI14" t="s">
        <v>487</v>
      </c>
      <c r="AJ14">
        <v>6325030</v>
      </c>
      <c r="AM14" t="s">
        <v>960</v>
      </c>
      <c r="AN14">
        <v>7291348252</v>
      </c>
      <c r="AO14" t="s">
        <v>958</v>
      </c>
      <c r="AP14">
        <v>7228340426</v>
      </c>
      <c r="AQ14" t="s">
        <v>959</v>
      </c>
      <c r="AR14">
        <v>7225619622</v>
      </c>
      <c r="AY14">
        <v>31430.600000000002</v>
      </c>
      <c r="AZ14">
        <v>0</v>
      </c>
      <c r="BA14">
        <v>1</v>
      </c>
      <c r="BB14" t="s">
        <v>1044</v>
      </c>
      <c r="BC14" t="s">
        <v>3009</v>
      </c>
      <c r="BD14" t="s">
        <v>484</v>
      </c>
      <c r="BE14" t="s">
        <v>74</v>
      </c>
      <c r="BF14" t="s">
        <v>296</v>
      </c>
      <c r="BH14" t="s">
        <v>2715</v>
      </c>
      <c r="BK14">
        <v>4</v>
      </c>
      <c r="BL14">
        <v>4</v>
      </c>
      <c r="BM14" t="s">
        <v>2847</v>
      </c>
    </row>
    <row r="15" spans="1:74" x14ac:dyDescent="0.3">
      <c r="A15">
        <v>1423</v>
      </c>
      <c r="B15" t="s">
        <v>61</v>
      </c>
      <c r="C15" t="s">
        <v>273</v>
      </c>
      <c r="D15">
        <v>37</v>
      </c>
      <c r="E15" t="s">
        <v>409</v>
      </c>
      <c r="F15">
        <v>39</v>
      </c>
      <c r="G15" t="s">
        <v>2763</v>
      </c>
      <c r="H15">
        <v>1423</v>
      </c>
      <c r="I15">
        <v>1</v>
      </c>
      <c r="J15" t="s">
        <v>1216</v>
      </c>
      <c r="K15" s="5">
        <v>45874</v>
      </c>
      <c r="L15" s="5">
        <v>45966</v>
      </c>
      <c r="M15">
        <v>210000</v>
      </c>
      <c r="N15">
        <v>210000</v>
      </c>
      <c r="O15">
        <v>39</v>
      </c>
      <c r="P15">
        <v>3</v>
      </c>
      <c r="Q15" t="s">
        <v>68</v>
      </c>
      <c r="R15">
        <v>18403</v>
      </c>
      <c r="S15">
        <v>17409</v>
      </c>
      <c r="T15">
        <v>0</v>
      </c>
      <c r="U15">
        <v>0</v>
      </c>
      <c r="V15">
        <v>3</v>
      </c>
      <c r="W15">
        <v>210000</v>
      </c>
      <c r="X15">
        <v>36806</v>
      </c>
      <c r="Y15">
        <v>0</v>
      </c>
      <c r="Z15">
        <v>25200</v>
      </c>
      <c r="AA15">
        <v>11606</v>
      </c>
      <c r="AB15">
        <v>0</v>
      </c>
      <c r="AE15" t="s">
        <v>69</v>
      </c>
      <c r="AF15">
        <v>5510686525</v>
      </c>
      <c r="AG15" t="s">
        <v>1217</v>
      </c>
      <c r="AI15" t="s">
        <v>1218</v>
      </c>
      <c r="AJ15">
        <v>8429012</v>
      </c>
      <c r="AK15" t="s">
        <v>1219</v>
      </c>
      <c r="AL15">
        <v>5540792811</v>
      </c>
      <c r="AM15" t="s">
        <v>1220</v>
      </c>
      <c r="AN15">
        <v>5544790066</v>
      </c>
      <c r="AY15">
        <v>246806</v>
      </c>
      <c r="AZ15">
        <v>0</v>
      </c>
      <c r="BA15">
        <v>2</v>
      </c>
      <c r="BB15" t="s">
        <v>2550</v>
      </c>
      <c r="BC15" t="s">
        <v>3052</v>
      </c>
      <c r="BD15" t="s">
        <v>1221</v>
      </c>
      <c r="BE15" t="s">
        <v>74</v>
      </c>
      <c r="BF15" t="s">
        <v>391</v>
      </c>
      <c r="BH15" t="s">
        <v>2715</v>
      </c>
      <c r="BK15">
        <v>2</v>
      </c>
      <c r="BL15">
        <v>2</v>
      </c>
      <c r="BM15" t="s">
        <v>2847</v>
      </c>
    </row>
    <row r="16" spans="1:74" x14ac:dyDescent="0.3">
      <c r="A16">
        <v>1300</v>
      </c>
      <c r="B16" t="s">
        <v>61</v>
      </c>
      <c r="C16" t="s">
        <v>273</v>
      </c>
      <c r="D16">
        <v>37</v>
      </c>
      <c r="E16" t="s">
        <v>409</v>
      </c>
      <c r="F16">
        <v>79</v>
      </c>
      <c r="G16" t="s">
        <v>2786</v>
      </c>
      <c r="H16">
        <v>1300</v>
      </c>
      <c r="I16">
        <v>1</v>
      </c>
      <c r="J16" t="s">
        <v>542</v>
      </c>
      <c r="K16" s="5">
        <v>45783</v>
      </c>
      <c r="L16" s="5">
        <v>46148</v>
      </c>
      <c r="M16">
        <v>10000</v>
      </c>
      <c r="N16">
        <v>10534.08</v>
      </c>
      <c r="O16">
        <v>36</v>
      </c>
      <c r="P16">
        <v>12</v>
      </c>
      <c r="Q16" t="s">
        <v>68</v>
      </c>
      <c r="R16">
        <v>1702.69</v>
      </c>
      <c r="S16">
        <v>696</v>
      </c>
      <c r="T16">
        <v>1160</v>
      </c>
      <c r="U16">
        <v>0</v>
      </c>
      <c r="V16">
        <v>1.3</v>
      </c>
      <c r="W16">
        <v>7490.49</v>
      </c>
      <c r="X16">
        <v>3330.46</v>
      </c>
      <c r="Y16">
        <v>1345.6100000000001</v>
      </c>
      <c r="Z16">
        <v>766.85</v>
      </c>
      <c r="AA16">
        <v>58</v>
      </c>
      <c r="AB16">
        <v>1160</v>
      </c>
      <c r="AC16">
        <v>1300</v>
      </c>
      <c r="AD16" s="5">
        <v>45937</v>
      </c>
      <c r="AE16" t="s">
        <v>69</v>
      </c>
      <c r="AF16">
        <v>5573771781</v>
      </c>
      <c r="AG16" t="s">
        <v>543</v>
      </c>
      <c r="AI16" t="s">
        <v>324</v>
      </c>
      <c r="AJ16">
        <v>2093011</v>
      </c>
      <c r="AM16" t="s">
        <v>954</v>
      </c>
      <c r="AN16">
        <v>7223987277</v>
      </c>
      <c r="AO16" t="s">
        <v>952</v>
      </c>
      <c r="AP16">
        <v>7226611760</v>
      </c>
      <c r="AQ16" t="s">
        <v>953</v>
      </c>
      <c r="AR16">
        <v>7224760204</v>
      </c>
      <c r="AY16">
        <v>14843.300000000001</v>
      </c>
      <c r="AZ16">
        <v>0</v>
      </c>
      <c r="BA16">
        <v>1</v>
      </c>
      <c r="BB16" t="s">
        <v>1044</v>
      </c>
      <c r="BC16" t="s">
        <v>544</v>
      </c>
      <c r="BD16" t="s">
        <v>403</v>
      </c>
      <c r="BE16" t="s">
        <v>74</v>
      </c>
      <c r="BF16" t="s">
        <v>545</v>
      </c>
      <c r="BH16" t="s">
        <v>2715</v>
      </c>
      <c r="BK16">
        <v>5</v>
      </c>
      <c r="BL16">
        <v>5</v>
      </c>
      <c r="BM16" t="s">
        <v>2847</v>
      </c>
    </row>
    <row r="17" spans="1:65" x14ac:dyDescent="0.3">
      <c r="A17">
        <v>1400</v>
      </c>
      <c r="B17" t="s">
        <v>61</v>
      </c>
      <c r="C17" t="s">
        <v>273</v>
      </c>
      <c r="D17">
        <v>44</v>
      </c>
      <c r="E17" t="s">
        <v>614</v>
      </c>
      <c r="F17">
        <v>79</v>
      </c>
      <c r="G17" t="s">
        <v>2786</v>
      </c>
      <c r="H17">
        <v>1400</v>
      </c>
      <c r="I17">
        <v>1</v>
      </c>
      <c r="J17" t="s">
        <v>1166</v>
      </c>
      <c r="K17" s="5">
        <v>45821</v>
      </c>
      <c r="L17" s="5">
        <v>46004</v>
      </c>
      <c r="M17">
        <v>5000</v>
      </c>
      <c r="N17">
        <v>5267.04</v>
      </c>
      <c r="O17">
        <v>29</v>
      </c>
      <c r="P17">
        <v>6</v>
      </c>
      <c r="Q17" t="s">
        <v>68</v>
      </c>
      <c r="R17">
        <v>1320.32</v>
      </c>
      <c r="S17">
        <v>348</v>
      </c>
      <c r="T17">
        <v>580</v>
      </c>
      <c r="U17">
        <v>0</v>
      </c>
      <c r="V17">
        <v>1.5</v>
      </c>
      <c r="W17">
        <v>3213.51</v>
      </c>
      <c r="X17">
        <v>2480.31</v>
      </c>
      <c r="Y17">
        <v>1457.83</v>
      </c>
      <c r="Z17">
        <v>384.48</v>
      </c>
      <c r="AA17">
        <v>58</v>
      </c>
      <c r="AB17">
        <v>580</v>
      </c>
      <c r="AC17">
        <v>1320.32</v>
      </c>
      <c r="AD17" s="5">
        <v>45940</v>
      </c>
      <c r="AE17" t="s">
        <v>69</v>
      </c>
      <c r="AF17">
        <v>3312808498</v>
      </c>
      <c r="AG17" t="s">
        <v>1167</v>
      </c>
      <c r="AI17" t="s">
        <v>192</v>
      </c>
      <c r="AJ17">
        <v>9501009</v>
      </c>
      <c r="AK17" t="s">
        <v>1168</v>
      </c>
      <c r="AM17" t="s">
        <v>1169</v>
      </c>
      <c r="AN17">
        <v>5585701980</v>
      </c>
      <c r="AO17" t="s">
        <v>1170</v>
      </c>
      <c r="AP17">
        <v>7291085702</v>
      </c>
      <c r="AQ17" t="s">
        <v>1171</v>
      </c>
      <c r="AR17">
        <v>7229085667</v>
      </c>
      <c r="AY17">
        <v>5004.9400000000005</v>
      </c>
      <c r="AZ17">
        <v>0</v>
      </c>
      <c r="BA17">
        <v>1</v>
      </c>
      <c r="BB17" t="s">
        <v>1044</v>
      </c>
      <c r="BC17" t="s">
        <v>1172</v>
      </c>
      <c r="BD17" t="s">
        <v>687</v>
      </c>
      <c r="BE17" t="s">
        <v>74</v>
      </c>
      <c r="BF17" t="s">
        <v>273</v>
      </c>
      <c r="BG17" t="s">
        <v>1173</v>
      </c>
      <c r="BH17" t="s">
        <v>2715</v>
      </c>
      <c r="BK17">
        <v>2</v>
      </c>
      <c r="BL17">
        <v>2</v>
      </c>
      <c r="BM17" t="s">
        <v>2847</v>
      </c>
    </row>
    <row r="18" spans="1:65" x14ac:dyDescent="0.3">
      <c r="A18">
        <v>1443</v>
      </c>
      <c r="B18" t="s">
        <v>61</v>
      </c>
      <c r="C18" t="s">
        <v>273</v>
      </c>
      <c r="D18">
        <v>44</v>
      </c>
      <c r="E18" t="s">
        <v>614</v>
      </c>
      <c r="F18">
        <v>79</v>
      </c>
      <c r="G18" t="s">
        <v>2786</v>
      </c>
      <c r="H18">
        <v>1443</v>
      </c>
      <c r="I18">
        <v>1</v>
      </c>
      <c r="J18" t="s">
        <v>1348</v>
      </c>
      <c r="K18" s="5">
        <v>45833</v>
      </c>
      <c r="L18" s="5">
        <v>46001</v>
      </c>
      <c r="M18">
        <v>7000</v>
      </c>
      <c r="N18">
        <v>7373.85</v>
      </c>
      <c r="O18">
        <v>27</v>
      </c>
      <c r="P18">
        <v>12</v>
      </c>
      <c r="Q18" t="s">
        <v>496</v>
      </c>
      <c r="R18">
        <v>919.56000000000006</v>
      </c>
      <c r="S18">
        <v>696</v>
      </c>
      <c r="T18">
        <v>1375.81</v>
      </c>
      <c r="U18">
        <v>7</v>
      </c>
      <c r="V18">
        <v>2</v>
      </c>
      <c r="W18">
        <v>4301.41</v>
      </c>
      <c r="X18">
        <v>3156.924438</v>
      </c>
      <c r="Y18">
        <v>1228.97</v>
      </c>
      <c r="Z18">
        <v>494.14</v>
      </c>
      <c r="AA18">
        <v>58</v>
      </c>
      <c r="AB18">
        <v>1375.81</v>
      </c>
      <c r="AC18">
        <v>1000</v>
      </c>
      <c r="AD18" s="5">
        <v>45936</v>
      </c>
      <c r="AE18" t="s">
        <v>69</v>
      </c>
      <c r="AF18">
        <v>7226713715</v>
      </c>
      <c r="AG18" t="s">
        <v>1349</v>
      </c>
      <c r="AI18" t="s">
        <v>86</v>
      </c>
      <c r="AJ18">
        <v>8711021</v>
      </c>
      <c r="AK18" t="s">
        <v>1350</v>
      </c>
      <c r="AM18" t="s">
        <v>1351</v>
      </c>
      <c r="AN18">
        <v>7205505507</v>
      </c>
      <c r="AO18" t="s">
        <v>1352</v>
      </c>
      <c r="AP18">
        <v>7293140618</v>
      </c>
      <c r="AQ18" t="s">
        <v>1353</v>
      </c>
      <c r="AR18">
        <v>7226570890</v>
      </c>
      <c r="AY18">
        <v>7464.7300000000005</v>
      </c>
      <c r="AZ18">
        <v>0</v>
      </c>
      <c r="BA18">
        <v>1</v>
      </c>
      <c r="BB18" t="s">
        <v>1044</v>
      </c>
      <c r="BC18" t="s">
        <v>1354</v>
      </c>
      <c r="BD18" t="s">
        <v>1355</v>
      </c>
      <c r="BE18" t="s">
        <v>74</v>
      </c>
      <c r="BF18" t="s">
        <v>1356</v>
      </c>
      <c r="BG18" t="s">
        <v>1357</v>
      </c>
      <c r="BH18" t="s">
        <v>2715</v>
      </c>
      <c r="BK18">
        <v>5</v>
      </c>
      <c r="BL18">
        <v>4</v>
      </c>
      <c r="BM18" t="s">
        <v>2847</v>
      </c>
    </row>
    <row r="19" spans="1:65" x14ac:dyDescent="0.3">
      <c r="A19">
        <v>1492</v>
      </c>
      <c r="B19" t="s">
        <v>61</v>
      </c>
      <c r="C19" t="s">
        <v>273</v>
      </c>
      <c r="D19">
        <v>43</v>
      </c>
      <c r="E19" t="s">
        <v>599</v>
      </c>
      <c r="F19">
        <v>79</v>
      </c>
      <c r="G19" t="s">
        <v>2786</v>
      </c>
      <c r="H19">
        <v>1492</v>
      </c>
      <c r="I19">
        <v>1</v>
      </c>
      <c r="J19" t="s">
        <v>1602</v>
      </c>
      <c r="K19" s="5">
        <v>45848</v>
      </c>
      <c r="L19" s="5">
        <v>46016</v>
      </c>
      <c r="M19">
        <v>5000</v>
      </c>
      <c r="N19">
        <v>5267.04</v>
      </c>
      <c r="O19">
        <v>26</v>
      </c>
      <c r="P19">
        <v>12</v>
      </c>
      <c r="Q19" t="s">
        <v>496</v>
      </c>
      <c r="R19">
        <v>673.4</v>
      </c>
      <c r="S19">
        <v>696</v>
      </c>
      <c r="T19">
        <v>1160</v>
      </c>
      <c r="U19">
        <v>6</v>
      </c>
      <c r="V19">
        <v>2</v>
      </c>
      <c r="W19">
        <v>3511.36</v>
      </c>
      <c r="X19">
        <v>2504.41</v>
      </c>
      <c r="Y19">
        <v>877.84</v>
      </c>
      <c r="Z19">
        <v>352.97</v>
      </c>
      <c r="AA19">
        <v>113.60000000000001</v>
      </c>
      <c r="AB19">
        <v>1160</v>
      </c>
      <c r="AC19">
        <v>674</v>
      </c>
      <c r="AD19" s="5">
        <v>45904</v>
      </c>
      <c r="AE19" t="s">
        <v>69</v>
      </c>
      <c r="AF19">
        <v>7226795168</v>
      </c>
      <c r="AG19" t="s">
        <v>1603</v>
      </c>
      <c r="AI19" t="s">
        <v>89</v>
      </c>
      <c r="AJ19">
        <v>6211023</v>
      </c>
      <c r="AK19" t="s">
        <v>1604</v>
      </c>
      <c r="AM19" t="s">
        <v>1605</v>
      </c>
      <c r="AN19">
        <v>7224647788</v>
      </c>
      <c r="AO19" t="s">
        <v>1606</v>
      </c>
      <c r="AP19">
        <v>7226795168</v>
      </c>
      <c r="AQ19" t="s">
        <v>1607</v>
      </c>
      <c r="AR19">
        <v>7223477860</v>
      </c>
      <c r="AY19">
        <v>6196.81</v>
      </c>
      <c r="AZ19">
        <v>0</v>
      </c>
      <c r="BA19">
        <v>1</v>
      </c>
      <c r="BB19" t="s">
        <v>1044</v>
      </c>
      <c r="BC19" t="s">
        <v>3058</v>
      </c>
      <c r="BD19" t="s">
        <v>1608</v>
      </c>
      <c r="BE19" t="s">
        <v>74</v>
      </c>
      <c r="BF19" t="s">
        <v>273</v>
      </c>
      <c r="BG19" t="s">
        <v>1609</v>
      </c>
      <c r="BH19" t="s">
        <v>2715</v>
      </c>
      <c r="BK19">
        <v>2</v>
      </c>
      <c r="BL19">
        <v>2</v>
      </c>
      <c r="BM19" t="s">
        <v>2847</v>
      </c>
    </row>
    <row r="20" spans="1:65" x14ac:dyDescent="0.3">
      <c r="A20">
        <v>1109</v>
      </c>
      <c r="B20" t="s">
        <v>61</v>
      </c>
      <c r="C20" t="s">
        <v>273</v>
      </c>
      <c r="D20">
        <v>28</v>
      </c>
      <c r="E20" t="s">
        <v>1023</v>
      </c>
      <c r="F20">
        <v>79</v>
      </c>
      <c r="G20" t="s">
        <v>2786</v>
      </c>
      <c r="H20">
        <v>1109</v>
      </c>
      <c r="I20">
        <v>2</v>
      </c>
      <c r="J20" t="s">
        <v>601</v>
      </c>
      <c r="K20" s="5">
        <v>45796</v>
      </c>
      <c r="L20" s="5">
        <v>45980</v>
      </c>
      <c r="M20">
        <v>50000</v>
      </c>
      <c r="N20">
        <v>52670.39</v>
      </c>
      <c r="O20">
        <v>25</v>
      </c>
      <c r="P20">
        <v>6</v>
      </c>
      <c r="Q20" t="s">
        <v>68</v>
      </c>
      <c r="R20">
        <v>11727.65</v>
      </c>
      <c r="S20">
        <v>348</v>
      </c>
      <c r="T20">
        <v>580</v>
      </c>
      <c r="U20">
        <v>0</v>
      </c>
      <c r="V20">
        <v>1</v>
      </c>
      <c r="W20">
        <v>26335.190000000002</v>
      </c>
      <c r="X20">
        <v>12306.3364336</v>
      </c>
      <c r="Y20">
        <v>8778.39</v>
      </c>
      <c r="Z20">
        <v>2891.25</v>
      </c>
      <c r="AA20">
        <v>56.69</v>
      </c>
      <c r="AB20">
        <v>580</v>
      </c>
      <c r="AC20">
        <v>12308</v>
      </c>
      <c r="AD20" s="5">
        <v>45897</v>
      </c>
      <c r="AE20" t="s">
        <v>69</v>
      </c>
      <c r="AF20">
        <v>7293597278</v>
      </c>
      <c r="AG20" t="s">
        <v>602</v>
      </c>
      <c r="AI20" t="s">
        <v>603</v>
      </c>
      <c r="AJ20">
        <v>2084010</v>
      </c>
      <c r="AK20" t="s">
        <v>604</v>
      </c>
      <c r="AM20" t="s">
        <v>934</v>
      </c>
      <c r="AN20">
        <v>7293280241</v>
      </c>
      <c r="AO20" t="s">
        <v>933</v>
      </c>
      <c r="AP20">
        <v>7204392072</v>
      </c>
      <c r="AQ20" t="s">
        <v>1297</v>
      </c>
      <c r="AR20">
        <v>7226076142</v>
      </c>
      <c r="AS20" t="s">
        <v>122</v>
      </c>
      <c r="AT20" t="s">
        <v>605</v>
      </c>
      <c r="AU20" t="s">
        <v>606</v>
      </c>
      <c r="AY20">
        <v>35645.64</v>
      </c>
      <c r="AZ20">
        <v>0</v>
      </c>
      <c r="BA20">
        <v>1</v>
      </c>
      <c r="BB20" t="s">
        <v>1044</v>
      </c>
      <c r="BC20" t="s">
        <v>3056</v>
      </c>
      <c r="BD20" t="s">
        <v>607</v>
      </c>
      <c r="BE20" t="s">
        <v>74</v>
      </c>
      <c r="BF20" t="s">
        <v>296</v>
      </c>
      <c r="BH20" t="s">
        <v>2715</v>
      </c>
      <c r="BK20">
        <v>2</v>
      </c>
      <c r="BL20">
        <v>2</v>
      </c>
      <c r="BM20" t="s">
        <v>2847</v>
      </c>
    </row>
    <row r="21" spans="1:65" x14ac:dyDescent="0.3">
      <c r="A21">
        <v>1426</v>
      </c>
      <c r="B21" t="s">
        <v>61</v>
      </c>
      <c r="C21" t="s">
        <v>273</v>
      </c>
      <c r="D21">
        <v>43</v>
      </c>
      <c r="E21" t="s">
        <v>599</v>
      </c>
      <c r="F21">
        <v>39</v>
      </c>
      <c r="G21" t="s">
        <v>2763</v>
      </c>
      <c r="H21">
        <v>1426</v>
      </c>
      <c r="I21">
        <v>1</v>
      </c>
      <c r="J21" t="s">
        <v>1298</v>
      </c>
      <c r="K21" s="5">
        <v>45828</v>
      </c>
      <c r="L21" s="5">
        <v>46011</v>
      </c>
      <c r="M21">
        <v>10000</v>
      </c>
      <c r="N21">
        <v>10534.08</v>
      </c>
      <c r="O21">
        <v>22</v>
      </c>
      <c r="P21">
        <v>6</v>
      </c>
      <c r="Q21" t="s">
        <v>68</v>
      </c>
      <c r="R21">
        <v>2582.63</v>
      </c>
      <c r="S21">
        <v>348</v>
      </c>
      <c r="T21">
        <v>580</v>
      </c>
      <c r="U21">
        <v>0</v>
      </c>
      <c r="V21">
        <v>1</v>
      </c>
      <c r="W21">
        <v>7022.72</v>
      </c>
      <c r="X21">
        <v>3162.27</v>
      </c>
      <c r="Y21">
        <v>1755.68</v>
      </c>
      <c r="Z21">
        <v>768.95</v>
      </c>
      <c r="AA21">
        <v>57.64</v>
      </c>
      <c r="AB21">
        <v>580</v>
      </c>
      <c r="AC21">
        <v>3163</v>
      </c>
      <c r="AD21" s="5">
        <v>45890</v>
      </c>
      <c r="AE21" t="s">
        <v>69</v>
      </c>
      <c r="AF21">
        <v>7228340210</v>
      </c>
      <c r="AG21" t="s">
        <v>1299</v>
      </c>
      <c r="AI21" t="s">
        <v>526</v>
      </c>
      <c r="AJ21">
        <v>6131023</v>
      </c>
      <c r="AK21" t="s">
        <v>1321</v>
      </c>
      <c r="AM21" t="s">
        <v>1300</v>
      </c>
      <c r="AN21">
        <v>7225621873</v>
      </c>
      <c r="AO21" t="s">
        <v>1301</v>
      </c>
      <c r="AP21">
        <v>7224678033</v>
      </c>
      <c r="AQ21" t="s">
        <v>1302</v>
      </c>
      <c r="AR21">
        <v>7224407681</v>
      </c>
      <c r="AY21">
        <v>10736.17</v>
      </c>
      <c r="AZ21">
        <v>0</v>
      </c>
      <c r="BA21">
        <v>1</v>
      </c>
      <c r="BB21" t="s">
        <v>1044</v>
      </c>
      <c r="BC21" t="s">
        <v>3053</v>
      </c>
      <c r="BD21" t="s">
        <v>1303</v>
      </c>
      <c r="BE21" t="s">
        <v>74</v>
      </c>
      <c r="BF21" t="s">
        <v>273</v>
      </c>
      <c r="BG21" t="s">
        <v>1304</v>
      </c>
      <c r="BH21" t="s">
        <v>2715</v>
      </c>
      <c r="BK21">
        <v>2</v>
      </c>
      <c r="BL21">
        <v>2</v>
      </c>
      <c r="BM21" t="s">
        <v>2847</v>
      </c>
    </row>
    <row r="22" spans="1:65" x14ac:dyDescent="0.3">
      <c r="A22">
        <v>1328</v>
      </c>
      <c r="B22" t="s">
        <v>61</v>
      </c>
      <c r="C22" t="s">
        <v>273</v>
      </c>
      <c r="D22">
        <v>44</v>
      </c>
      <c r="E22" t="s">
        <v>614</v>
      </c>
      <c r="F22">
        <v>79</v>
      </c>
      <c r="G22" t="s">
        <v>2786</v>
      </c>
      <c r="H22">
        <v>1328</v>
      </c>
      <c r="I22">
        <v>1</v>
      </c>
      <c r="J22" t="s">
        <v>615</v>
      </c>
      <c r="K22" s="5">
        <v>45798</v>
      </c>
      <c r="L22" s="5">
        <v>46163</v>
      </c>
      <c r="M22">
        <v>15000</v>
      </c>
      <c r="N22">
        <v>15801.12</v>
      </c>
      <c r="O22">
        <v>22</v>
      </c>
      <c r="P22">
        <v>12</v>
      </c>
      <c r="Q22" t="s">
        <v>68</v>
      </c>
      <c r="R22">
        <v>2525.04</v>
      </c>
      <c r="S22">
        <v>696</v>
      </c>
      <c r="T22">
        <v>580</v>
      </c>
      <c r="U22">
        <v>0</v>
      </c>
      <c r="V22">
        <v>1</v>
      </c>
      <c r="W22">
        <v>11850.84</v>
      </c>
      <c r="X22">
        <v>3104.0705760000001</v>
      </c>
      <c r="Y22">
        <v>1316.76</v>
      </c>
      <c r="Z22">
        <v>1150.28</v>
      </c>
      <c r="AA22">
        <v>57.03</v>
      </c>
      <c r="AB22">
        <v>580</v>
      </c>
      <c r="AC22">
        <v>3106</v>
      </c>
      <c r="AD22" s="5">
        <v>45904</v>
      </c>
      <c r="AE22" t="s">
        <v>69</v>
      </c>
      <c r="AF22">
        <v>7225330152</v>
      </c>
      <c r="AG22" t="s">
        <v>616</v>
      </c>
      <c r="AI22" t="s">
        <v>192</v>
      </c>
      <c r="AJ22">
        <v>9501009</v>
      </c>
      <c r="AM22" t="s">
        <v>979</v>
      </c>
      <c r="AN22">
        <v>7292764800</v>
      </c>
      <c r="AO22" t="s">
        <v>977</v>
      </c>
      <c r="AP22">
        <v>7228527255</v>
      </c>
      <c r="AQ22" t="s">
        <v>978</v>
      </c>
      <c r="AR22">
        <v>7229260100</v>
      </c>
      <c r="AY22">
        <v>22840.37</v>
      </c>
      <c r="AZ22">
        <v>0</v>
      </c>
      <c r="BA22">
        <v>1</v>
      </c>
      <c r="BB22" t="s">
        <v>1044</v>
      </c>
      <c r="BC22" t="s">
        <v>3057</v>
      </c>
      <c r="BD22" t="s">
        <v>600</v>
      </c>
      <c r="BE22" t="s">
        <v>74</v>
      </c>
      <c r="BF22" t="s">
        <v>545</v>
      </c>
      <c r="BH22" t="s">
        <v>2715</v>
      </c>
      <c r="BK22">
        <v>2</v>
      </c>
      <c r="BL22">
        <v>2</v>
      </c>
      <c r="BM22" t="s">
        <v>2847</v>
      </c>
    </row>
    <row r="23" spans="1:65" x14ac:dyDescent="0.3">
      <c r="A23">
        <v>1121</v>
      </c>
      <c r="B23" t="s">
        <v>61</v>
      </c>
      <c r="C23" t="s">
        <v>273</v>
      </c>
      <c r="D23">
        <v>24</v>
      </c>
      <c r="E23" t="s">
        <v>287</v>
      </c>
      <c r="F23">
        <v>79</v>
      </c>
      <c r="G23" t="s">
        <v>2786</v>
      </c>
      <c r="H23">
        <v>1121</v>
      </c>
      <c r="I23">
        <v>1</v>
      </c>
      <c r="J23" t="s">
        <v>297</v>
      </c>
      <c r="K23" s="5">
        <v>45616</v>
      </c>
      <c r="L23" s="5">
        <v>45981</v>
      </c>
      <c r="M23">
        <v>30000</v>
      </c>
      <c r="N23">
        <v>31602.23</v>
      </c>
      <c r="O23">
        <v>22</v>
      </c>
      <c r="P23">
        <v>12</v>
      </c>
      <c r="Q23" t="s">
        <v>68</v>
      </c>
      <c r="R23">
        <v>4493.53</v>
      </c>
      <c r="S23">
        <v>696</v>
      </c>
      <c r="T23">
        <v>580</v>
      </c>
      <c r="U23">
        <v>0</v>
      </c>
      <c r="V23">
        <v>0.1</v>
      </c>
      <c r="W23">
        <v>8361.7900000000009</v>
      </c>
      <c r="X23">
        <v>1149.77</v>
      </c>
      <c r="Y23">
        <v>569.77</v>
      </c>
      <c r="Z23">
        <v>0</v>
      </c>
      <c r="AA23">
        <v>0</v>
      </c>
      <c r="AB23">
        <v>580</v>
      </c>
      <c r="AC23">
        <v>4494</v>
      </c>
      <c r="AD23" s="5">
        <v>45939</v>
      </c>
      <c r="AE23" t="s">
        <v>69</v>
      </c>
      <c r="AF23">
        <v>5624101034</v>
      </c>
      <c r="AG23" t="s">
        <v>298</v>
      </c>
      <c r="AI23" t="s">
        <v>299</v>
      </c>
      <c r="AJ23">
        <v>6119011</v>
      </c>
      <c r="AK23" t="s">
        <v>300</v>
      </c>
      <c r="AM23" t="s">
        <v>937</v>
      </c>
      <c r="AN23">
        <v>7227681567</v>
      </c>
      <c r="AO23" t="s">
        <v>935</v>
      </c>
      <c r="AP23">
        <v>7222241002</v>
      </c>
      <c r="AQ23" t="s">
        <v>936</v>
      </c>
      <c r="AR23">
        <v>7295213447</v>
      </c>
      <c r="AS23" t="s">
        <v>122</v>
      </c>
      <c r="AT23" t="s">
        <v>301</v>
      </c>
      <c r="AU23" t="s">
        <v>302</v>
      </c>
      <c r="AY23">
        <v>8941.7900000000009</v>
      </c>
      <c r="AZ23">
        <v>0</v>
      </c>
      <c r="BA23">
        <v>4</v>
      </c>
      <c r="BB23" t="s">
        <v>136</v>
      </c>
      <c r="BC23" t="s">
        <v>303</v>
      </c>
      <c r="BD23" t="s">
        <v>304</v>
      </c>
      <c r="BE23" t="s">
        <v>74</v>
      </c>
      <c r="BF23" t="s">
        <v>296</v>
      </c>
      <c r="BH23" t="s">
        <v>2715</v>
      </c>
      <c r="BK23">
        <v>4</v>
      </c>
      <c r="BL23">
        <v>3</v>
      </c>
      <c r="BM23" t="s">
        <v>2846</v>
      </c>
    </row>
    <row r="24" spans="1:65" x14ac:dyDescent="0.3">
      <c r="A24">
        <v>1548</v>
      </c>
      <c r="B24" t="s">
        <v>61</v>
      </c>
      <c r="C24" t="s">
        <v>273</v>
      </c>
      <c r="D24">
        <v>44</v>
      </c>
      <c r="E24" t="s">
        <v>614</v>
      </c>
      <c r="F24">
        <v>79</v>
      </c>
      <c r="G24" t="s">
        <v>2786</v>
      </c>
      <c r="H24">
        <v>1548</v>
      </c>
      <c r="I24">
        <v>1</v>
      </c>
      <c r="J24" t="s">
        <v>1640</v>
      </c>
      <c r="K24" s="5">
        <v>45853</v>
      </c>
      <c r="L24" s="5">
        <v>46021</v>
      </c>
      <c r="M24">
        <v>5000</v>
      </c>
      <c r="N24">
        <v>5267.04</v>
      </c>
      <c r="O24">
        <v>21</v>
      </c>
      <c r="P24">
        <v>12</v>
      </c>
      <c r="Q24" t="s">
        <v>496</v>
      </c>
      <c r="R24">
        <v>673.4</v>
      </c>
      <c r="S24">
        <v>696</v>
      </c>
      <c r="T24">
        <v>1678.2</v>
      </c>
      <c r="U24">
        <v>6</v>
      </c>
      <c r="V24">
        <v>2</v>
      </c>
      <c r="W24">
        <v>3511.36</v>
      </c>
      <c r="X24">
        <v>2967.41</v>
      </c>
      <c r="Y24">
        <v>877.84</v>
      </c>
      <c r="Z24">
        <v>352.97</v>
      </c>
      <c r="AA24">
        <v>58.4</v>
      </c>
      <c r="AB24">
        <v>1678.2</v>
      </c>
      <c r="AC24">
        <v>673</v>
      </c>
      <c r="AD24" s="5">
        <v>45929</v>
      </c>
      <c r="AE24" t="s">
        <v>69</v>
      </c>
      <c r="AF24">
        <v>7293711279</v>
      </c>
      <c r="AG24" t="s">
        <v>1642</v>
      </c>
      <c r="AI24" t="s">
        <v>86</v>
      </c>
      <c r="AJ24">
        <v>8711021</v>
      </c>
      <c r="AM24" t="s">
        <v>1643</v>
      </c>
      <c r="AN24">
        <v>7223899388</v>
      </c>
      <c r="AO24" t="s">
        <v>1645</v>
      </c>
      <c r="AP24">
        <v>7291669165</v>
      </c>
      <c r="AQ24" t="s">
        <v>1647</v>
      </c>
      <c r="AR24">
        <v>7293110453</v>
      </c>
      <c r="AY24">
        <v>6659.81</v>
      </c>
      <c r="AZ24">
        <v>0</v>
      </c>
      <c r="BA24">
        <v>1</v>
      </c>
      <c r="BB24" t="s">
        <v>1044</v>
      </c>
      <c r="BC24" t="s">
        <v>1649</v>
      </c>
      <c r="BD24" t="s">
        <v>1650</v>
      </c>
      <c r="BE24" t="s">
        <v>74</v>
      </c>
      <c r="BF24" t="s">
        <v>273</v>
      </c>
      <c r="BG24" t="s">
        <v>1651</v>
      </c>
      <c r="BH24" t="s">
        <v>2715</v>
      </c>
      <c r="BK24">
        <v>4</v>
      </c>
      <c r="BL24">
        <v>4</v>
      </c>
      <c r="BM24" t="s">
        <v>2847</v>
      </c>
    </row>
    <row r="25" spans="1:65" x14ac:dyDescent="0.3">
      <c r="A25">
        <v>1196</v>
      </c>
      <c r="B25" t="s">
        <v>61</v>
      </c>
      <c r="C25" t="s">
        <v>273</v>
      </c>
      <c r="D25">
        <v>37</v>
      </c>
      <c r="E25" t="s">
        <v>409</v>
      </c>
      <c r="F25">
        <v>39</v>
      </c>
      <c r="G25" t="s">
        <v>2763</v>
      </c>
      <c r="H25">
        <v>1196</v>
      </c>
      <c r="I25">
        <v>2</v>
      </c>
      <c r="J25" t="s">
        <v>2647</v>
      </c>
      <c r="K25" s="5">
        <v>45876</v>
      </c>
      <c r="L25" s="5">
        <v>46241</v>
      </c>
      <c r="M25">
        <v>350000</v>
      </c>
      <c r="N25">
        <v>368692.72000000003</v>
      </c>
      <c r="O25">
        <v>7</v>
      </c>
      <c r="P25">
        <v>12</v>
      </c>
      <c r="Q25" t="s">
        <v>68</v>
      </c>
      <c r="R25">
        <v>47915.51</v>
      </c>
      <c r="S25">
        <v>696</v>
      </c>
      <c r="T25">
        <v>580</v>
      </c>
      <c r="U25">
        <v>0</v>
      </c>
      <c r="V25">
        <v>0</v>
      </c>
      <c r="W25">
        <v>307823.93</v>
      </c>
      <c r="X25">
        <v>1159.9972949473549</v>
      </c>
      <c r="Y25">
        <v>580</v>
      </c>
      <c r="Z25">
        <v>0</v>
      </c>
      <c r="AA25">
        <v>0</v>
      </c>
      <c r="AB25">
        <v>580</v>
      </c>
      <c r="AC25">
        <v>47915.51</v>
      </c>
      <c r="AD25" s="5">
        <v>45937</v>
      </c>
      <c r="AE25" t="s">
        <v>69</v>
      </c>
      <c r="AF25">
        <v>7213387385</v>
      </c>
      <c r="AG25" t="s">
        <v>2649</v>
      </c>
      <c r="AI25" t="s">
        <v>86</v>
      </c>
      <c r="AJ25">
        <v>8711021</v>
      </c>
      <c r="AK25" t="s">
        <v>2650</v>
      </c>
      <c r="AM25" t="s">
        <v>2651</v>
      </c>
      <c r="AN25">
        <v>7221374276</v>
      </c>
      <c r="AO25" t="s">
        <v>2653</v>
      </c>
      <c r="AP25">
        <v>7292316842</v>
      </c>
      <c r="AQ25" t="s">
        <v>2655</v>
      </c>
      <c r="AR25">
        <v>4271680267</v>
      </c>
      <c r="AS25" t="s">
        <v>122</v>
      </c>
      <c r="AT25" t="s">
        <v>2657</v>
      </c>
      <c r="AU25" t="s">
        <v>2658</v>
      </c>
      <c r="AY25">
        <v>479735.08</v>
      </c>
      <c r="AZ25">
        <v>0</v>
      </c>
      <c r="BA25">
        <v>2</v>
      </c>
      <c r="BB25" t="s">
        <v>1600</v>
      </c>
      <c r="BC25" t="s">
        <v>2659</v>
      </c>
      <c r="BD25" t="s">
        <v>335</v>
      </c>
      <c r="BE25" t="s">
        <v>74</v>
      </c>
      <c r="BF25" t="s">
        <v>2660</v>
      </c>
      <c r="BH25" t="s">
        <v>2715</v>
      </c>
      <c r="BK25">
        <v>2</v>
      </c>
      <c r="BL25">
        <v>2</v>
      </c>
      <c r="BM25" t="s">
        <v>2847</v>
      </c>
    </row>
    <row r="26" spans="1:65" x14ac:dyDescent="0.3">
      <c r="A26">
        <v>1384</v>
      </c>
      <c r="B26" t="s">
        <v>61</v>
      </c>
      <c r="C26" t="s">
        <v>273</v>
      </c>
      <c r="D26">
        <v>43</v>
      </c>
      <c r="E26" t="s">
        <v>599</v>
      </c>
      <c r="F26">
        <v>39</v>
      </c>
      <c r="G26" t="s">
        <v>2763</v>
      </c>
      <c r="H26">
        <v>1384</v>
      </c>
      <c r="I26">
        <v>1</v>
      </c>
      <c r="J26" t="s">
        <v>1124</v>
      </c>
      <c r="K26" s="5">
        <v>45817</v>
      </c>
      <c r="L26" s="5">
        <v>46182</v>
      </c>
      <c r="M26">
        <v>30000</v>
      </c>
      <c r="N26">
        <v>31602.23</v>
      </c>
      <c r="O26">
        <v>5</v>
      </c>
      <c r="P26">
        <v>12</v>
      </c>
      <c r="Q26" t="s">
        <v>68</v>
      </c>
      <c r="R26">
        <v>4992.07</v>
      </c>
      <c r="S26">
        <v>696</v>
      </c>
      <c r="T26">
        <v>580</v>
      </c>
      <c r="U26">
        <v>0</v>
      </c>
      <c r="V26">
        <v>1</v>
      </c>
      <c r="W26">
        <v>23701.670000000002</v>
      </c>
      <c r="X26">
        <v>5571.2966999999999</v>
      </c>
      <c r="Y26">
        <v>2633.52</v>
      </c>
      <c r="Z26">
        <v>2300.56</v>
      </c>
      <c r="AA26">
        <v>57.22</v>
      </c>
      <c r="AB26">
        <v>580</v>
      </c>
      <c r="AC26">
        <v>5571</v>
      </c>
      <c r="AD26" s="5">
        <v>45917</v>
      </c>
      <c r="AE26" t="s">
        <v>69</v>
      </c>
      <c r="AF26">
        <v>7225655574</v>
      </c>
      <c r="AG26" t="s">
        <v>1125</v>
      </c>
      <c r="AI26" t="s">
        <v>86</v>
      </c>
      <c r="AJ26">
        <v>8711021</v>
      </c>
      <c r="AK26" t="s">
        <v>1126</v>
      </c>
      <c r="AL26">
        <v>7225655574</v>
      </c>
      <c r="AM26" t="s">
        <v>1127</v>
      </c>
      <c r="AN26">
        <v>7291158321</v>
      </c>
      <c r="AO26" t="s">
        <v>1128</v>
      </c>
      <c r="AP26">
        <v>7226443534</v>
      </c>
      <c r="AQ26" t="s">
        <v>1129</v>
      </c>
      <c r="AR26">
        <v>7226365266</v>
      </c>
      <c r="AY26">
        <v>45043.88</v>
      </c>
      <c r="AZ26">
        <v>0</v>
      </c>
      <c r="BA26">
        <v>1</v>
      </c>
      <c r="BB26" t="s">
        <v>1044</v>
      </c>
      <c r="BC26" t="s">
        <v>2880</v>
      </c>
      <c r="BD26" t="s">
        <v>1029</v>
      </c>
      <c r="BE26" t="s">
        <v>74</v>
      </c>
      <c r="BF26" t="s">
        <v>204</v>
      </c>
      <c r="BG26" t="s">
        <v>1130</v>
      </c>
      <c r="BH26" t="s">
        <v>2715</v>
      </c>
      <c r="BK26">
        <v>2</v>
      </c>
      <c r="BL26">
        <v>2</v>
      </c>
      <c r="BM26" t="s">
        <v>2847</v>
      </c>
    </row>
    <row r="27" spans="1:65" x14ac:dyDescent="0.3">
      <c r="A27">
        <v>1371</v>
      </c>
      <c r="B27" t="s">
        <v>61</v>
      </c>
      <c r="C27" t="s">
        <v>273</v>
      </c>
      <c r="D27">
        <v>37</v>
      </c>
      <c r="E27" t="s">
        <v>409</v>
      </c>
      <c r="F27">
        <v>39</v>
      </c>
      <c r="G27" t="s">
        <v>2763</v>
      </c>
      <c r="H27">
        <v>1371</v>
      </c>
      <c r="I27">
        <v>1</v>
      </c>
      <c r="J27" t="s">
        <v>2536</v>
      </c>
      <c r="K27" s="5">
        <v>45817</v>
      </c>
      <c r="L27" s="5">
        <v>46182</v>
      </c>
      <c r="M27">
        <v>300000</v>
      </c>
      <c r="N27">
        <v>300000</v>
      </c>
      <c r="O27">
        <v>5</v>
      </c>
      <c r="P27">
        <v>12</v>
      </c>
      <c r="Q27" t="s">
        <v>68</v>
      </c>
      <c r="R27">
        <v>18000</v>
      </c>
      <c r="S27">
        <v>0</v>
      </c>
      <c r="T27">
        <v>0</v>
      </c>
      <c r="U27">
        <v>0</v>
      </c>
      <c r="V27">
        <v>1</v>
      </c>
      <c r="W27">
        <v>300000</v>
      </c>
      <c r="X27">
        <v>18000</v>
      </c>
      <c r="Y27">
        <v>0</v>
      </c>
      <c r="Z27">
        <v>18000</v>
      </c>
      <c r="AA27">
        <v>0</v>
      </c>
      <c r="AB27">
        <v>0</v>
      </c>
      <c r="AC27">
        <v>18000</v>
      </c>
      <c r="AD27" s="5">
        <v>45918</v>
      </c>
      <c r="AE27" t="s">
        <v>69</v>
      </c>
      <c r="AF27">
        <v>7223946314</v>
      </c>
      <c r="AG27" t="s">
        <v>2538</v>
      </c>
      <c r="AI27" t="s">
        <v>2539</v>
      </c>
      <c r="AJ27">
        <v>4111944</v>
      </c>
      <c r="AK27" t="s">
        <v>2541</v>
      </c>
      <c r="AL27">
        <v>7225557944</v>
      </c>
      <c r="AM27" t="s">
        <v>2543</v>
      </c>
      <c r="AN27">
        <v>7224592553</v>
      </c>
      <c r="AO27" t="s">
        <v>2545</v>
      </c>
      <c r="AP27">
        <v>7222613175</v>
      </c>
      <c r="AQ27" t="s">
        <v>2547</v>
      </c>
      <c r="AR27">
        <v>7225725525</v>
      </c>
      <c r="AY27">
        <v>318000</v>
      </c>
      <c r="AZ27">
        <v>0</v>
      </c>
      <c r="BA27">
        <v>2</v>
      </c>
      <c r="BB27" t="s">
        <v>2550</v>
      </c>
      <c r="BC27" t="s">
        <v>2551</v>
      </c>
      <c r="BD27" t="s">
        <v>2552</v>
      </c>
      <c r="BE27" t="s">
        <v>74</v>
      </c>
      <c r="BF27" t="s">
        <v>334</v>
      </c>
      <c r="BH27" t="s">
        <v>2715</v>
      </c>
      <c r="BK27">
        <v>4</v>
      </c>
      <c r="BL27">
        <v>4</v>
      </c>
      <c r="BM27" t="s">
        <v>2847</v>
      </c>
    </row>
    <row r="28" spans="1:65" x14ac:dyDescent="0.3">
      <c r="A28">
        <v>1395</v>
      </c>
      <c r="B28" t="s">
        <v>61</v>
      </c>
      <c r="C28" t="s">
        <v>273</v>
      </c>
      <c r="D28">
        <v>43</v>
      </c>
      <c r="E28" t="s">
        <v>599</v>
      </c>
      <c r="F28">
        <v>39</v>
      </c>
      <c r="G28" t="s">
        <v>2763</v>
      </c>
      <c r="H28">
        <v>1395</v>
      </c>
      <c r="I28">
        <v>1</v>
      </c>
      <c r="J28" t="s">
        <v>1175</v>
      </c>
      <c r="K28" s="5">
        <v>45824</v>
      </c>
      <c r="L28" s="5">
        <v>45992</v>
      </c>
      <c r="M28">
        <v>5000</v>
      </c>
      <c r="N28">
        <v>5267.04</v>
      </c>
      <c r="O28">
        <v>1</v>
      </c>
      <c r="P28">
        <v>24</v>
      </c>
      <c r="Q28" t="s">
        <v>469</v>
      </c>
      <c r="R28">
        <v>365.7</v>
      </c>
      <c r="S28">
        <v>1392</v>
      </c>
      <c r="T28">
        <v>580</v>
      </c>
      <c r="U28">
        <v>17</v>
      </c>
      <c r="V28">
        <v>1</v>
      </c>
      <c r="W28">
        <v>1755.68</v>
      </c>
      <c r="X28">
        <v>940.91</v>
      </c>
      <c r="Y28">
        <v>219.46</v>
      </c>
      <c r="Z28">
        <v>88.24</v>
      </c>
      <c r="AA28">
        <v>53.21</v>
      </c>
      <c r="AB28">
        <v>580</v>
      </c>
      <c r="AC28">
        <v>366</v>
      </c>
      <c r="AD28" s="5">
        <v>45936</v>
      </c>
      <c r="AE28" t="s">
        <v>69</v>
      </c>
      <c r="AF28">
        <v>7228968921</v>
      </c>
      <c r="AG28" t="s">
        <v>1176</v>
      </c>
      <c r="AI28" t="s">
        <v>283</v>
      </c>
      <c r="AJ28">
        <v>8944098</v>
      </c>
      <c r="AK28" t="s">
        <v>1177</v>
      </c>
      <c r="AL28">
        <v>7293288652</v>
      </c>
      <c r="AM28" t="s">
        <v>1178</v>
      </c>
      <c r="AN28">
        <v>7226762573</v>
      </c>
      <c r="AO28" t="s">
        <v>1179</v>
      </c>
      <c r="AP28">
        <v>7221259454</v>
      </c>
      <c r="AQ28" t="s">
        <v>1180</v>
      </c>
      <c r="AR28">
        <v>7224959630</v>
      </c>
      <c r="AY28">
        <v>3094.81</v>
      </c>
      <c r="AZ28">
        <v>0</v>
      </c>
      <c r="BA28">
        <v>1</v>
      </c>
      <c r="BB28" t="s">
        <v>1044</v>
      </c>
      <c r="BC28" t="s">
        <v>1181</v>
      </c>
      <c r="BD28" t="s">
        <v>1182</v>
      </c>
      <c r="BE28" t="s">
        <v>74</v>
      </c>
      <c r="BF28" t="s">
        <v>204</v>
      </c>
      <c r="BG28" t="s">
        <v>1183</v>
      </c>
      <c r="BH28" t="s">
        <v>2715</v>
      </c>
      <c r="BK28">
        <v>1</v>
      </c>
      <c r="BL28">
        <v>1</v>
      </c>
      <c r="BM28" t="s">
        <v>2847</v>
      </c>
    </row>
    <row r="29" spans="1:65" x14ac:dyDescent="0.3">
      <c r="A29">
        <v>1083</v>
      </c>
      <c r="B29" t="s">
        <v>61</v>
      </c>
      <c r="C29" t="s">
        <v>273</v>
      </c>
      <c r="D29">
        <v>37</v>
      </c>
      <c r="E29" t="s">
        <v>409</v>
      </c>
      <c r="F29">
        <v>37</v>
      </c>
      <c r="G29" t="s">
        <v>409</v>
      </c>
      <c r="H29">
        <v>1083</v>
      </c>
      <c r="I29">
        <v>3</v>
      </c>
      <c r="J29" t="s">
        <v>2064</v>
      </c>
      <c r="K29" s="5">
        <v>45939</v>
      </c>
      <c r="L29" s="5">
        <v>46096</v>
      </c>
      <c r="M29">
        <v>5846.95</v>
      </c>
      <c r="N29">
        <v>5846.95</v>
      </c>
      <c r="O29">
        <v>0</v>
      </c>
      <c r="P29">
        <v>5</v>
      </c>
      <c r="Q29" t="s">
        <v>68</v>
      </c>
      <c r="R29">
        <v>5846.95</v>
      </c>
      <c r="S29">
        <v>0</v>
      </c>
      <c r="T29">
        <v>0</v>
      </c>
      <c r="U29">
        <v>0</v>
      </c>
      <c r="V29">
        <v>0</v>
      </c>
      <c r="W29">
        <v>5846.95</v>
      </c>
      <c r="X29">
        <v>0</v>
      </c>
      <c r="Y29">
        <v>0</v>
      </c>
      <c r="Z29">
        <v>0</v>
      </c>
      <c r="AA29">
        <v>0</v>
      </c>
      <c r="AB29">
        <v>0</v>
      </c>
      <c r="AE29" t="s">
        <v>69</v>
      </c>
      <c r="AF29">
        <v>7227803366</v>
      </c>
      <c r="AG29" t="s">
        <v>2765</v>
      </c>
      <c r="AI29" t="s">
        <v>2065</v>
      </c>
      <c r="AJ29">
        <v>6811013</v>
      </c>
      <c r="AY29">
        <v>5846.95</v>
      </c>
      <c r="AZ29">
        <v>0</v>
      </c>
      <c r="BA29">
        <v>1</v>
      </c>
      <c r="BB29" t="s">
        <v>281</v>
      </c>
      <c r="BC29" t="s">
        <v>2951</v>
      </c>
      <c r="BD29" t="s">
        <v>295</v>
      </c>
      <c r="BE29" t="s">
        <v>74</v>
      </c>
      <c r="BF29" t="s">
        <v>296</v>
      </c>
      <c r="BH29" t="s">
        <v>2715</v>
      </c>
      <c r="BK29">
        <v>0</v>
      </c>
      <c r="BL29">
        <v>0</v>
      </c>
      <c r="BM29" t="s">
        <v>2847</v>
      </c>
    </row>
    <row r="30" spans="1:65" x14ac:dyDescent="0.3">
      <c r="A30">
        <v>3414</v>
      </c>
      <c r="B30" t="s">
        <v>61</v>
      </c>
      <c r="C30" t="s">
        <v>273</v>
      </c>
      <c r="D30">
        <v>37</v>
      </c>
      <c r="E30" t="s">
        <v>409</v>
      </c>
      <c r="F30">
        <v>37</v>
      </c>
      <c r="G30" t="s">
        <v>409</v>
      </c>
      <c r="H30">
        <v>3414</v>
      </c>
      <c r="I30">
        <v>1</v>
      </c>
      <c r="J30" t="s">
        <v>2912</v>
      </c>
      <c r="K30" s="5">
        <v>45933</v>
      </c>
      <c r="L30" s="5">
        <v>46006</v>
      </c>
      <c r="M30">
        <v>65000</v>
      </c>
      <c r="N30">
        <v>65000</v>
      </c>
      <c r="O30">
        <v>0</v>
      </c>
      <c r="P30">
        <v>4</v>
      </c>
      <c r="Q30" t="s">
        <v>453</v>
      </c>
      <c r="R30">
        <v>16735.37</v>
      </c>
      <c r="S30">
        <v>240</v>
      </c>
      <c r="T30">
        <v>0</v>
      </c>
      <c r="U30">
        <v>0</v>
      </c>
      <c r="V30">
        <v>0</v>
      </c>
      <c r="W30">
        <v>65000</v>
      </c>
      <c r="X30">
        <v>0</v>
      </c>
      <c r="Y30">
        <v>0</v>
      </c>
      <c r="Z30">
        <v>0</v>
      </c>
      <c r="AA30">
        <v>0</v>
      </c>
      <c r="AB30">
        <v>0</v>
      </c>
      <c r="AE30" t="s">
        <v>69</v>
      </c>
      <c r="AF30">
        <v>2228611663</v>
      </c>
      <c r="AG30" t="s">
        <v>2915</v>
      </c>
      <c r="AI30" t="s">
        <v>283</v>
      </c>
      <c r="AJ30">
        <v>8944098</v>
      </c>
      <c r="AY30">
        <v>65000</v>
      </c>
      <c r="AZ30">
        <v>0</v>
      </c>
      <c r="BA30">
        <v>1</v>
      </c>
      <c r="BB30" t="s">
        <v>281</v>
      </c>
      <c r="BC30" t="s">
        <v>2916</v>
      </c>
      <c r="BD30" t="s">
        <v>2917</v>
      </c>
      <c r="BE30" t="s">
        <v>2762</v>
      </c>
      <c r="BF30" t="s">
        <v>2762</v>
      </c>
      <c r="BH30" t="s">
        <v>2715</v>
      </c>
      <c r="BK30">
        <v>0</v>
      </c>
      <c r="BL30">
        <v>0</v>
      </c>
      <c r="BM30" t="s">
        <v>2847</v>
      </c>
    </row>
    <row r="31" spans="1:65" x14ac:dyDescent="0.3">
      <c r="A31">
        <v>1073</v>
      </c>
      <c r="B31" t="s">
        <v>61</v>
      </c>
      <c r="C31" t="s">
        <v>273</v>
      </c>
      <c r="D31">
        <v>37</v>
      </c>
      <c r="E31" t="s">
        <v>409</v>
      </c>
      <c r="F31">
        <v>37</v>
      </c>
      <c r="G31" t="s">
        <v>409</v>
      </c>
      <c r="H31">
        <v>1073</v>
      </c>
      <c r="I31">
        <v>1</v>
      </c>
      <c r="J31" t="s">
        <v>2757</v>
      </c>
      <c r="K31" s="5">
        <v>45884</v>
      </c>
      <c r="L31" s="5">
        <v>46068</v>
      </c>
      <c r="M31">
        <v>7000</v>
      </c>
      <c r="N31">
        <v>7000</v>
      </c>
      <c r="O31">
        <v>0</v>
      </c>
      <c r="P31">
        <v>12</v>
      </c>
      <c r="Q31" t="s">
        <v>453</v>
      </c>
      <c r="R31">
        <v>733.31000000000006</v>
      </c>
      <c r="S31">
        <v>816</v>
      </c>
      <c r="T31">
        <v>0</v>
      </c>
      <c r="U31">
        <v>0</v>
      </c>
      <c r="V31">
        <v>0</v>
      </c>
      <c r="W31">
        <v>5408.87</v>
      </c>
      <c r="X31">
        <v>0</v>
      </c>
      <c r="Y31">
        <v>0</v>
      </c>
      <c r="Z31">
        <v>0</v>
      </c>
      <c r="AA31">
        <v>0</v>
      </c>
      <c r="AB31">
        <v>0</v>
      </c>
      <c r="AC31">
        <v>733.31000000000006</v>
      </c>
      <c r="AD31" s="5">
        <v>45930</v>
      </c>
      <c r="AE31" t="s">
        <v>69</v>
      </c>
      <c r="AF31">
        <v>2225315368</v>
      </c>
      <c r="AG31">
        <v>2225315368</v>
      </c>
      <c r="AH31" t="s">
        <v>2759</v>
      </c>
      <c r="AI31" t="s">
        <v>283</v>
      </c>
      <c r="AJ31">
        <v>8944098</v>
      </c>
      <c r="AY31">
        <v>5408.87</v>
      </c>
      <c r="AZ31">
        <v>0</v>
      </c>
      <c r="BA31">
        <v>1</v>
      </c>
      <c r="BB31" t="s">
        <v>281</v>
      </c>
      <c r="BC31" t="s">
        <v>2760</v>
      </c>
      <c r="BD31" t="s">
        <v>2761</v>
      </c>
      <c r="BE31" t="s">
        <v>2762</v>
      </c>
      <c r="BF31" t="s">
        <v>2762</v>
      </c>
      <c r="BH31" t="s">
        <v>2715</v>
      </c>
      <c r="BK31">
        <v>0</v>
      </c>
      <c r="BL31">
        <v>0</v>
      </c>
      <c r="BM31" t="s">
        <v>2847</v>
      </c>
    </row>
    <row r="32" spans="1:65" x14ac:dyDescent="0.3">
      <c r="A32">
        <v>1083</v>
      </c>
      <c r="B32" t="s">
        <v>61</v>
      </c>
      <c r="C32" t="s">
        <v>273</v>
      </c>
      <c r="D32">
        <v>37</v>
      </c>
      <c r="E32" t="s">
        <v>409</v>
      </c>
      <c r="F32">
        <v>37</v>
      </c>
      <c r="G32" t="s">
        <v>409</v>
      </c>
      <c r="H32">
        <v>1083</v>
      </c>
      <c r="I32">
        <v>2</v>
      </c>
      <c r="J32" t="s">
        <v>2064</v>
      </c>
      <c r="K32" s="5">
        <v>45888</v>
      </c>
      <c r="L32" s="5">
        <v>46072</v>
      </c>
      <c r="M32">
        <v>30000</v>
      </c>
      <c r="N32">
        <v>30000</v>
      </c>
      <c r="O32">
        <v>0</v>
      </c>
      <c r="P32">
        <v>6</v>
      </c>
      <c r="Q32" t="s">
        <v>68</v>
      </c>
      <c r="R32">
        <v>5846.95</v>
      </c>
      <c r="S32">
        <v>558</v>
      </c>
      <c r="T32">
        <v>0</v>
      </c>
      <c r="U32">
        <v>0</v>
      </c>
      <c r="V32">
        <v>0</v>
      </c>
      <c r="W32">
        <v>25496.05</v>
      </c>
      <c r="X32">
        <v>0</v>
      </c>
      <c r="Y32">
        <v>0</v>
      </c>
      <c r="Z32">
        <v>0</v>
      </c>
      <c r="AA32">
        <v>0</v>
      </c>
      <c r="AB32">
        <v>0</v>
      </c>
      <c r="AC32">
        <v>5846.95</v>
      </c>
      <c r="AD32" s="5">
        <v>45919</v>
      </c>
      <c r="AE32" t="s">
        <v>69</v>
      </c>
      <c r="AF32">
        <v>7227803366</v>
      </c>
      <c r="AG32" t="s">
        <v>2765</v>
      </c>
      <c r="AI32" t="s">
        <v>2065</v>
      </c>
      <c r="AJ32">
        <v>6811013</v>
      </c>
      <c r="AM32" t="s">
        <v>2067</v>
      </c>
      <c r="AN32">
        <v>7224551026</v>
      </c>
      <c r="AO32" t="s">
        <v>2068</v>
      </c>
      <c r="AP32">
        <v>7227028812</v>
      </c>
      <c r="AQ32" t="s">
        <v>2070</v>
      </c>
      <c r="AR32">
        <v>7221600931</v>
      </c>
      <c r="AY32">
        <v>25496.05</v>
      </c>
      <c r="AZ32">
        <v>0</v>
      </c>
      <c r="BA32">
        <v>1</v>
      </c>
      <c r="BB32" t="s">
        <v>281</v>
      </c>
      <c r="BC32" t="s">
        <v>2951</v>
      </c>
      <c r="BD32" t="s">
        <v>295</v>
      </c>
      <c r="BE32" t="s">
        <v>74</v>
      </c>
      <c r="BF32" t="s">
        <v>296</v>
      </c>
      <c r="BH32" t="s">
        <v>2715</v>
      </c>
      <c r="BK32">
        <v>0</v>
      </c>
      <c r="BL32">
        <v>0</v>
      </c>
      <c r="BM32" t="s">
        <v>2847</v>
      </c>
    </row>
    <row r="33" spans="1:65" x14ac:dyDescent="0.3">
      <c r="A33">
        <v>2369</v>
      </c>
      <c r="B33" t="s">
        <v>61</v>
      </c>
      <c r="C33" t="s">
        <v>273</v>
      </c>
      <c r="D33">
        <v>37</v>
      </c>
      <c r="E33" t="s">
        <v>409</v>
      </c>
      <c r="F33">
        <v>37</v>
      </c>
      <c r="G33" t="s">
        <v>409</v>
      </c>
      <c r="H33">
        <v>2369</v>
      </c>
      <c r="I33">
        <v>1</v>
      </c>
      <c r="J33" t="s">
        <v>2805</v>
      </c>
      <c r="K33" s="5">
        <v>45895</v>
      </c>
      <c r="L33" s="5">
        <v>46081</v>
      </c>
      <c r="M33">
        <v>10000</v>
      </c>
      <c r="N33">
        <v>10000</v>
      </c>
      <c r="O33">
        <v>0</v>
      </c>
      <c r="P33">
        <v>12</v>
      </c>
      <c r="Q33" t="s">
        <v>453</v>
      </c>
      <c r="R33">
        <v>986.61</v>
      </c>
      <c r="S33">
        <v>372</v>
      </c>
      <c r="T33">
        <v>0</v>
      </c>
      <c r="U33">
        <v>0</v>
      </c>
      <c r="V33">
        <v>0</v>
      </c>
      <c r="W33">
        <v>8546.59</v>
      </c>
      <c r="X33">
        <v>0</v>
      </c>
      <c r="Y33">
        <v>0</v>
      </c>
      <c r="Z33">
        <v>0</v>
      </c>
      <c r="AA33">
        <v>0</v>
      </c>
      <c r="AB33">
        <v>0</v>
      </c>
      <c r="AC33">
        <v>986.61</v>
      </c>
      <c r="AD33" s="5">
        <v>45930</v>
      </c>
      <c r="AE33" t="s">
        <v>69</v>
      </c>
      <c r="AF33">
        <v>7224310823</v>
      </c>
      <c r="AG33" t="s">
        <v>2807</v>
      </c>
      <c r="AI33" t="s">
        <v>192</v>
      </c>
      <c r="AJ33">
        <v>9501009</v>
      </c>
      <c r="AK33" t="s">
        <v>2808</v>
      </c>
      <c r="AY33">
        <v>8546.59</v>
      </c>
      <c r="AZ33">
        <v>0</v>
      </c>
      <c r="BA33">
        <v>1</v>
      </c>
      <c r="BB33" t="s">
        <v>281</v>
      </c>
      <c r="BC33" t="s">
        <v>2809</v>
      </c>
      <c r="BD33" t="s">
        <v>2810</v>
      </c>
      <c r="BE33" t="s">
        <v>74</v>
      </c>
      <c r="BF33" t="s">
        <v>2811</v>
      </c>
      <c r="BH33" t="s">
        <v>2715</v>
      </c>
      <c r="BK33">
        <v>0</v>
      </c>
      <c r="BL33">
        <v>0</v>
      </c>
      <c r="BM33" t="s">
        <v>2847</v>
      </c>
    </row>
    <row r="34" spans="1:65" ht="14.4" customHeight="1" x14ac:dyDescent="0.3">
      <c r="A34">
        <v>2648</v>
      </c>
      <c r="B34" t="s">
        <v>61</v>
      </c>
      <c r="C34" t="s">
        <v>273</v>
      </c>
      <c r="D34">
        <v>37</v>
      </c>
      <c r="E34" t="s">
        <v>409</v>
      </c>
      <c r="F34">
        <v>37</v>
      </c>
      <c r="G34" t="s">
        <v>409</v>
      </c>
      <c r="H34">
        <v>2648</v>
      </c>
      <c r="I34">
        <v>1</v>
      </c>
      <c r="J34" t="s">
        <v>2828</v>
      </c>
      <c r="K34" s="5">
        <v>45904</v>
      </c>
      <c r="L34" s="5">
        <v>46096</v>
      </c>
      <c r="M34">
        <v>30000</v>
      </c>
      <c r="N34">
        <v>30000</v>
      </c>
      <c r="O34">
        <v>0</v>
      </c>
      <c r="P34">
        <v>12</v>
      </c>
      <c r="Q34" t="s">
        <v>453</v>
      </c>
      <c r="R34">
        <v>2935</v>
      </c>
      <c r="S34">
        <v>492</v>
      </c>
      <c r="T34">
        <v>0</v>
      </c>
      <c r="U34">
        <v>0</v>
      </c>
      <c r="V34">
        <v>0</v>
      </c>
      <c r="W34">
        <v>28189.33</v>
      </c>
      <c r="X34">
        <v>0</v>
      </c>
      <c r="Y34">
        <v>0</v>
      </c>
      <c r="Z34">
        <v>0</v>
      </c>
      <c r="AA34">
        <v>0</v>
      </c>
      <c r="AB34">
        <v>0</v>
      </c>
      <c r="AC34">
        <v>2935</v>
      </c>
      <c r="AD34" s="5">
        <v>45930</v>
      </c>
      <c r="AE34" t="s">
        <v>69</v>
      </c>
      <c r="AF34">
        <v>5579074408</v>
      </c>
      <c r="AG34" t="s">
        <v>2830</v>
      </c>
      <c r="AI34" t="s">
        <v>283</v>
      </c>
      <c r="AJ34">
        <v>8944098</v>
      </c>
      <c r="AY34">
        <v>28189.33</v>
      </c>
      <c r="AZ34">
        <v>0</v>
      </c>
      <c r="BA34">
        <v>1</v>
      </c>
      <c r="BB34" t="s">
        <v>281</v>
      </c>
      <c r="BC34" t="s">
        <v>2831</v>
      </c>
      <c r="BD34" t="s">
        <v>2832</v>
      </c>
      <c r="BE34" t="s">
        <v>2833</v>
      </c>
      <c r="BF34" t="s">
        <v>2834</v>
      </c>
      <c r="BH34" t="s">
        <v>2715</v>
      </c>
      <c r="BK34">
        <v>0</v>
      </c>
      <c r="BL34">
        <v>0</v>
      </c>
      <c r="BM34" t="s">
        <v>2847</v>
      </c>
    </row>
    <row r="35" spans="1:65" ht="14.4" customHeight="1" x14ac:dyDescent="0.3">
      <c r="A35">
        <v>3639</v>
      </c>
      <c r="B35" t="s">
        <v>61</v>
      </c>
      <c r="C35" t="s">
        <v>273</v>
      </c>
      <c r="D35">
        <v>37</v>
      </c>
      <c r="E35" t="s">
        <v>409</v>
      </c>
      <c r="F35">
        <v>37</v>
      </c>
      <c r="G35" t="s">
        <v>409</v>
      </c>
      <c r="H35">
        <v>3639</v>
      </c>
      <c r="I35">
        <v>1</v>
      </c>
      <c r="J35" t="s">
        <v>3038</v>
      </c>
      <c r="K35" s="5">
        <v>45940</v>
      </c>
      <c r="L35" s="5">
        <v>45989</v>
      </c>
      <c r="M35">
        <v>10000</v>
      </c>
      <c r="O35">
        <v>0</v>
      </c>
      <c r="P35">
        <v>7</v>
      </c>
      <c r="Q35" t="s">
        <v>469</v>
      </c>
      <c r="R35">
        <v>1500</v>
      </c>
      <c r="S35">
        <v>0</v>
      </c>
      <c r="T35">
        <v>0</v>
      </c>
      <c r="U35">
        <v>0</v>
      </c>
      <c r="V35">
        <v>0</v>
      </c>
      <c r="W35">
        <v>10000</v>
      </c>
      <c r="X35">
        <v>0</v>
      </c>
      <c r="Y35">
        <v>0</v>
      </c>
      <c r="Z35">
        <v>0</v>
      </c>
      <c r="AA35">
        <v>0</v>
      </c>
      <c r="AB35">
        <v>0</v>
      </c>
      <c r="AE35" t="s">
        <v>2913</v>
      </c>
      <c r="AF35">
        <v>7227581787</v>
      </c>
      <c r="AG35" t="s">
        <v>3040</v>
      </c>
      <c r="AI35" t="s">
        <v>283</v>
      </c>
      <c r="AJ35">
        <v>8944098</v>
      </c>
      <c r="AY35">
        <v>10000</v>
      </c>
      <c r="AZ35">
        <v>0</v>
      </c>
      <c r="BA35">
        <v>2</v>
      </c>
      <c r="BB35" t="s">
        <v>2550</v>
      </c>
      <c r="BC35" t="s">
        <v>3041</v>
      </c>
      <c r="BD35" t="s">
        <v>3042</v>
      </c>
      <c r="BE35" t="s">
        <v>74</v>
      </c>
      <c r="BF35" t="s">
        <v>2811</v>
      </c>
      <c r="BH35" t="s">
        <v>2715</v>
      </c>
      <c r="BK35">
        <v>0</v>
      </c>
      <c r="BL35">
        <v>0</v>
      </c>
      <c r="BM35" t="s">
        <v>2846</v>
      </c>
    </row>
    <row r="36" spans="1:65" x14ac:dyDescent="0.3">
      <c r="A36">
        <v>1614</v>
      </c>
      <c r="B36" t="s">
        <v>61</v>
      </c>
      <c r="C36" t="s">
        <v>273</v>
      </c>
      <c r="D36">
        <v>43</v>
      </c>
      <c r="E36" t="s">
        <v>599</v>
      </c>
      <c r="F36">
        <v>39</v>
      </c>
      <c r="G36" t="s">
        <v>2763</v>
      </c>
      <c r="H36">
        <v>1614</v>
      </c>
      <c r="I36">
        <v>1</v>
      </c>
      <c r="J36" t="s">
        <v>1720</v>
      </c>
      <c r="K36" s="5">
        <v>45860</v>
      </c>
      <c r="L36" s="5">
        <v>46044</v>
      </c>
      <c r="M36">
        <v>7000</v>
      </c>
      <c r="N36">
        <v>7373.85</v>
      </c>
      <c r="O36">
        <v>0</v>
      </c>
      <c r="P36">
        <v>6</v>
      </c>
      <c r="Q36" t="s">
        <v>68</v>
      </c>
      <c r="R36">
        <v>1828.18</v>
      </c>
      <c r="S36">
        <v>348</v>
      </c>
      <c r="T36">
        <v>0</v>
      </c>
      <c r="U36">
        <v>0</v>
      </c>
      <c r="V36">
        <v>0</v>
      </c>
      <c r="W36">
        <v>4915.91</v>
      </c>
      <c r="X36">
        <v>0.01</v>
      </c>
      <c r="Y36">
        <v>0.01</v>
      </c>
      <c r="Z36">
        <v>0</v>
      </c>
      <c r="AA36">
        <v>0</v>
      </c>
      <c r="AB36">
        <v>0</v>
      </c>
      <c r="AC36">
        <v>1828.18</v>
      </c>
      <c r="AD36" s="5">
        <v>45922</v>
      </c>
      <c r="AE36" t="s">
        <v>69</v>
      </c>
      <c r="AF36">
        <v>7205753825</v>
      </c>
      <c r="AG36" t="s">
        <v>1721</v>
      </c>
      <c r="AI36" t="s">
        <v>86</v>
      </c>
      <c r="AJ36">
        <v>8711021</v>
      </c>
      <c r="AK36" t="s">
        <v>1722</v>
      </c>
      <c r="AM36" t="s">
        <v>1723</v>
      </c>
      <c r="AN36">
        <v>7222347937</v>
      </c>
      <c r="AO36" t="s">
        <v>1724</v>
      </c>
      <c r="AP36">
        <v>7224043270</v>
      </c>
      <c r="AQ36" t="s">
        <v>1725</v>
      </c>
      <c r="AR36">
        <v>7292427675</v>
      </c>
      <c r="AY36">
        <v>7080.74</v>
      </c>
      <c r="AZ36">
        <v>0</v>
      </c>
      <c r="BA36">
        <v>1</v>
      </c>
      <c r="BB36" t="s">
        <v>1044</v>
      </c>
      <c r="BC36" t="s">
        <v>3043</v>
      </c>
      <c r="BD36" t="s">
        <v>1726</v>
      </c>
      <c r="BE36" t="s">
        <v>74</v>
      </c>
      <c r="BF36" t="s">
        <v>438</v>
      </c>
      <c r="BG36" t="s">
        <v>1727</v>
      </c>
      <c r="BH36" t="s">
        <v>2715</v>
      </c>
      <c r="BK36">
        <v>0</v>
      </c>
      <c r="BL36">
        <v>0</v>
      </c>
      <c r="BM36" t="s">
        <v>2847</v>
      </c>
    </row>
    <row r="37" spans="1:65" x14ac:dyDescent="0.3">
      <c r="A37">
        <v>1717</v>
      </c>
      <c r="B37" t="s">
        <v>61</v>
      </c>
      <c r="C37" t="s">
        <v>273</v>
      </c>
      <c r="D37">
        <v>43</v>
      </c>
      <c r="E37" t="s">
        <v>599</v>
      </c>
      <c r="F37">
        <v>39</v>
      </c>
      <c r="G37" t="s">
        <v>2763</v>
      </c>
      <c r="H37">
        <v>1717</v>
      </c>
      <c r="I37">
        <v>1</v>
      </c>
      <c r="J37" t="s">
        <v>2662</v>
      </c>
      <c r="K37" s="5">
        <v>45880</v>
      </c>
      <c r="L37" s="5">
        <v>46048</v>
      </c>
      <c r="M37">
        <v>5000.01</v>
      </c>
      <c r="N37">
        <v>5267.04</v>
      </c>
      <c r="O37">
        <v>0</v>
      </c>
      <c r="P37">
        <v>12</v>
      </c>
      <c r="Q37" t="s">
        <v>496</v>
      </c>
      <c r="R37">
        <v>673.4</v>
      </c>
      <c r="S37">
        <v>696</v>
      </c>
      <c r="T37">
        <v>0</v>
      </c>
      <c r="U37">
        <v>4</v>
      </c>
      <c r="V37">
        <v>0</v>
      </c>
      <c r="W37">
        <v>3511.36</v>
      </c>
      <c r="X37">
        <v>0</v>
      </c>
      <c r="Y37">
        <v>0</v>
      </c>
      <c r="Z37">
        <v>0</v>
      </c>
      <c r="AA37">
        <v>0</v>
      </c>
      <c r="AB37">
        <v>0</v>
      </c>
      <c r="AC37">
        <v>673.5</v>
      </c>
      <c r="AD37" s="5">
        <v>45936</v>
      </c>
      <c r="AE37" t="s">
        <v>69</v>
      </c>
      <c r="AF37">
        <v>7224743639</v>
      </c>
      <c r="AG37" t="s">
        <v>2664</v>
      </c>
      <c r="AI37" t="s">
        <v>86</v>
      </c>
      <c r="AJ37">
        <v>8711021</v>
      </c>
      <c r="AK37" t="s">
        <v>2665</v>
      </c>
      <c r="AM37" t="s">
        <v>2666</v>
      </c>
      <c r="AN37">
        <v>7299091105</v>
      </c>
      <c r="AO37" t="s">
        <v>2668</v>
      </c>
      <c r="AP37">
        <v>7223093460</v>
      </c>
      <c r="AQ37" t="s">
        <v>2670</v>
      </c>
      <c r="AR37">
        <v>5664248310</v>
      </c>
      <c r="AY37">
        <v>4922.8100000000004</v>
      </c>
      <c r="AZ37">
        <v>0.4</v>
      </c>
      <c r="BA37">
        <v>1</v>
      </c>
      <c r="BB37" t="s">
        <v>1044</v>
      </c>
      <c r="BC37" t="s">
        <v>3044</v>
      </c>
      <c r="BD37" t="s">
        <v>444</v>
      </c>
      <c r="BE37" t="s">
        <v>74</v>
      </c>
      <c r="BF37" t="s">
        <v>445</v>
      </c>
      <c r="BG37" t="s">
        <v>2672</v>
      </c>
      <c r="BH37" t="s">
        <v>2715</v>
      </c>
      <c r="BK37">
        <v>0</v>
      </c>
      <c r="BL37">
        <v>0</v>
      </c>
      <c r="BM37" t="s">
        <v>2847</v>
      </c>
    </row>
    <row r="38" spans="1:65" x14ac:dyDescent="0.3">
      <c r="A38">
        <v>1518</v>
      </c>
      <c r="B38" t="s">
        <v>61</v>
      </c>
      <c r="C38" t="s">
        <v>273</v>
      </c>
      <c r="D38">
        <v>43</v>
      </c>
      <c r="E38" t="s">
        <v>599</v>
      </c>
      <c r="F38">
        <v>39</v>
      </c>
      <c r="G38" t="s">
        <v>2763</v>
      </c>
      <c r="H38">
        <v>1518</v>
      </c>
      <c r="I38">
        <v>1</v>
      </c>
      <c r="J38" t="s">
        <v>1652</v>
      </c>
      <c r="K38" s="5">
        <v>45853</v>
      </c>
      <c r="L38" s="5">
        <v>46218</v>
      </c>
      <c r="M38">
        <v>10000</v>
      </c>
      <c r="N38">
        <v>10534.08</v>
      </c>
      <c r="O38">
        <v>0</v>
      </c>
      <c r="P38">
        <v>12</v>
      </c>
      <c r="Q38" t="s">
        <v>68</v>
      </c>
      <c r="R38">
        <v>1702.69</v>
      </c>
      <c r="S38">
        <v>696</v>
      </c>
      <c r="T38">
        <v>0</v>
      </c>
      <c r="U38">
        <v>0</v>
      </c>
      <c r="V38">
        <v>0</v>
      </c>
      <c r="W38">
        <v>8778.4</v>
      </c>
      <c r="X38">
        <v>0</v>
      </c>
      <c r="Y38">
        <v>0</v>
      </c>
      <c r="Z38">
        <v>0</v>
      </c>
      <c r="AA38">
        <v>0</v>
      </c>
      <c r="AB38">
        <v>0</v>
      </c>
      <c r="AC38">
        <v>2283</v>
      </c>
      <c r="AD38" s="5">
        <v>45919</v>
      </c>
      <c r="AE38" t="s">
        <v>69</v>
      </c>
      <c r="AF38">
        <v>7298687644</v>
      </c>
      <c r="AG38" t="s">
        <v>1653</v>
      </c>
      <c r="AI38" t="s">
        <v>523</v>
      </c>
      <c r="AJ38">
        <v>6233019</v>
      </c>
      <c r="AK38" t="s">
        <v>1654</v>
      </c>
      <c r="AM38" t="s">
        <v>1655</v>
      </c>
      <c r="AN38">
        <v>7293227308</v>
      </c>
      <c r="AO38" t="s">
        <v>1656</v>
      </c>
      <c r="AP38">
        <v>7202791426</v>
      </c>
      <c r="AQ38" t="s">
        <v>1657</v>
      </c>
      <c r="AR38">
        <v>6633136554</v>
      </c>
      <c r="AY38">
        <v>16446.61</v>
      </c>
      <c r="AZ38">
        <v>0.31</v>
      </c>
      <c r="BA38">
        <v>1</v>
      </c>
      <c r="BB38" t="s">
        <v>1044</v>
      </c>
      <c r="BC38" t="s">
        <v>3045</v>
      </c>
      <c r="BD38" t="s">
        <v>541</v>
      </c>
      <c r="BE38" t="s">
        <v>74</v>
      </c>
      <c r="BF38" t="s">
        <v>296</v>
      </c>
      <c r="BG38" t="s">
        <v>1658</v>
      </c>
      <c r="BH38" t="s">
        <v>2715</v>
      </c>
      <c r="BK38">
        <v>1</v>
      </c>
      <c r="BL38">
        <v>1</v>
      </c>
      <c r="BM38" t="s">
        <v>2847</v>
      </c>
    </row>
    <row r="39" spans="1:65" x14ac:dyDescent="0.3">
      <c r="A39">
        <v>1532</v>
      </c>
      <c r="B39" t="s">
        <v>61</v>
      </c>
      <c r="C39" t="s">
        <v>273</v>
      </c>
      <c r="D39">
        <v>43</v>
      </c>
      <c r="E39" t="s">
        <v>599</v>
      </c>
      <c r="F39">
        <v>39</v>
      </c>
      <c r="G39" t="s">
        <v>2763</v>
      </c>
      <c r="H39">
        <v>1532</v>
      </c>
      <c r="I39">
        <v>1</v>
      </c>
      <c r="J39" t="s">
        <v>1632</v>
      </c>
      <c r="K39" s="5">
        <v>45853</v>
      </c>
      <c r="L39" s="5">
        <v>46037</v>
      </c>
      <c r="M39">
        <v>5000</v>
      </c>
      <c r="N39">
        <v>5267.04</v>
      </c>
      <c r="O39">
        <v>0</v>
      </c>
      <c r="P39">
        <v>6</v>
      </c>
      <c r="Q39" t="s">
        <v>68</v>
      </c>
      <c r="R39">
        <v>1322.42</v>
      </c>
      <c r="S39">
        <v>348</v>
      </c>
      <c r="T39">
        <v>0</v>
      </c>
      <c r="U39">
        <v>0</v>
      </c>
      <c r="V39">
        <v>0</v>
      </c>
      <c r="W39">
        <v>3511.36</v>
      </c>
      <c r="X39">
        <v>0</v>
      </c>
      <c r="Y39">
        <v>0</v>
      </c>
      <c r="Z39">
        <v>0</v>
      </c>
      <c r="AA39">
        <v>0</v>
      </c>
      <c r="AB39">
        <v>0</v>
      </c>
      <c r="AC39">
        <v>1322.42</v>
      </c>
      <c r="AD39" s="5">
        <v>45915</v>
      </c>
      <c r="AE39" t="s">
        <v>69</v>
      </c>
      <c r="AF39">
        <v>7202791426</v>
      </c>
      <c r="AG39" t="s">
        <v>1633</v>
      </c>
      <c r="AI39" t="s">
        <v>324</v>
      </c>
      <c r="AJ39">
        <v>2093011</v>
      </c>
      <c r="AK39" t="s">
        <v>1634</v>
      </c>
      <c r="AM39" t="s">
        <v>1635</v>
      </c>
      <c r="AN39">
        <v>7223770966</v>
      </c>
      <c r="AO39" t="s">
        <v>1636</v>
      </c>
      <c r="AP39">
        <v>7202108671</v>
      </c>
      <c r="AQ39" t="s">
        <v>1637</v>
      </c>
      <c r="AR39">
        <v>5655705804</v>
      </c>
      <c r="AY39">
        <v>5057.66</v>
      </c>
      <c r="AZ39">
        <v>0.01</v>
      </c>
      <c r="BA39">
        <v>1</v>
      </c>
      <c r="BB39" t="s">
        <v>1044</v>
      </c>
      <c r="BC39" t="s">
        <v>3046</v>
      </c>
      <c r="BD39" t="s">
        <v>541</v>
      </c>
      <c r="BE39" t="s">
        <v>74</v>
      </c>
      <c r="BF39" t="s">
        <v>296</v>
      </c>
      <c r="BG39" t="s">
        <v>1638</v>
      </c>
      <c r="BH39" t="s">
        <v>2715</v>
      </c>
      <c r="BK39">
        <v>0</v>
      </c>
      <c r="BL39">
        <v>0</v>
      </c>
      <c r="BM39" t="s">
        <v>2847</v>
      </c>
    </row>
    <row r="40" spans="1:65" x14ac:dyDescent="0.3">
      <c r="A40">
        <v>1477</v>
      </c>
      <c r="B40" t="s">
        <v>61</v>
      </c>
      <c r="C40" t="s">
        <v>273</v>
      </c>
      <c r="D40">
        <v>43</v>
      </c>
      <c r="E40" t="s">
        <v>599</v>
      </c>
      <c r="F40">
        <v>39</v>
      </c>
      <c r="G40" t="s">
        <v>2763</v>
      </c>
      <c r="H40">
        <v>1477</v>
      </c>
      <c r="I40">
        <v>1</v>
      </c>
      <c r="J40" t="s">
        <v>1770</v>
      </c>
      <c r="K40" s="5">
        <v>45862</v>
      </c>
      <c r="L40" s="5">
        <v>46046</v>
      </c>
      <c r="M40">
        <v>10000</v>
      </c>
      <c r="N40">
        <v>10534.08</v>
      </c>
      <c r="O40">
        <v>0</v>
      </c>
      <c r="P40">
        <v>6</v>
      </c>
      <c r="Q40" t="s">
        <v>68</v>
      </c>
      <c r="R40">
        <v>2586.83</v>
      </c>
      <c r="S40">
        <v>348</v>
      </c>
      <c r="T40">
        <v>0</v>
      </c>
      <c r="U40">
        <v>0</v>
      </c>
      <c r="V40">
        <v>0</v>
      </c>
      <c r="W40">
        <v>7022.72</v>
      </c>
      <c r="X40">
        <v>0</v>
      </c>
      <c r="Y40">
        <v>0</v>
      </c>
      <c r="Z40">
        <v>0</v>
      </c>
      <c r="AA40">
        <v>0</v>
      </c>
      <c r="AB40">
        <v>0</v>
      </c>
      <c r="AC40">
        <v>2350</v>
      </c>
      <c r="AD40" s="5">
        <v>45926</v>
      </c>
      <c r="AE40" t="s">
        <v>69</v>
      </c>
      <c r="AF40">
        <v>7225884698</v>
      </c>
      <c r="AG40" t="s">
        <v>1771</v>
      </c>
      <c r="AI40" t="s">
        <v>86</v>
      </c>
      <c r="AJ40">
        <v>8711021</v>
      </c>
      <c r="AM40" t="s">
        <v>1772</v>
      </c>
      <c r="AN40">
        <v>7221387590</v>
      </c>
      <c r="AO40" t="s">
        <v>1773</v>
      </c>
      <c r="AP40">
        <v>5615565750</v>
      </c>
      <c r="AQ40" t="s">
        <v>1774</v>
      </c>
      <c r="AR40">
        <v>7226820135</v>
      </c>
      <c r="AY40">
        <v>10099.01</v>
      </c>
      <c r="AZ40">
        <v>16.330692266666659</v>
      </c>
      <c r="BA40">
        <v>1</v>
      </c>
      <c r="BB40" t="s">
        <v>1044</v>
      </c>
      <c r="BC40" t="s">
        <v>3047</v>
      </c>
      <c r="BD40" t="s">
        <v>1021</v>
      </c>
      <c r="BE40" t="s">
        <v>74</v>
      </c>
      <c r="BF40" t="s">
        <v>204</v>
      </c>
      <c r="BG40" t="s">
        <v>1775</v>
      </c>
      <c r="BH40" t="s">
        <v>2715</v>
      </c>
      <c r="BK40">
        <v>2</v>
      </c>
      <c r="BL40">
        <v>2</v>
      </c>
      <c r="BM40" t="s">
        <v>2847</v>
      </c>
    </row>
    <row r="41" spans="1:65" x14ac:dyDescent="0.3">
      <c r="A41">
        <v>1503</v>
      </c>
      <c r="B41" t="s">
        <v>61</v>
      </c>
      <c r="C41" t="s">
        <v>273</v>
      </c>
      <c r="D41">
        <v>43</v>
      </c>
      <c r="E41" t="s">
        <v>599</v>
      </c>
      <c r="F41">
        <v>39</v>
      </c>
      <c r="G41" t="s">
        <v>2763</v>
      </c>
      <c r="H41">
        <v>1503</v>
      </c>
      <c r="I41">
        <v>1</v>
      </c>
      <c r="J41" t="s">
        <v>1728</v>
      </c>
      <c r="K41" s="5">
        <v>45860</v>
      </c>
      <c r="L41" s="5">
        <v>46044</v>
      </c>
      <c r="M41">
        <v>5000</v>
      </c>
      <c r="N41">
        <v>5267.04</v>
      </c>
      <c r="O41">
        <v>0</v>
      </c>
      <c r="P41">
        <v>6</v>
      </c>
      <c r="Q41" t="s">
        <v>68</v>
      </c>
      <c r="R41">
        <v>1322.42</v>
      </c>
      <c r="S41">
        <v>348</v>
      </c>
      <c r="T41">
        <v>0</v>
      </c>
      <c r="U41">
        <v>0</v>
      </c>
      <c r="V41">
        <v>0</v>
      </c>
      <c r="W41">
        <v>3511.36</v>
      </c>
      <c r="X41">
        <v>0</v>
      </c>
      <c r="Y41">
        <v>0</v>
      </c>
      <c r="Z41">
        <v>0</v>
      </c>
      <c r="AA41">
        <v>0</v>
      </c>
      <c r="AB41">
        <v>0</v>
      </c>
      <c r="AC41">
        <v>1322.42</v>
      </c>
      <c r="AD41" s="5">
        <v>45922</v>
      </c>
      <c r="AE41" t="s">
        <v>69</v>
      </c>
      <c r="AF41">
        <v>7294569713</v>
      </c>
      <c r="AG41" t="s">
        <v>1729</v>
      </c>
      <c r="AI41" t="s">
        <v>307</v>
      </c>
      <c r="AJ41">
        <v>2921056</v>
      </c>
      <c r="AM41" t="s">
        <v>1730</v>
      </c>
      <c r="AN41">
        <v>7225674101</v>
      </c>
      <c r="AO41" t="s">
        <v>1731</v>
      </c>
      <c r="AP41">
        <v>7206426174</v>
      </c>
      <c r="AQ41" t="s">
        <v>1732</v>
      </c>
      <c r="AR41">
        <v>7229242971</v>
      </c>
      <c r="AY41">
        <v>5057.66</v>
      </c>
      <c r="AZ41">
        <v>0.01</v>
      </c>
      <c r="BA41">
        <v>1</v>
      </c>
      <c r="BB41" t="s">
        <v>1044</v>
      </c>
      <c r="BC41" t="s">
        <v>1733</v>
      </c>
      <c r="BD41" t="s">
        <v>541</v>
      </c>
      <c r="BE41" t="s">
        <v>74</v>
      </c>
      <c r="BF41" t="s">
        <v>296</v>
      </c>
      <c r="BG41" t="s">
        <v>1734</v>
      </c>
      <c r="BH41" t="s">
        <v>2715</v>
      </c>
      <c r="BK41">
        <v>0</v>
      </c>
      <c r="BL41">
        <v>0</v>
      </c>
      <c r="BM41" t="s">
        <v>2847</v>
      </c>
    </row>
    <row r="42" spans="1:65" x14ac:dyDescent="0.3">
      <c r="A42">
        <v>1345</v>
      </c>
      <c r="B42" t="s">
        <v>61</v>
      </c>
      <c r="C42" t="s">
        <v>273</v>
      </c>
      <c r="D42">
        <v>43</v>
      </c>
      <c r="E42" t="s">
        <v>599</v>
      </c>
      <c r="F42">
        <v>39</v>
      </c>
      <c r="G42" t="s">
        <v>2763</v>
      </c>
      <c r="H42">
        <v>1345</v>
      </c>
      <c r="I42">
        <v>1</v>
      </c>
      <c r="J42" t="s">
        <v>685</v>
      </c>
      <c r="K42" s="5">
        <v>45806</v>
      </c>
      <c r="L42" s="5">
        <v>45974</v>
      </c>
      <c r="M42">
        <v>5000.01</v>
      </c>
      <c r="N42">
        <v>5267.04</v>
      </c>
      <c r="O42">
        <v>0</v>
      </c>
      <c r="P42">
        <v>12</v>
      </c>
      <c r="Q42" t="s">
        <v>496</v>
      </c>
      <c r="R42">
        <v>673.4</v>
      </c>
      <c r="S42">
        <v>696</v>
      </c>
      <c r="T42">
        <v>0</v>
      </c>
      <c r="U42">
        <v>9</v>
      </c>
      <c r="V42">
        <v>0</v>
      </c>
      <c r="W42">
        <v>1316.77</v>
      </c>
      <c r="X42">
        <v>0.01</v>
      </c>
      <c r="Y42">
        <v>0.01</v>
      </c>
      <c r="Z42">
        <v>0</v>
      </c>
      <c r="AA42">
        <v>0</v>
      </c>
      <c r="AB42">
        <v>0</v>
      </c>
      <c r="AC42">
        <v>673.4</v>
      </c>
      <c r="AD42" s="5">
        <v>45930</v>
      </c>
      <c r="AE42" t="s">
        <v>69</v>
      </c>
      <c r="AF42">
        <v>7225170625</v>
      </c>
      <c r="AG42" t="s">
        <v>686</v>
      </c>
      <c r="AI42" t="s">
        <v>192</v>
      </c>
      <c r="AJ42">
        <v>9501009</v>
      </c>
      <c r="AM42" t="s">
        <v>982</v>
      </c>
      <c r="AN42">
        <v>7224937877</v>
      </c>
      <c r="AO42" t="s">
        <v>980</v>
      </c>
      <c r="AP42">
        <v>7223935032</v>
      </c>
      <c r="AQ42" t="s">
        <v>981</v>
      </c>
      <c r="AR42">
        <v>7297667772</v>
      </c>
      <c r="AY42">
        <v>1846.21</v>
      </c>
      <c r="AZ42">
        <v>0</v>
      </c>
      <c r="BA42">
        <v>1</v>
      </c>
      <c r="BB42" t="s">
        <v>1044</v>
      </c>
      <c r="BC42" t="s">
        <v>3048</v>
      </c>
      <c r="BD42" t="s">
        <v>687</v>
      </c>
      <c r="BE42" t="s">
        <v>74</v>
      </c>
      <c r="BF42" t="s">
        <v>273</v>
      </c>
      <c r="BH42" t="s">
        <v>2715</v>
      </c>
      <c r="BK42">
        <v>0</v>
      </c>
      <c r="BL42">
        <v>0</v>
      </c>
      <c r="BM42" t="s">
        <v>2847</v>
      </c>
    </row>
    <row r="43" spans="1:65" x14ac:dyDescent="0.3">
      <c r="A43">
        <v>1351</v>
      </c>
      <c r="B43" t="s">
        <v>61</v>
      </c>
      <c r="C43" t="s">
        <v>273</v>
      </c>
      <c r="D43">
        <v>43</v>
      </c>
      <c r="E43" t="s">
        <v>599</v>
      </c>
      <c r="F43">
        <v>39</v>
      </c>
      <c r="G43" t="s">
        <v>2763</v>
      </c>
      <c r="H43">
        <v>1351</v>
      </c>
      <c r="I43">
        <v>1</v>
      </c>
      <c r="J43" t="s">
        <v>688</v>
      </c>
      <c r="K43" s="5">
        <v>45806</v>
      </c>
      <c r="L43" s="5">
        <v>45990</v>
      </c>
      <c r="M43">
        <v>5000</v>
      </c>
      <c r="N43">
        <v>5267.04</v>
      </c>
      <c r="O43">
        <v>0</v>
      </c>
      <c r="P43">
        <v>6</v>
      </c>
      <c r="Q43" t="s">
        <v>68</v>
      </c>
      <c r="R43">
        <v>1322.42</v>
      </c>
      <c r="S43">
        <v>348</v>
      </c>
      <c r="T43">
        <v>0</v>
      </c>
      <c r="U43">
        <v>0</v>
      </c>
      <c r="V43">
        <v>0</v>
      </c>
      <c r="W43">
        <v>1755.68</v>
      </c>
      <c r="X43">
        <v>0</v>
      </c>
      <c r="Y43">
        <v>0</v>
      </c>
      <c r="Z43">
        <v>0</v>
      </c>
      <c r="AA43">
        <v>0</v>
      </c>
      <c r="AB43">
        <v>0</v>
      </c>
      <c r="AC43">
        <v>1323</v>
      </c>
      <c r="AD43" s="5">
        <v>45929</v>
      </c>
      <c r="AE43" t="s">
        <v>69</v>
      </c>
      <c r="AF43">
        <v>7131151162</v>
      </c>
      <c r="AG43" t="s">
        <v>689</v>
      </c>
      <c r="AI43" t="s">
        <v>192</v>
      </c>
      <c r="AJ43">
        <v>9501009</v>
      </c>
      <c r="AM43" t="s">
        <v>985</v>
      </c>
      <c r="AN43">
        <v>7296000227</v>
      </c>
      <c r="AO43" t="s">
        <v>983</v>
      </c>
      <c r="AP43">
        <v>7223561881</v>
      </c>
      <c r="AQ43" t="s">
        <v>984</v>
      </c>
      <c r="AR43">
        <v>7226076514</v>
      </c>
      <c r="AY43">
        <v>2526.5</v>
      </c>
      <c r="AZ43">
        <v>2.3306922666666701</v>
      </c>
      <c r="BA43">
        <v>1</v>
      </c>
      <c r="BB43" t="s">
        <v>1044</v>
      </c>
      <c r="BC43" t="s">
        <v>3049</v>
      </c>
      <c r="BD43" t="s">
        <v>690</v>
      </c>
      <c r="BE43" t="s">
        <v>74</v>
      </c>
      <c r="BF43" t="s">
        <v>691</v>
      </c>
      <c r="BH43" t="s">
        <v>2715</v>
      </c>
      <c r="BK43">
        <v>0</v>
      </c>
      <c r="BL43">
        <v>0</v>
      </c>
      <c r="BM43" t="s">
        <v>2847</v>
      </c>
    </row>
    <row r="44" spans="1:65" x14ac:dyDescent="0.3">
      <c r="A44">
        <v>1358</v>
      </c>
      <c r="B44" t="s">
        <v>61</v>
      </c>
      <c r="C44" t="s">
        <v>273</v>
      </c>
      <c r="D44">
        <v>43</v>
      </c>
      <c r="E44" t="s">
        <v>599</v>
      </c>
      <c r="F44">
        <v>39</v>
      </c>
      <c r="G44" t="s">
        <v>2763</v>
      </c>
      <c r="H44">
        <v>1358</v>
      </c>
      <c r="I44">
        <v>1</v>
      </c>
      <c r="J44" t="s">
        <v>986</v>
      </c>
      <c r="K44" s="5">
        <v>45807</v>
      </c>
      <c r="L44" s="5">
        <v>45993</v>
      </c>
      <c r="M44">
        <v>5000</v>
      </c>
      <c r="N44">
        <v>5267.04</v>
      </c>
      <c r="O44">
        <v>0</v>
      </c>
      <c r="P44">
        <v>6</v>
      </c>
      <c r="Q44" t="s">
        <v>68</v>
      </c>
      <c r="R44">
        <v>1326.6200000000001</v>
      </c>
      <c r="S44">
        <v>348</v>
      </c>
      <c r="T44">
        <v>0</v>
      </c>
      <c r="U44">
        <v>0</v>
      </c>
      <c r="V44">
        <v>0</v>
      </c>
      <c r="W44">
        <v>1755.92</v>
      </c>
      <c r="X44">
        <v>0.24</v>
      </c>
      <c r="Y44">
        <v>0.24</v>
      </c>
      <c r="Z44">
        <v>0</v>
      </c>
      <c r="AA44">
        <v>0</v>
      </c>
      <c r="AB44">
        <v>0</v>
      </c>
      <c r="AC44">
        <v>1326.6200000000001</v>
      </c>
      <c r="AD44" s="5">
        <v>45931</v>
      </c>
      <c r="AE44" t="s">
        <v>69</v>
      </c>
      <c r="AF44">
        <v>7207190075</v>
      </c>
      <c r="AG44" t="s">
        <v>987</v>
      </c>
      <c r="AI44" t="s">
        <v>192</v>
      </c>
      <c r="AJ44">
        <v>9501009</v>
      </c>
      <c r="AM44" t="s">
        <v>988</v>
      </c>
      <c r="AN44">
        <v>7223026661</v>
      </c>
      <c r="AO44" t="s">
        <v>989</v>
      </c>
      <c r="AP44">
        <v>7299981731</v>
      </c>
      <c r="AQ44" t="s">
        <v>990</v>
      </c>
      <c r="AR44">
        <v>7293272452</v>
      </c>
      <c r="AY44">
        <v>2537.48</v>
      </c>
      <c r="AZ44">
        <v>0</v>
      </c>
      <c r="BA44">
        <v>1</v>
      </c>
      <c r="BB44" t="s">
        <v>1044</v>
      </c>
      <c r="BC44" t="s">
        <v>3050</v>
      </c>
      <c r="BD44" t="s">
        <v>506</v>
      </c>
      <c r="BE44" t="s">
        <v>74</v>
      </c>
      <c r="BF44" t="s">
        <v>273</v>
      </c>
      <c r="BH44" t="s">
        <v>2715</v>
      </c>
      <c r="BK44">
        <v>1</v>
      </c>
      <c r="BL44">
        <v>1</v>
      </c>
      <c r="BM44" t="s">
        <v>2847</v>
      </c>
    </row>
    <row r="45" spans="1:65" x14ac:dyDescent="0.3">
      <c r="A45">
        <v>1359</v>
      </c>
      <c r="B45" t="s">
        <v>61</v>
      </c>
      <c r="C45" t="s">
        <v>273</v>
      </c>
      <c r="D45">
        <v>43</v>
      </c>
      <c r="E45" t="s">
        <v>599</v>
      </c>
      <c r="F45">
        <v>39</v>
      </c>
      <c r="G45" t="s">
        <v>2763</v>
      </c>
      <c r="H45">
        <v>1359</v>
      </c>
      <c r="I45">
        <v>1</v>
      </c>
      <c r="J45" t="s">
        <v>1024</v>
      </c>
      <c r="K45" s="5">
        <v>45807</v>
      </c>
      <c r="L45" s="5">
        <v>45993</v>
      </c>
      <c r="M45">
        <v>10000</v>
      </c>
      <c r="N45">
        <v>10534.08</v>
      </c>
      <c r="O45">
        <v>0</v>
      </c>
      <c r="P45">
        <v>6</v>
      </c>
      <c r="Q45" t="s">
        <v>68</v>
      </c>
      <c r="R45">
        <v>2595.2400000000002</v>
      </c>
      <c r="S45">
        <v>348</v>
      </c>
      <c r="T45">
        <v>0</v>
      </c>
      <c r="U45">
        <v>0</v>
      </c>
      <c r="V45">
        <v>0</v>
      </c>
      <c r="W45">
        <v>3511.36</v>
      </c>
      <c r="X45">
        <v>0</v>
      </c>
      <c r="Y45">
        <v>0</v>
      </c>
      <c r="Z45">
        <v>0</v>
      </c>
      <c r="AA45">
        <v>0</v>
      </c>
      <c r="AB45">
        <v>0</v>
      </c>
      <c r="AC45">
        <v>2595</v>
      </c>
      <c r="AD45" s="5">
        <v>45931</v>
      </c>
      <c r="AE45" t="s">
        <v>69</v>
      </c>
      <c r="AF45">
        <v>7291158321</v>
      </c>
      <c r="AG45" t="s">
        <v>1025</v>
      </c>
      <c r="AI45" t="s">
        <v>523</v>
      </c>
      <c r="AJ45">
        <v>6233019</v>
      </c>
      <c r="AM45" t="s">
        <v>1026</v>
      </c>
      <c r="AN45">
        <v>7224938662</v>
      </c>
      <c r="AO45" t="s">
        <v>1027</v>
      </c>
      <c r="AP45">
        <v>7223472593</v>
      </c>
      <c r="AQ45" t="s">
        <v>1028</v>
      </c>
      <c r="AR45">
        <v>7223193970</v>
      </c>
      <c r="AY45">
        <v>5069.43</v>
      </c>
      <c r="AZ45">
        <v>5.05</v>
      </c>
      <c r="BA45">
        <v>1</v>
      </c>
      <c r="BB45" t="s">
        <v>1044</v>
      </c>
      <c r="BC45" t="s">
        <v>3051</v>
      </c>
      <c r="BD45" t="s">
        <v>1029</v>
      </c>
      <c r="BE45" t="s">
        <v>74</v>
      </c>
      <c r="BF45" t="s">
        <v>204</v>
      </c>
      <c r="BH45" t="s">
        <v>2715</v>
      </c>
      <c r="BK45">
        <v>0</v>
      </c>
      <c r="BL45">
        <v>0</v>
      </c>
      <c r="BM45" t="s">
        <v>2847</v>
      </c>
    </row>
    <row r="46" spans="1:65" x14ac:dyDescent="0.3">
      <c r="A46">
        <v>1249</v>
      </c>
      <c r="B46" t="s">
        <v>61</v>
      </c>
      <c r="C46" t="s">
        <v>273</v>
      </c>
      <c r="D46">
        <v>37</v>
      </c>
      <c r="E46" t="s">
        <v>409</v>
      </c>
      <c r="F46">
        <v>39</v>
      </c>
      <c r="G46" t="s">
        <v>2763</v>
      </c>
      <c r="H46">
        <v>1249</v>
      </c>
      <c r="I46">
        <v>1</v>
      </c>
      <c r="J46" t="s">
        <v>386</v>
      </c>
      <c r="K46" s="5">
        <v>45761</v>
      </c>
      <c r="L46" s="5">
        <v>46126</v>
      </c>
      <c r="M46">
        <v>250000</v>
      </c>
      <c r="N46">
        <v>250000</v>
      </c>
      <c r="O46">
        <v>0</v>
      </c>
      <c r="P46">
        <v>12</v>
      </c>
      <c r="Q46" t="s">
        <v>68</v>
      </c>
      <c r="R46">
        <v>26896.28</v>
      </c>
      <c r="S46">
        <v>0</v>
      </c>
      <c r="T46">
        <v>0</v>
      </c>
      <c r="U46">
        <v>0</v>
      </c>
      <c r="V46">
        <v>1</v>
      </c>
      <c r="W46">
        <v>160443.29</v>
      </c>
      <c r="X46">
        <v>26315.54</v>
      </c>
      <c r="Y46">
        <v>20211.14</v>
      </c>
      <c r="Z46">
        <v>6104.4000000000005</v>
      </c>
      <c r="AA46">
        <v>0</v>
      </c>
      <c r="AB46">
        <v>0</v>
      </c>
      <c r="AC46">
        <v>27477</v>
      </c>
      <c r="AD46" s="5">
        <v>45917</v>
      </c>
      <c r="AE46" t="s">
        <v>69</v>
      </c>
      <c r="AF46">
        <v>5529680097</v>
      </c>
      <c r="AG46" t="s">
        <v>412</v>
      </c>
      <c r="AI46" t="s">
        <v>387</v>
      </c>
      <c r="AJ46">
        <v>8400002</v>
      </c>
      <c r="AK46" t="s">
        <v>388</v>
      </c>
      <c r="AY46">
        <v>166547.69</v>
      </c>
      <c r="AZ46">
        <v>0</v>
      </c>
      <c r="BA46">
        <v>1</v>
      </c>
      <c r="BB46" t="s">
        <v>281</v>
      </c>
      <c r="BC46" t="s">
        <v>389</v>
      </c>
      <c r="BD46" t="s">
        <v>390</v>
      </c>
      <c r="BE46" t="s">
        <v>74</v>
      </c>
      <c r="BF46" t="s">
        <v>391</v>
      </c>
      <c r="BH46" t="s">
        <v>2715</v>
      </c>
      <c r="BK46">
        <v>2</v>
      </c>
      <c r="BL46">
        <v>2</v>
      </c>
      <c r="BM46" t="s">
        <v>2847</v>
      </c>
    </row>
    <row r="47" spans="1:65" x14ac:dyDescent="0.3">
      <c r="A47">
        <v>1178</v>
      </c>
      <c r="B47" t="s">
        <v>61</v>
      </c>
      <c r="C47" t="s">
        <v>273</v>
      </c>
      <c r="D47">
        <v>24</v>
      </c>
      <c r="E47" t="s">
        <v>287</v>
      </c>
      <c r="F47">
        <v>39</v>
      </c>
      <c r="G47" t="s">
        <v>2763</v>
      </c>
      <c r="H47">
        <v>1178</v>
      </c>
      <c r="I47">
        <v>1</v>
      </c>
      <c r="J47" t="s">
        <v>326</v>
      </c>
      <c r="K47" s="5">
        <v>45688</v>
      </c>
      <c r="L47" s="5">
        <v>46054</v>
      </c>
      <c r="M47">
        <v>25000</v>
      </c>
      <c r="N47">
        <v>26335.190000000002</v>
      </c>
      <c r="O47">
        <v>0</v>
      </c>
      <c r="P47">
        <v>12</v>
      </c>
      <c r="Q47" t="s">
        <v>68</v>
      </c>
      <c r="R47">
        <v>3764.55</v>
      </c>
      <c r="S47">
        <v>696</v>
      </c>
      <c r="T47">
        <v>0</v>
      </c>
      <c r="U47">
        <v>0</v>
      </c>
      <c r="V47">
        <v>0</v>
      </c>
      <c r="W47">
        <v>11981.880000000001</v>
      </c>
      <c r="X47">
        <v>0</v>
      </c>
      <c r="Y47">
        <v>0</v>
      </c>
      <c r="Z47">
        <v>0</v>
      </c>
      <c r="AA47">
        <v>0</v>
      </c>
      <c r="AB47">
        <v>0</v>
      </c>
      <c r="AC47">
        <v>3765</v>
      </c>
      <c r="AD47" s="5">
        <v>45930</v>
      </c>
      <c r="AE47" t="s">
        <v>69</v>
      </c>
      <c r="AF47">
        <v>7221275343</v>
      </c>
      <c r="AG47" t="s">
        <v>327</v>
      </c>
      <c r="AI47" t="s">
        <v>328</v>
      </c>
      <c r="AJ47">
        <v>9900907</v>
      </c>
      <c r="AM47" t="s">
        <v>945</v>
      </c>
      <c r="AN47">
        <v>7227957483</v>
      </c>
      <c r="AO47" t="s">
        <v>943</v>
      </c>
      <c r="AP47">
        <v>7712313255</v>
      </c>
      <c r="AQ47" t="s">
        <v>944</v>
      </c>
      <c r="AR47">
        <v>5549137949</v>
      </c>
      <c r="AS47" t="s">
        <v>122</v>
      </c>
      <c r="AT47" t="s">
        <v>330</v>
      </c>
      <c r="AU47" t="s">
        <v>331</v>
      </c>
      <c r="AY47">
        <v>11978.28</v>
      </c>
      <c r="AZ47">
        <v>3.6</v>
      </c>
      <c r="BA47">
        <v>4</v>
      </c>
      <c r="BB47" t="s">
        <v>136</v>
      </c>
      <c r="BC47" t="s">
        <v>332</v>
      </c>
      <c r="BD47" t="s">
        <v>333</v>
      </c>
      <c r="BE47" t="s">
        <v>74</v>
      </c>
      <c r="BF47" t="s">
        <v>334</v>
      </c>
      <c r="BH47" t="s">
        <v>2715</v>
      </c>
      <c r="BK47">
        <v>0</v>
      </c>
      <c r="BL47">
        <v>0</v>
      </c>
      <c r="BM47" t="s">
        <v>2847</v>
      </c>
    </row>
    <row r="48" spans="1:65" x14ac:dyDescent="0.3">
      <c r="A48">
        <v>1287</v>
      </c>
      <c r="B48" t="s">
        <v>61</v>
      </c>
      <c r="C48" t="s">
        <v>273</v>
      </c>
      <c r="D48">
        <v>37</v>
      </c>
      <c r="E48" t="s">
        <v>409</v>
      </c>
      <c r="F48">
        <v>39</v>
      </c>
      <c r="G48" t="s">
        <v>2763</v>
      </c>
      <c r="H48">
        <v>1287</v>
      </c>
      <c r="I48">
        <v>1</v>
      </c>
      <c r="J48" t="s">
        <v>515</v>
      </c>
      <c r="K48" s="5">
        <v>45777</v>
      </c>
      <c r="L48" s="5">
        <v>46142</v>
      </c>
      <c r="M48">
        <v>20000</v>
      </c>
      <c r="N48">
        <v>21068.16</v>
      </c>
      <c r="O48">
        <v>0</v>
      </c>
      <c r="P48">
        <v>12</v>
      </c>
      <c r="Q48" t="s">
        <v>68</v>
      </c>
      <c r="R48">
        <v>3347.38</v>
      </c>
      <c r="S48">
        <v>696</v>
      </c>
      <c r="T48">
        <v>0</v>
      </c>
      <c r="U48">
        <v>0</v>
      </c>
      <c r="V48">
        <v>0</v>
      </c>
      <c r="W48">
        <v>12289.76</v>
      </c>
      <c r="X48">
        <v>0</v>
      </c>
      <c r="Y48">
        <v>0</v>
      </c>
      <c r="Z48">
        <v>0</v>
      </c>
      <c r="AA48">
        <v>0</v>
      </c>
      <c r="AB48">
        <v>0</v>
      </c>
      <c r="AC48">
        <v>3350</v>
      </c>
      <c r="AD48" s="5">
        <v>45930</v>
      </c>
      <c r="AE48" t="s">
        <v>69</v>
      </c>
      <c r="AF48">
        <v>7297349018</v>
      </c>
      <c r="AG48" t="s">
        <v>504</v>
      </c>
      <c r="AI48" t="s">
        <v>283</v>
      </c>
      <c r="AJ48">
        <v>8944098</v>
      </c>
      <c r="AK48" t="s">
        <v>505</v>
      </c>
      <c r="AM48" t="s">
        <v>963</v>
      </c>
      <c r="AN48">
        <v>7121912619</v>
      </c>
      <c r="AO48" t="s">
        <v>961</v>
      </c>
      <c r="AP48">
        <v>7201041413</v>
      </c>
      <c r="AQ48" t="s">
        <v>962</v>
      </c>
      <c r="AR48">
        <v>7299200772</v>
      </c>
      <c r="AY48">
        <v>23018.600000000002</v>
      </c>
      <c r="AZ48">
        <v>7.0823733333333294</v>
      </c>
      <c r="BA48">
        <v>1</v>
      </c>
      <c r="BB48" t="s">
        <v>1044</v>
      </c>
      <c r="BC48" t="s">
        <v>2918</v>
      </c>
      <c r="BD48" t="s">
        <v>506</v>
      </c>
      <c r="BE48" t="s">
        <v>74</v>
      </c>
      <c r="BF48" t="s">
        <v>273</v>
      </c>
      <c r="BH48" t="s">
        <v>2715</v>
      </c>
      <c r="BK48">
        <v>1</v>
      </c>
      <c r="BL48">
        <v>1</v>
      </c>
      <c r="BM48" t="s">
        <v>2847</v>
      </c>
    </row>
    <row r="49" spans="1:65" x14ac:dyDescent="0.3">
      <c r="A49">
        <v>1313</v>
      </c>
      <c r="B49" t="s">
        <v>61</v>
      </c>
      <c r="C49" t="s">
        <v>273</v>
      </c>
      <c r="D49">
        <v>43</v>
      </c>
      <c r="E49" t="s">
        <v>599</v>
      </c>
      <c r="F49">
        <v>39</v>
      </c>
      <c r="G49" t="s">
        <v>2763</v>
      </c>
      <c r="H49">
        <v>1313</v>
      </c>
      <c r="I49">
        <v>1</v>
      </c>
      <c r="J49" t="s">
        <v>583</v>
      </c>
      <c r="K49" s="5">
        <v>45792</v>
      </c>
      <c r="L49" s="5">
        <v>46037</v>
      </c>
      <c r="M49">
        <v>10000</v>
      </c>
      <c r="N49">
        <v>10534.08</v>
      </c>
      <c r="O49">
        <v>0</v>
      </c>
      <c r="P49">
        <v>8</v>
      </c>
      <c r="Q49" t="s">
        <v>68</v>
      </c>
      <c r="R49">
        <v>2146.86</v>
      </c>
      <c r="S49">
        <v>464</v>
      </c>
      <c r="T49">
        <v>0</v>
      </c>
      <c r="U49">
        <v>0</v>
      </c>
      <c r="V49">
        <v>0</v>
      </c>
      <c r="W49">
        <v>5267.26</v>
      </c>
      <c r="X49">
        <v>0.22</v>
      </c>
      <c r="Y49">
        <v>0.22</v>
      </c>
      <c r="Z49">
        <v>0</v>
      </c>
      <c r="AA49">
        <v>0</v>
      </c>
      <c r="AB49">
        <v>0</v>
      </c>
      <c r="AC49">
        <v>2146.66</v>
      </c>
      <c r="AD49" s="5">
        <v>45915</v>
      </c>
      <c r="AE49" t="s">
        <v>69</v>
      </c>
      <c r="AF49">
        <v>7229788589</v>
      </c>
      <c r="AG49" t="s">
        <v>584</v>
      </c>
      <c r="AI49" t="s">
        <v>192</v>
      </c>
      <c r="AJ49">
        <v>9501009</v>
      </c>
      <c r="AM49" t="s">
        <v>993</v>
      </c>
      <c r="AN49">
        <v>7225945025</v>
      </c>
      <c r="AO49" t="s">
        <v>991</v>
      </c>
      <c r="AP49">
        <v>5513968284</v>
      </c>
      <c r="AQ49" t="s">
        <v>992</v>
      </c>
      <c r="AR49">
        <v>7131155537</v>
      </c>
      <c r="AY49">
        <v>8355.67</v>
      </c>
      <c r="AZ49">
        <v>0</v>
      </c>
      <c r="BA49">
        <v>1</v>
      </c>
      <c r="BB49" t="s">
        <v>1044</v>
      </c>
      <c r="BC49" t="s">
        <v>3054</v>
      </c>
      <c r="BD49" t="s">
        <v>600</v>
      </c>
      <c r="BE49" t="s">
        <v>74</v>
      </c>
      <c r="BF49" t="s">
        <v>545</v>
      </c>
      <c r="BH49" t="s">
        <v>2715</v>
      </c>
      <c r="BK49">
        <v>0</v>
      </c>
      <c r="BL49">
        <v>0</v>
      </c>
      <c r="BM49" t="s">
        <v>2847</v>
      </c>
    </row>
    <row r="50" spans="1:65" x14ac:dyDescent="0.3">
      <c r="A50">
        <v>1124</v>
      </c>
      <c r="B50" t="s">
        <v>61</v>
      </c>
      <c r="C50" t="s">
        <v>273</v>
      </c>
      <c r="D50">
        <v>37</v>
      </c>
      <c r="E50" t="s">
        <v>409</v>
      </c>
      <c r="F50">
        <v>39</v>
      </c>
      <c r="G50" t="s">
        <v>2763</v>
      </c>
      <c r="H50">
        <v>1124</v>
      </c>
      <c r="I50">
        <v>2</v>
      </c>
      <c r="J50" t="s">
        <v>596</v>
      </c>
      <c r="K50" s="5">
        <v>45796</v>
      </c>
      <c r="L50" s="5">
        <v>45980</v>
      </c>
      <c r="M50">
        <v>8000</v>
      </c>
      <c r="N50">
        <v>8000</v>
      </c>
      <c r="O50">
        <v>0</v>
      </c>
      <c r="P50">
        <v>6</v>
      </c>
      <c r="Q50" t="s">
        <v>68</v>
      </c>
      <c r="R50">
        <v>1534.39</v>
      </c>
      <c r="S50">
        <v>0</v>
      </c>
      <c r="T50">
        <v>0</v>
      </c>
      <c r="U50">
        <v>0</v>
      </c>
      <c r="V50">
        <v>0</v>
      </c>
      <c r="W50">
        <v>2887.08</v>
      </c>
      <c r="X50">
        <v>0</v>
      </c>
      <c r="Y50">
        <v>0</v>
      </c>
      <c r="Z50">
        <v>0</v>
      </c>
      <c r="AA50">
        <v>0</v>
      </c>
      <c r="AB50">
        <v>0</v>
      </c>
      <c r="AC50">
        <v>1534.39</v>
      </c>
      <c r="AD50" s="5">
        <v>45919</v>
      </c>
      <c r="AE50" t="s">
        <v>69</v>
      </c>
      <c r="AF50">
        <v>7226823285</v>
      </c>
      <c r="AG50" t="s">
        <v>597</v>
      </c>
      <c r="AI50" t="s">
        <v>598</v>
      </c>
      <c r="AJ50">
        <v>9900908</v>
      </c>
      <c r="AM50" t="s">
        <v>948</v>
      </c>
      <c r="AN50">
        <v>7226981804</v>
      </c>
      <c r="AO50" t="s">
        <v>946</v>
      </c>
      <c r="AP50">
        <v>7223699815</v>
      </c>
      <c r="AQ50" t="s">
        <v>947</v>
      </c>
      <c r="AR50">
        <v>7221660937</v>
      </c>
      <c r="AY50">
        <v>2885.86</v>
      </c>
      <c r="AZ50">
        <v>1.22</v>
      </c>
      <c r="BA50">
        <v>1</v>
      </c>
      <c r="BB50" t="s">
        <v>281</v>
      </c>
      <c r="BC50" t="s">
        <v>2951</v>
      </c>
      <c r="BD50" t="s">
        <v>295</v>
      </c>
      <c r="BE50" t="s">
        <v>74</v>
      </c>
      <c r="BF50" t="s">
        <v>296</v>
      </c>
      <c r="BH50" t="s">
        <v>2715</v>
      </c>
      <c r="BK50">
        <v>0</v>
      </c>
      <c r="BL50">
        <v>0</v>
      </c>
      <c r="BM50" t="s">
        <v>2846</v>
      </c>
    </row>
    <row r="51" spans="1:65" x14ac:dyDescent="0.3">
      <c r="A51">
        <v>1252</v>
      </c>
      <c r="B51" t="s">
        <v>61</v>
      </c>
      <c r="C51" t="s">
        <v>273</v>
      </c>
      <c r="D51">
        <v>37</v>
      </c>
      <c r="E51" t="s">
        <v>409</v>
      </c>
      <c r="F51">
        <v>39</v>
      </c>
      <c r="G51" t="s">
        <v>2763</v>
      </c>
      <c r="H51">
        <v>1252</v>
      </c>
      <c r="I51">
        <v>1</v>
      </c>
      <c r="J51" t="s">
        <v>398</v>
      </c>
      <c r="K51" s="5">
        <v>45762</v>
      </c>
      <c r="L51" s="5">
        <v>46127</v>
      </c>
      <c r="M51">
        <v>7000</v>
      </c>
      <c r="N51">
        <v>7373.85</v>
      </c>
      <c r="O51">
        <v>0</v>
      </c>
      <c r="P51">
        <v>12</v>
      </c>
      <c r="Q51" t="s">
        <v>68</v>
      </c>
      <c r="R51">
        <v>1209.28</v>
      </c>
      <c r="S51">
        <v>696</v>
      </c>
      <c r="T51">
        <v>0</v>
      </c>
      <c r="U51">
        <v>0</v>
      </c>
      <c r="V51">
        <v>0</v>
      </c>
      <c r="W51">
        <v>4301.41</v>
      </c>
      <c r="X51">
        <v>0</v>
      </c>
      <c r="Y51">
        <v>0</v>
      </c>
      <c r="Z51">
        <v>0</v>
      </c>
      <c r="AA51">
        <v>0</v>
      </c>
      <c r="AB51">
        <v>0</v>
      </c>
      <c r="AC51">
        <v>1800</v>
      </c>
      <c r="AD51" s="5">
        <v>45924</v>
      </c>
      <c r="AE51" t="s">
        <v>69</v>
      </c>
      <c r="AF51">
        <v>7225950568</v>
      </c>
      <c r="AG51" t="s">
        <v>399</v>
      </c>
      <c r="AI51" t="s">
        <v>400</v>
      </c>
      <c r="AJ51">
        <v>7114010</v>
      </c>
      <c r="AK51" t="s">
        <v>401</v>
      </c>
      <c r="AM51" t="s">
        <v>966</v>
      </c>
      <c r="AN51">
        <v>7224113728</v>
      </c>
      <c r="AO51" t="s">
        <v>964</v>
      </c>
      <c r="AP51">
        <v>7222812657</v>
      </c>
      <c r="AQ51" t="s">
        <v>965</v>
      </c>
      <c r="AR51">
        <v>7205154703</v>
      </c>
      <c r="AY51">
        <v>8035.4000000000005</v>
      </c>
      <c r="AZ51">
        <v>23.583514583333326</v>
      </c>
      <c r="BA51">
        <v>1</v>
      </c>
      <c r="BB51" t="s">
        <v>1044</v>
      </c>
      <c r="BC51" t="s">
        <v>402</v>
      </c>
      <c r="BD51" t="s">
        <v>403</v>
      </c>
      <c r="BE51" t="s">
        <v>74</v>
      </c>
      <c r="BF51" t="s">
        <v>204</v>
      </c>
      <c r="BH51" t="s">
        <v>2715</v>
      </c>
      <c r="BK51">
        <v>2</v>
      </c>
      <c r="BL51">
        <v>1</v>
      </c>
      <c r="BM51" t="s">
        <v>2847</v>
      </c>
    </row>
    <row r="52" spans="1:65" x14ac:dyDescent="0.3">
      <c r="A52">
        <v>1268</v>
      </c>
      <c r="B52" t="s">
        <v>61</v>
      </c>
      <c r="C52" t="s">
        <v>273</v>
      </c>
      <c r="D52">
        <v>37</v>
      </c>
      <c r="E52" t="s">
        <v>409</v>
      </c>
      <c r="F52">
        <v>39</v>
      </c>
      <c r="G52" t="s">
        <v>2763</v>
      </c>
      <c r="H52">
        <v>1268</v>
      </c>
      <c r="I52">
        <v>1</v>
      </c>
      <c r="J52" t="s">
        <v>433</v>
      </c>
      <c r="K52" s="5">
        <v>45770</v>
      </c>
      <c r="L52" s="5">
        <v>46135</v>
      </c>
      <c r="M52">
        <v>25000</v>
      </c>
      <c r="N52">
        <v>26335.190000000002</v>
      </c>
      <c r="O52">
        <v>0</v>
      </c>
      <c r="P52">
        <v>12</v>
      </c>
      <c r="Q52" t="s">
        <v>68</v>
      </c>
      <c r="R52">
        <v>3686.44</v>
      </c>
      <c r="S52">
        <v>696</v>
      </c>
      <c r="T52">
        <v>0</v>
      </c>
      <c r="U52">
        <v>0</v>
      </c>
      <c r="V52">
        <v>0</v>
      </c>
      <c r="W52">
        <v>15362.4</v>
      </c>
      <c r="X52">
        <v>0.20580000000000001</v>
      </c>
      <c r="Y52">
        <v>0.21</v>
      </c>
      <c r="Z52">
        <v>0</v>
      </c>
      <c r="AA52">
        <v>0</v>
      </c>
      <c r="AB52">
        <v>0</v>
      </c>
      <c r="AC52">
        <v>3686</v>
      </c>
      <c r="AD52" s="5">
        <v>45923</v>
      </c>
      <c r="AE52" t="s">
        <v>69</v>
      </c>
      <c r="AF52">
        <v>7223601170</v>
      </c>
      <c r="AG52" t="s">
        <v>434</v>
      </c>
      <c r="AI52" t="s">
        <v>86</v>
      </c>
      <c r="AJ52">
        <v>8711021</v>
      </c>
      <c r="AK52" t="s">
        <v>435</v>
      </c>
      <c r="AM52" t="s">
        <v>969</v>
      </c>
      <c r="AN52">
        <v>7224954244</v>
      </c>
      <c r="AO52" t="s">
        <v>967</v>
      </c>
      <c r="AP52">
        <v>7225767330</v>
      </c>
      <c r="AQ52" t="s">
        <v>968</v>
      </c>
      <c r="AR52">
        <v>7225663418</v>
      </c>
      <c r="AS52" t="s">
        <v>122</v>
      </c>
      <c r="AT52" t="s">
        <v>436</v>
      </c>
      <c r="AU52" t="s">
        <v>134</v>
      </c>
      <c r="AY52">
        <v>25399.29</v>
      </c>
      <c r="AZ52">
        <v>0</v>
      </c>
      <c r="BA52">
        <v>1</v>
      </c>
      <c r="BB52" t="s">
        <v>1044</v>
      </c>
      <c r="BC52" t="s">
        <v>437</v>
      </c>
      <c r="BD52" t="s">
        <v>438</v>
      </c>
      <c r="BE52" t="s">
        <v>74</v>
      </c>
      <c r="BF52" t="s">
        <v>438</v>
      </c>
      <c r="BH52" t="s">
        <v>2715</v>
      </c>
      <c r="BK52">
        <v>0</v>
      </c>
      <c r="BL52">
        <v>0</v>
      </c>
      <c r="BM52" t="s">
        <v>2847</v>
      </c>
    </row>
    <row r="53" spans="1:65" x14ac:dyDescent="0.3">
      <c r="A53">
        <v>1265</v>
      </c>
      <c r="B53" t="s">
        <v>61</v>
      </c>
      <c r="C53" t="s">
        <v>273</v>
      </c>
      <c r="D53">
        <v>37</v>
      </c>
      <c r="E53" t="s">
        <v>409</v>
      </c>
      <c r="F53">
        <v>39</v>
      </c>
      <c r="G53" t="s">
        <v>2763</v>
      </c>
      <c r="H53">
        <v>1265</v>
      </c>
      <c r="I53">
        <v>1</v>
      </c>
      <c r="J53" t="s">
        <v>446</v>
      </c>
      <c r="K53" s="5">
        <v>45770</v>
      </c>
      <c r="L53" s="5">
        <v>46135</v>
      </c>
      <c r="M53">
        <v>7000</v>
      </c>
      <c r="N53">
        <v>7373.85</v>
      </c>
      <c r="O53">
        <v>0</v>
      </c>
      <c r="P53">
        <v>12</v>
      </c>
      <c r="Q53" t="s">
        <v>68</v>
      </c>
      <c r="R53">
        <v>1209.28</v>
      </c>
      <c r="S53">
        <v>696</v>
      </c>
      <c r="T53">
        <v>0</v>
      </c>
      <c r="U53">
        <v>0</v>
      </c>
      <c r="V53">
        <v>0</v>
      </c>
      <c r="W53">
        <v>4301.41</v>
      </c>
      <c r="X53">
        <v>0</v>
      </c>
      <c r="Y53">
        <v>0</v>
      </c>
      <c r="Z53">
        <v>0</v>
      </c>
      <c r="AA53">
        <v>0</v>
      </c>
      <c r="AB53">
        <v>0</v>
      </c>
      <c r="AC53">
        <v>1210</v>
      </c>
      <c r="AD53" s="5">
        <v>45922</v>
      </c>
      <c r="AE53" t="s">
        <v>69</v>
      </c>
      <c r="AF53">
        <v>7293774847</v>
      </c>
      <c r="AG53" t="s">
        <v>447</v>
      </c>
      <c r="AI53" t="s">
        <v>448</v>
      </c>
      <c r="AJ53">
        <v>3212024</v>
      </c>
      <c r="AK53" t="s">
        <v>449</v>
      </c>
      <c r="AM53" t="s">
        <v>976</v>
      </c>
      <c r="AN53">
        <v>7227862042</v>
      </c>
      <c r="AO53" t="s">
        <v>974</v>
      </c>
      <c r="AP53">
        <v>7227862041</v>
      </c>
      <c r="AQ53" t="s">
        <v>975</v>
      </c>
      <c r="AR53">
        <v>7227863490</v>
      </c>
      <c r="AY53">
        <v>8056.12</v>
      </c>
      <c r="AZ53">
        <v>2.86351458333333</v>
      </c>
      <c r="BA53">
        <v>1</v>
      </c>
      <c r="BB53" t="s">
        <v>1044</v>
      </c>
      <c r="BC53" t="s">
        <v>3055</v>
      </c>
      <c r="BD53" t="s">
        <v>450</v>
      </c>
      <c r="BE53" t="s">
        <v>74</v>
      </c>
      <c r="BF53" t="s">
        <v>285</v>
      </c>
      <c r="BH53" t="s">
        <v>2715</v>
      </c>
      <c r="BK53">
        <v>0</v>
      </c>
      <c r="BL53">
        <v>0</v>
      </c>
      <c r="BM53" t="s">
        <v>2847</v>
      </c>
    </row>
    <row r="54" spans="1:65" x14ac:dyDescent="0.3">
      <c r="A54">
        <v>1686</v>
      </c>
      <c r="B54" t="s">
        <v>61</v>
      </c>
      <c r="C54" t="s">
        <v>273</v>
      </c>
      <c r="D54">
        <v>43</v>
      </c>
      <c r="E54" t="s">
        <v>599</v>
      </c>
      <c r="F54">
        <v>39</v>
      </c>
      <c r="G54" t="s">
        <v>2763</v>
      </c>
      <c r="H54">
        <v>1686</v>
      </c>
      <c r="I54">
        <v>1</v>
      </c>
      <c r="J54" t="s">
        <v>2674</v>
      </c>
      <c r="K54" s="5">
        <v>45877</v>
      </c>
      <c r="L54" s="5">
        <v>46045</v>
      </c>
      <c r="M54">
        <v>5000</v>
      </c>
      <c r="N54">
        <v>5267.04</v>
      </c>
      <c r="O54">
        <v>0</v>
      </c>
      <c r="P54">
        <v>12</v>
      </c>
      <c r="Q54" t="s">
        <v>496</v>
      </c>
      <c r="R54">
        <v>673.4</v>
      </c>
      <c r="S54">
        <v>696</v>
      </c>
      <c r="T54">
        <v>0</v>
      </c>
      <c r="U54">
        <v>4</v>
      </c>
      <c r="V54">
        <v>0</v>
      </c>
      <c r="W54">
        <v>3511.36</v>
      </c>
      <c r="X54">
        <v>0</v>
      </c>
      <c r="Y54">
        <v>0</v>
      </c>
      <c r="Z54">
        <v>0</v>
      </c>
      <c r="AA54">
        <v>0</v>
      </c>
      <c r="AB54">
        <v>0</v>
      </c>
      <c r="AC54">
        <v>674</v>
      </c>
      <c r="AD54" s="5">
        <v>45933</v>
      </c>
      <c r="AE54" t="s">
        <v>69</v>
      </c>
      <c r="AF54">
        <v>7201199567</v>
      </c>
      <c r="AG54" t="s">
        <v>2676</v>
      </c>
      <c r="AI54" t="s">
        <v>86</v>
      </c>
      <c r="AJ54">
        <v>8711021</v>
      </c>
      <c r="AK54" t="s">
        <v>2677</v>
      </c>
      <c r="AM54" t="s">
        <v>2678</v>
      </c>
      <c r="AN54">
        <v>7203347006</v>
      </c>
      <c r="AO54" t="s">
        <v>2680</v>
      </c>
      <c r="AP54">
        <v>5512138858</v>
      </c>
      <c r="AQ54" t="s">
        <v>2682</v>
      </c>
      <c r="AR54">
        <v>7221474286</v>
      </c>
      <c r="AY54">
        <v>4920.8100000000004</v>
      </c>
      <c r="AZ54">
        <v>2.4</v>
      </c>
      <c r="BA54">
        <v>1</v>
      </c>
      <c r="BB54" t="s">
        <v>1044</v>
      </c>
      <c r="BC54" t="s">
        <v>2684</v>
      </c>
      <c r="BD54" t="s">
        <v>2685</v>
      </c>
      <c r="BE54" t="s">
        <v>74</v>
      </c>
      <c r="BF54" t="s">
        <v>296</v>
      </c>
      <c r="BG54" t="s">
        <v>2686</v>
      </c>
      <c r="BH54" t="s">
        <v>2715</v>
      </c>
      <c r="BK54">
        <v>0</v>
      </c>
      <c r="BL54">
        <v>0</v>
      </c>
      <c r="BM54" t="s">
        <v>2847</v>
      </c>
    </row>
    <row r="55" spans="1:65" x14ac:dyDescent="0.3">
      <c r="A55">
        <v>1685</v>
      </c>
      <c r="B55" t="s">
        <v>61</v>
      </c>
      <c r="C55" t="s">
        <v>273</v>
      </c>
      <c r="D55">
        <v>43</v>
      </c>
      <c r="E55" t="s">
        <v>599</v>
      </c>
      <c r="F55">
        <v>39</v>
      </c>
      <c r="G55" t="s">
        <v>2763</v>
      </c>
      <c r="H55">
        <v>1685</v>
      </c>
      <c r="I55">
        <v>1</v>
      </c>
      <c r="J55" t="s">
        <v>2688</v>
      </c>
      <c r="K55" s="5">
        <v>45877</v>
      </c>
      <c r="L55" s="5">
        <v>46242</v>
      </c>
      <c r="M55">
        <v>10000</v>
      </c>
      <c r="N55">
        <v>10534.08</v>
      </c>
      <c r="O55">
        <v>0</v>
      </c>
      <c r="P55">
        <v>12</v>
      </c>
      <c r="Q55" t="s">
        <v>68</v>
      </c>
      <c r="R55">
        <v>1702.69</v>
      </c>
      <c r="S55">
        <v>696</v>
      </c>
      <c r="T55">
        <v>0</v>
      </c>
      <c r="U55">
        <v>0</v>
      </c>
      <c r="V55">
        <v>0</v>
      </c>
      <c r="W55">
        <v>8778.4</v>
      </c>
      <c r="X55">
        <v>0</v>
      </c>
      <c r="Y55">
        <v>0</v>
      </c>
      <c r="Z55">
        <v>0</v>
      </c>
      <c r="AA55">
        <v>0</v>
      </c>
      <c r="AB55">
        <v>0</v>
      </c>
      <c r="AC55">
        <v>1703</v>
      </c>
      <c r="AD55" s="5">
        <v>45938</v>
      </c>
      <c r="AE55" t="s">
        <v>69</v>
      </c>
      <c r="AF55">
        <v>7207884541</v>
      </c>
      <c r="AG55" t="s">
        <v>2690</v>
      </c>
      <c r="AI55" t="s">
        <v>283</v>
      </c>
      <c r="AJ55">
        <v>8944098</v>
      </c>
      <c r="AM55" t="s">
        <v>2691</v>
      </c>
      <c r="AN55">
        <v>7223922027</v>
      </c>
      <c r="AO55" t="s">
        <v>2693</v>
      </c>
      <c r="AP55">
        <v>7221235341</v>
      </c>
      <c r="AQ55" t="s">
        <v>2695</v>
      </c>
      <c r="AR55">
        <v>7228466438</v>
      </c>
      <c r="AY55">
        <v>16446.3</v>
      </c>
      <c r="AZ55">
        <v>0.62</v>
      </c>
      <c r="BA55">
        <v>1</v>
      </c>
      <c r="BB55" t="s">
        <v>1044</v>
      </c>
      <c r="BC55" t="s">
        <v>2697</v>
      </c>
      <c r="BD55" t="s">
        <v>2581</v>
      </c>
      <c r="BE55" t="s">
        <v>74</v>
      </c>
      <c r="BF55" t="s">
        <v>296</v>
      </c>
      <c r="BG55" t="s">
        <v>2698</v>
      </c>
      <c r="BH55" t="s">
        <v>2715</v>
      </c>
      <c r="BK55">
        <v>0</v>
      </c>
      <c r="BL55">
        <v>0</v>
      </c>
      <c r="BM55" t="s">
        <v>2847</v>
      </c>
    </row>
    <row r="56" spans="1:65" x14ac:dyDescent="0.3">
      <c r="A56">
        <v>3324</v>
      </c>
      <c r="B56" t="s">
        <v>61</v>
      </c>
      <c r="C56" t="s">
        <v>273</v>
      </c>
      <c r="D56">
        <v>57</v>
      </c>
      <c r="E56" t="s">
        <v>2883</v>
      </c>
      <c r="F56">
        <v>39</v>
      </c>
      <c r="G56" t="s">
        <v>2763</v>
      </c>
      <c r="H56">
        <v>3324</v>
      </c>
      <c r="I56">
        <v>1</v>
      </c>
      <c r="J56" t="s">
        <v>2853</v>
      </c>
      <c r="K56" s="5">
        <v>45933</v>
      </c>
      <c r="L56" s="5">
        <v>46115</v>
      </c>
      <c r="M56">
        <v>5000</v>
      </c>
      <c r="N56">
        <v>5267.04</v>
      </c>
      <c r="O56">
        <v>0</v>
      </c>
      <c r="P56">
        <v>6</v>
      </c>
      <c r="Q56" t="s">
        <v>68</v>
      </c>
      <c r="R56">
        <v>1318.22</v>
      </c>
      <c r="S56">
        <v>348</v>
      </c>
      <c r="T56">
        <v>0</v>
      </c>
      <c r="U56">
        <v>0</v>
      </c>
      <c r="V56">
        <v>0</v>
      </c>
      <c r="W56">
        <v>5267.04</v>
      </c>
      <c r="X56">
        <v>0</v>
      </c>
      <c r="Y56">
        <v>0</v>
      </c>
      <c r="Z56">
        <v>0</v>
      </c>
      <c r="AA56">
        <v>0</v>
      </c>
      <c r="AB56">
        <v>0</v>
      </c>
      <c r="AE56" t="s">
        <v>69</v>
      </c>
      <c r="AF56">
        <v>7291838816</v>
      </c>
      <c r="AG56" t="s">
        <v>2855</v>
      </c>
      <c r="AI56" t="s">
        <v>86</v>
      </c>
      <c r="AJ56">
        <v>8711021</v>
      </c>
      <c r="AK56" t="s">
        <v>2856</v>
      </c>
      <c r="AL56">
        <v>7291838816</v>
      </c>
      <c r="AM56" t="s">
        <v>2857</v>
      </c>
      <c r="AN56">
        <v>7299824257</v>
      </c>
      <c r="AO56" t="s">
        <v>2859</v>
      </c>
      <c r="AP56">
        <v>7291838816</v>
      </c>
      <c r="AQ56" t="s">
        <v>2860</v>
      </c>
      <c r="AR56">
        <v>7229422159</v>
      </c>
      <c r="AY56">
        <v>7561.29</v>
      </c>
      <c r="AZ56">
        <v>0</v>
      </c>
      <c r="BA56">
        <v>1</v>
      </c>
      <c r="BB56" t="s">
        <v>1044</v>
      </c>
      <c r="BC56" t="s">
        <v>2862</v>
      </c>
      <c r="BD56" t="s">
        <v>304</v>
      </c>
      <c r="BE56" t="s">
        <v>74</v>
      </c>
      <c r="BF56" t="s">
        <v>296</v>
      </c>
      <c r="BG56" t="s">
        <v>2863</v>
      </c>
      <c r="BH56" t="s">
        <v>2715</v>
      </c>
      <c r="BK56">
        <v>0</v>
      </c>
      <c r="BL56">
        <v>0</v>
      </c>
      <c r="BM56" t="s">
        <v>2847</v>
      </c>
    </row>
    <row r="57" spans="1:65" x14ac:dyDescent="0.3">
      <c r="A57">
        <v>1208</v>
      </c>
      <c r="B57" t="s">
        <v>61</v>
      </c>
      <c r="C57" t="s">
        <v>273</v>
      </c>
      <c r="D57">
        <v>24</v>
      </c>
      <c r="E57" t="s">
        <v>287</v>
      </c>
      <c r="F57">
        <v>79</v>
      </c>
      <c r="G57" t="s">
        <v>2786</v>
      </c>
      <c r="H57">
        <v>1208</v>
      </c>
      <c r="I57">
        <v>1</v>
      </c>
      <c r="J57" t="s">
        <v>305</v>
      </c>
      <c r="K57" s="5">
        <v>45719</v>
      </c>
      <c r="L57" s="5">
        <v>46268</v>
      </c>
      <c r="M57">
        <v>100000</v>
      </c>
      <c r="N57">
        <v>105340.78</v>
      </c>
      <c r="O57">
        <v>0</v>
      </c>
      <c r="P57">
        <v>18</v>
      </c>
      <c r="Q57" t="s">
        <v>68</v>
      </c>
      <c r="R57">
        <v>15656.04</v>
      </c>
      <c r="S57">
        <v>1044</v>
      </c>
      <c r="T57">
        <v>0</v>
      </c>
      <c r="U57">
        <v>0</v>
      </c>
      <c r="V57">
        <v>0</v>
      </c>
      <c r="W57">
        <v>48493.48</v>
      </c>
      <c r="X57">
        <v>0</v>
      </c>
      <c r="Y57">
        <v>0</v>
      </c>
      <c r="Z57">
        <v>0</v>
      </c>
      <c r="AA57">
        <v>0</v>
      </c>
      <c r="AB57">
        <v>0</v>
      </c>
      <c r="AC57">
        <v>70000</v>
      </c>
      <c r="AD57" s="5">
        <v>45938</v>
      </c>
      <c r="AE57" t="s">
        <v>69</v>
      </c>
      <c r="AF57">
        <v>7223508072</v>
      </c>
      <c r="AG57" t="s">
        <v>306</v>
      </c>
      <c r="AI57" t="s">
        <v>307</v>
      </c>
      <c r="AJ57">
        <v>2921056</v>
      </c>
      <c r="AK57" t="s">
        <v>308</v>
      </c>
      <c r="AM57" t="s">
        <v>940</v>
      </c>
      <c r="AN57">
        <v>7224452767</v>
      </c>
      <c r="AO57" t="s">
        <v>938</v>
      </c>
      <c r="AP57">
        <v>7225307919</v>
      </c>
      <c r="AQ57" t="s">
        <v>939</v>
      </c>
      <c r="AR57">
        <v>7223029286</v>
      </c>
      <c r="AS57" t="s">
        <v>122</v>
      </c>
      <c r="AT57" t="s">
        <v>309</v>
      </c>
      <c r="AU57" t="s">
        <v>310</v>
      </c>
      <c r="AY57">
        <v>126285.7</v>
      </c>
      <c r="AZ57">
        <v>45292.7811</v>
      </c>
      <c r="BA57">
        <v>1</v>
      </c>
      <c r="BB57" t="s">
        <v>1044</v>
      </c>
      <c r="BC57" t="s">
        <v>311</v>
      </c>
      <c r="BD57" t="s">
        <v>312</v>
      </c>
      <c r="BE57" t="s">
        <v>74</v>
      </c>
      <c r="BF57" t="s">
        <v>273</v>
      </c>
      <c r="BH57" t="s">
        <v>2715</v>
      </c>
      <c r="BK57">
        <v>6</v>
      </c>
      <c r="BL57">
        <v>6</v>
      </c>
      <c r="BM57" t="s">
        <v>2847</v>
      </c>
    </row>
  </sheetData>
  <autoFilter ref="B6:BV52" xr:uid="{A3C00602-1889-4343-9734-9AB3A266C3EE}"/>
  <sortState xmlns:xlrd2="http://schemas.microsoft.com/office/spreadsheetml/2017/richdata2" ref="B7:BV13">
    <sortCondition descending="1" ref="O6"/>
  </sortState>
  <mergeCells count="2">
    <mergeCell ref="BM5:BP5"/>
    <mergeCell ref="BR5:BV5"/>
  </mergeCells>
  <conditionalFormatting sqref="O6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1968D-E09A-476B-8A4D-24EEAEAD70BF}">
  <sheetPr codeName="Hoja5"/>
  <dimension ref="A1:BV30"/>
  <sheetViews>
    <sheetView topLeftCell="I1" workbookViewId="0">
      <selection activeCell="A4" sqref="A4"/>
    </sheetView>
  </sheetViews>
  <sheetFormatPr baseColWidth="10" defaultRowHeight="14.4" x14ac:dyDescent="0.3"/>
  <cols>
    <col min="1" max="1" width="0" hidden="1" customWidth="1"/>
    <col min="2" max="2" width="39" bestFit="1" customWidth="1"/>
    <col min="3" max="3" width="18.33203125" bestFit="1" customWidth="1"/>
    <col min="5" max="5" width="30.21875" bestFit="1" customWidth="1"/>
    <col min="7" max="7" width="30.21875" bestFit="1" customWidth="1"/>
    <col min="10" max="10" width="36.77734375" bestFit="1" customWidth="1"/>
    <col min="15" max="15" width="13.77734375" bestFit="1" customWidth="1"/>
    <col min="23" max="53" width="11.5546875" customWidth="1"/>
    <col min="54" max="54" width="38" bestFit="1" customWidth="1"/>
    <col min="58" max="58" width="14.77734375" bestFit="1" customWidth="1"/>
    <col min="59" max="59" width="30.44140625" bestFit="1" customWidth="1"/>
    <col min="60" max="60" width="30.44140625" customWidth="1"/>
  </cols>
  <sheetData>
    <row r="1" spans="1:74" x14ac:dyDescent="0.3">
      <c r="X1" s="57"/>
    </row>
    <row r="2" spans="1:74" x14ac:dyDescent="0.3">
      <c r="X2" s="57"/>
    </row>
    <row r="3" spans="1:74" x14ac:dyDescent="0.3">
      <c r="X3" s="57"/>
    </row>
    <row r="4" spans="1:74" x14ac:dyDescent="0.3">
      <c r="X4" s="57"/>
    </row>
    <row r="5" spans="1:74" x14ac:dyDescent="0.3">
      <c r="B5" s="6" t="s">
        <v>3061</v>
      </c>
      <c r="X5" s="57"/>
      <c r="BM5" s="62" t="s">
        <v>344</v>
      </c>
      <c r="BN5" s="62"/>
      <c r="BO5" s="62"/>
      <c r="BP5" s="62"/>
      <c r="BQ5" s="10"/>
      <c r="BR5" s="63" t="s">
        <v>345</v>
      </c>
      <c r="BS5" s="63"/>
      <c r="BT5" s="63"/>
      <c r="BU5" s="63"/>
      <c r="BV5" s="63"/>
    </row>
    <row r="6" spans="1:74" s="43" customFormat="1" ht="69" x14ac:dyDescent="0.25">
      <c r="A6" s="56" t="s">
        <v>6</v>
      </c>
      <c r="B6" s="36" t="s">
        <v>0</v>
      </c>
      <c r="C6" s="36" t="s">
        <v>1</v>
      </c>
      <c r="D6" s="37" t="s">
        <v>2</v>
      </c>
      <c r="E6" s="37" t="s">
        <v>3</v>
      </c>
      <c r="F6" s="37" t="s">
        <v>4</v>
      </c>
      <c r="G6" s="37" t="s">
        <v>5</v>
      </c>
      <c r="H6" s="37" t="s">
        <v>6</v>
      </c>
      <c r="I6" s="36" t="s">
        <v>7</v>
      </c>
      <c r="J6" s="36" t="s">
        <v>8</v>
      </c>
      <c r="K6" s="38" t="s">
        <v>9</v>
      </c>
      <c r="L6" s="38" t="s">
        <v>10</v>
      </c>
      <c r="M6" s="39" t="s">
        <v>11</v>
      </c>
      <c r="N6" s="39" t="s">
        <v>12</v>
      </c>
      <c r="O6" s="44" t="s">
        <v>13</v>
      </c>
      <c r="P6" s="40" t="s">
        <v>14</v>
      </c>
      <c r="Q6" s="36" t="s">
        <v>15</v>
      </c>
      <c r="R6" s="39" t="s">
        <v>16</v>
      </c>
      <c r="S6" s="39" t="s">
        <v>17</v>
      </c>
      <c r="T6" s="39" t="s">
        <v>18</v>
      </c>
      <c r="U6" s="41" t="s">
        <v>19</v>
      </c>
      <c r="V6" s="39" t="s">
        <v>20</v>
      </c>
      <c r="W6" s="39" t="s">
        <v>21</v>
      </c>
      <c r="X6" s="58" t="s">
        <v>22</v>
      </c>
      <c r="Y6" s="41" t="s">
        <v>23</v>
      </c>
      <c r="Z6" s="41" t="s">
        <v>24</v>
      </c>
      <c r="AA6" s="41" t="s">
        <v>25</v>
      </c>
      <c r="AB6" s="41" t="s">
        <v>26</v>
      </c>
      <c r="AC6" s="39" t="s">
        <v>27</v>
      </c>
      <c r="AD6" s="38" t="s">
        <v>28</v>
      </c>
      <c r="AE6" s="37" t="s">
        <v>29</v>
      </c>
      <c r="AF6" s="37" t="s">
        <v>30</v>
      </c>
      <c r="AG6" s="37" t="s">
        <v>31</v>
      </c>
      <c r="AH6" s="37" t="s">
        <v>32</v>
      </c>
      <c r="AI6" s="37" t="s">
        <v>33</v>
      </c>
      <c r="AJ6" s="37" t="s">
        <v>34</v>
      </c>
      <c r="AK6" s="37" t="s">
        <v>35</v>
      </c>
      <c r="AL6" s="37" t="s">
        <v>36</v>
      </c>
      <c r="AM6" s="36" t="s">
        <v>1005</v>
      </c>
      <c r="AN6" s="36" t="s">
        <v>1006</v>
      </c>
      <c r="AO6" s="36" t="s">
        <v>1007</v>
      </c>
      <c r="AP6" s="36" t="s">
        <v>1008</v>
      </c>
      <c r="AQ6" s="36" t="s">
        <v>1009</v>
      </c>
      <c r="AR6" s="36" t="s">
        <v>1010</v>
      </c>
      <c r="AS6" s="36" t="s">
        <v>43</v>
      </c>
      <c r="AT6" s="42" t="s">
        <v>44</v>
      </c>
      <c r="AU6" s="36" t="s">
        <v>45</v>
      </c>
      <c r="AV6" s="36" t="s">
        <v>46</v>
      </c>
      <c r="AW6" s="42" t="s">
        <v>47</v>
      </c>
      <c r="AX6" s="36" t="s">
        <v>48</v>
      </c>
      <c r="AY6" s="39" t="s">
        <v>49</v>
      </c>
      <c r="AZ6" s="39" t="s">
        <v>50</v>
      </c>
      <c r="BA6" s="37" t="s">
        <v>51</v>
      </c>
      <c r="BB6" s="37" t="s">
        <v>52</v>
      </c>
      <c r="BC6" s="36" t="s">
        <v>53</v>
      </c>
      <c r="BD6" s="36" t="s">
        <v>54</v>
      </c>
      <c r="BE6" s="37" t="s">
        <v>55</v>
      </c>
      <c r="BF6" s="36" t="s">
        <v>56</v>
      </c>
      <c r="BG6" s="36" t="s">
        <v>1011</v>
      </c>
      <c r="BH6" s="36" t="s">
        <v>1085</v>
      </c>
      <c r="BI6" s="38" t="s">
        <v>57</v>
      </c>
      <c r="BJ6" s="37" t="s">
        <v>58</v>
      </c>
      <c r="BK6" s="36" t="s">
        <v>59</v>
      </c>
      <c r="BL6" s="36" t="s">
        <v>60</v>
      </c>
    </row>
    <row r="7" spans="1:74" x14ac:dyDescent="0.3">
      <c r="A7">
        <v>1056</v>
      </c>
      <c r="B7" t="s">
        <v>61</v>
      </c>
      <c r="C7" t="s">
        <v>205</v>
      </c>
      <c r="D7">
        <v>16</v>
      </c>
      <c r="E7" t="s">
        <v>216</v>
      </c>
      <c r="F7">
        <v>20</v>
      </c>
      <c r="G7" t="s">
        <v>2784</v>
      </c>
      <c r="H7">
        <v>1056</v>
      </c>
      <c r="I7">
        <v>1</v>
      </c>
      <c r="J7" t="s">
        <v>225</v>
      </c>
      <c r="K7" s="5">
        <v>45436</v>
      </c>
      <c r="L7" s="5">
        <v>45801</v>
      </c>
      <c r="M7">
        <v>25000</v>
      </c>
      <c r="N7">
        <v>26335.190000000002</v>
      </c>
      <c r="O7">
        <v>294</v>
      </c>
      <c r="P7">
        <v>12</v>
      </c>
      <c r="Q7" t="s">
        <v>68</v>
      </c>
      <c r="R7">
        <v>4230.97</v>
      </c>
      <c r="S7">
        <v>696</v>
      </c>
      <c r="T7">
        <v>3898.82</v>
      </c>
      <c r="U7">
        <v>0</v>
      </c>
      <c r="V7">
        <v>6</v>
      </c>
      <c r="W7">
        <v>17352.87</v>
      </c>
      <c r="X7">
        <v>29458.639999999999</v>
      </c>
      <c r="Y7">
        <v>17352.87</v>
      </c>
      <c r="Z7">
        <v>7684.95</v>
      </c>
      <c r="AA7">
        <v>522</v>
      </c>
      <c r="AB7">
        <v>3898.82</v>
      </c>
      <c r="AC7">
        <v>2250</v>
      </c>
      <c r="AD7" s="5">
        <v>45656</v>
      </c>
      <c r="AE7" t="s">
        <v>69</v>
      </c>
      <c r="AF7">
        <v>4471660443</v>
      </c>
      <c r="AG7" t="s">
        <v>227</v>
      </c>
      <c r="AI7" t="s">
        <v>228</v>
      </c>
      <c r="AJ7">
        <v>6322010</v>
      </c>
      <c r="AM7" t="s">
        <v>883</v>
      </c>
      <c r="AN7">
        <v>4471044505</v>
      </c>
      <c r="AO7" t="s">
        <v>1276</v>
      </c>
      <c r="AP7">
        <v>4471735169</v>
      </c>
      <c r="AQ7" t="s">
        <v>1278</v>
      </c>
      <c r="AR7">
        <v>4471731819</v>
      </c>
      <c r="AS7" t="s">
        <v>122</v>
      </c>
      <c r="AT7" t="s">
        <v>230</v>
      </c>
      <c r="AU7" t="s">
        <v>231</v>
      </c>
      <c r="AY7">
        <v>29458.639999999999</v>
      </c>
      <c r="AZ7">
        <v>0</v>
      </c>
      <c r="BA7">
        <v>1</v>
      </c>
      <c r="BB7" t="s">
        <v>77</v>
      </c>
      <c r="BC7" t="s">
        <v>3008</v>
      </c>
      <c r="BD7" t="s">
        <v>232</v>
      </c>
      <c r="BE7" t="s">
        <v>213</v>
      </c>
      <c r="BF7" t="s">
        <v>205</v>
      </c>
      <c r="BH7" t="s">
        <v>2715</v>
      </c>
      <c r="BK7">
        <v>15</v>
      </c>
      <c r="BL7">
        <v>15</v>
      </c>
      <c r="BM7" t="s">
        <v>2847</v>
      </c>
    </row>
    <row r="8" spans="1:74" x14ac:dyDescent="0.3">
      <c r="A8">
        <v>1062</v>
      </c>
      <c r="B8" t="s">
        <v>61</v>
      </c>
      <c r="C8" t="s">
        <v>205</v>
      </c>
      <c r="D8">
        <v>17</v>
      </c>
      <c r="E8" t="s">
        <v>260</v>
      </c>
      <c r="F8">
        <v>80</v>
      </c>
      <c r="G8" t="s">
        <v>2803</v>
      </c>
      <c r="H8">
        <v>1062</v>
      </c>
      <c r="I8">
        <v>1</v>
      </c>
      <c r="J8" t="s">
        <v>262</v>
      </c>
      <c r="K8" s="5">
        <v>45453</v>
      </c>
      <c r="L8" s="5">
        <v>45827</v>
      </c>
      <c r="M8">
        <v>60000</v>
      </c>
      <c r="N8">
        <v>63204.47</v>
      </c>
      <c r="O8">
        <v>209</v>
      </c>
      <c r="P8">
        <v>12</v>
      </c>
      <c r="Q8" t="s">
        <v>68</v>
      </c>
      <c r="R8">
        <v>10073.120000000001</v>
      </c>
      <c r="S8">
        <v>696</v>
      </c>
      <c r="T8">
        <v>1740</v>
      </c>
      <c r="U8">
        <v>0</v>
      </c>
      <c r="V8">
        <v>3.4</v>
      </c>
      <c r="W8">
        <v>27912.04</v>
      </c>
      <c r="X8">
        <v>35824.44</v>
      </c>
      <c r="Y8">
        <v>27912.04</v>
      </c>
      <c r="Z8">
        <v>5824.4000000000005</v>
      </c>
      <c r="AA8">
        <v>348</v>
      </c>
      <c r="AB8">
        <v>1740</v>
      </c>
      <c r="AC8">
        <v>500</v>
      </c>
      <c r="AD8" s="5">
        <v>45891</v>
      </c>
      <c r="AE8" t="s">
        <v>69</v>
      </c>
      <c r="AF8">
        <v>4476902875</v>
      </c>
      <c r="AG8" t="s">
        <v>264</v>
      </c>
      <c r="AI8" t="s">
        <v>86</v>
      </c>
      <c r="AJ8">
        <v>8711021</v>
      </c>
      <c r="AM8" t="s">
        <v>890</v>
      </c>
      <c r="AN8">
        <v>4471032764</v>
      </c>
      <c r="AO8" t="s">
        <v>1284</v>
      </c>
      <c r="AP8">
        <v>4471736177</v>
      </c>
      <c r="AQ8" t="s">
        <v>1286</v>
      </c>
      <c r="AR8">
        <v>4471005257</v>
      </c>
      <c r="AS8" t="s">
        <v>122</v>
      </c>
      <c r="AT8" t="s">
        <v>265</v>
      </c>
      <c r="AU8" t="s">
        <v>266</v>
      </c>
      <c r="AY8">
        <v>35824.44</v>
      </c>
      <c r="AZ8">
        <v>0</v>
      </c>
      <c r="BA8">
        <v>1</v>
      </c>
      <c r="BB8" t="s">
        <v>77</v>
      </c>
      <c r="BC8" t="s">
        <v>3032</v>
      </c>
      <c r="BD8" t="s">
        <v>267</v>
      </c>
      <c r="BE8" t="s">
        <v>213</v>
      </c>
      <c r="BF8" t="s">
        <v>205</v>
      </c>
      <c r="BH8" t="s">
        <v>2715</v>
      </c>
      <c r="BK8">
        <v>15</v>
      </c>
      <c r="BL8">
        <v>15</v>
      </c>
      <c r="BM8" t="s">
        <v>2847</v>
      </c>
    </row>
    <row r="9" spans="1:74" x14ac:dyDescent="0.3">
      <c r="A9">
        <v>1257</v>
      </c>
      <c r="B9" t="s">
        <v>61</v>
      </c>
      <c r="C9" t="s">
        <v>205</v>
      </c>
      <c r="D9">
        <v>37</v>
      </c>
      <c r="E9" t="s">
        <v>409</v>
      </c>
      <c r="F9">
        <v>80</v>
      </c>
      <c r="G9" t="s">
        <v>2803</v>
      </c>
      <c r="H9">
        <v>1257</v>
      </c>
      <c r="I9">
        <v>1</v>
      </c>
      <c r="J9" t="s">
        <v>418</v>
      </c>
      <c r="K9" s="5">
        <v>45768</v>
      </c>
      <c r="L9" s="5">
        <v>45951</v>
      </c>
      <c r="M9">
        <v>5000</v>
      </c>
      <c r="N9">
        <v>5267.04</v>
      </c>
      <c r="O9">
        <v>146</v>
      </c>
      <c r="P9">
        <v>6</v>
      </c>
      <c r="Q9" t="s">
        <v>68</v>
      </c>
      <c r="R9">
        <v>1320.32</v>
      </c>
      <c r="S9">
        <v>348</v>
      </c>
      <c r="T9">
        <v>2900</v>
      </c>
      <c r="U9">
        <v>0</v>
      </c>
      <c r="V9">
        <v>4.2</v>
      </c>
      <c r="W9">
        <v>4659.5200000000004</v>
      </c>
      <c r="X9">
        <v>8451.5818159999999</v>
      </c>
      <c r="Y9">
        <v>3781.6800000000003</v>
      </c>
      <c r="Z9">
        <v>1537.9</v>
      </c>
      <c r="AA9">
        <v>232</v>
      </c>
      <c r="AB9">
        <v>2900</v>
      </c>
      <c r="AC9">
        <v>1050</v>
      </c>
      <c r="AD9" s="5">
        <v>45798</v>
      </c>
      <c r="AE9" t="s">
        <v>69</v>
      </c>
      <c r="AF9">
        <v>4471516545</v>
      </c>
      <c r="AG9" t="s">
        <v>512</v>
      </c>
      <c r="AI9" t="s">
        <v>89</v>
      </c>
      <c r="AJ9">
        <v>6211023</v>
      </c>
      <c r="AM9" t="s">
        <v>922</v>
      </c>
      <c r="AN9">
        <v>4471252542</v>
      </c>
      <c r="AO9" t="s">
        <v>919</v>
      </c>
      <c r="AP9">
        <v>4471060791</v>
      </c>
      <c r="AQ9" t="s">
        <v>921</v>
      </c>
      <c r="AR9">
        <v>4472036183</v>
      </c>
      <c r="AY9">
        <v>9713.9</v>
      </c>
      <c r="AZ9">
        <v>0</v>
      </c>
      <c r="BA9">
        <v>1</v>
      </c>
      <c r="BB9" t="s">
        <v>1044</v>
      </c>
      <c r="BC9" t="s">
        <v>3034</v>
      </c>
      <c r="BD9" t="s">
        <v>420</v>
      </c>
      <c r="BE9" t="s">
        <v>213</v>
      </c>
      <c r="BF9" t="s">
        <v>205</v>
      </c>
      <c r="BH9" t="s">
        <v>2715</v>
      </c>
      <c r="BK9">
        <v>5</v>
      </c>
      <c r="BL9">
        <v>5</v>
      </c>
      <c r="BM9" t="s">
        <v>2847</v>
      </c>
    </row>
    <row r="10" spans="1:74" x14ac:dyDescent="0.3">
      <c r="A10">
        <v>1270</v>
      </c>
      <c r="B10" t="s">
        <v>61</v>
      </c>
      <c r="C10" t="s">
        <v>205</v>
      </c>
      <c r="D10">
        <v>37</v>
      </c>
      <c r="E10" t="s">
        <v>409</v>
      </c>
      <c r="F10">
        <v>80</v>
      </c>
      <c r="G10" t="s">
        <v>2803</v>
      </c>
      <c r="H10">
        <v>1270</v>
      </c>
      <c r="I10">
        <v>1</v>
      </c>
      <c r="J10" t="s">
        <v>456</v>
      </c>
      <c r="K10" s="5">
        <v>45772</v>
      </c>
      <c r="L10" s="5">
        <v>45955</v>
      </c>
      <c r="M10">
        <v>7000</v>
      </c>
      <c r="N10">
        <v>7373.85</v>
      </c>
      <c r="O10">
        <v>141</v>
      </c>
      <c r="P10">
        <v>6</v>
      </c>
      <c r="Q10" t="s">
        <v>68</v>
      </c>
      <c r="R10">
        <v>1825.24</v>
      </c>
      <c r="S10">
        <v>348</v>
      </c>
      <c r="T10">
        <v>2900</v>
      </c>
      <c r="U10">
        <v>0</v>
      </c>
      <c r="V10">
        <v>5</v>
      </c>
      <c r="W10">
        <v>7373.85</v>
      </c>
      <c r="X10">
        <v>12026.2073525</v>
      </c>
      <c r="Y10">
        <v>6144.88</v>
      </c>
      <c r="Z10">
        <v>2691.33</v>
      </c>
      <c r="AA10">
        <v>290</v>
      </c>
      <c r="AB10">
        <v>2900</v>
      </c>
      <c r="AE10" t="s">
        <v>69</v>
      </c>
      <c r="AF10">
        <v>3349586209</v>
      </c>
      <c r="AG10" t="s">
        <v>513</v>
      </c>
      <c r="AI10" t="s">
        <v>458</v>
      </c>
      <c r="AJ10">
        <v>6312011</v>
      </c>
      <c r="AK10" t="s">
        <v>460</v>
      </c>
      <c r="AL10">
        <v>3349586209</v>
      </c>
      <c r="AM10" t="s">
        <v>926</v>
      </c>
      <c r="AN10">
        <v>4622905488</v>
      </c>
      <c r="AO10" t="s">
        <v>923</v>
      </c>
      <c r="AP10">
        <v>3311713150</v>
      </c>
      <c r="AQ10" t="s">
        <v>925</v>
      </c>
      <c r="AR10">
        <v>4778198022</v>
      </c>
      <c r="AY10">
        <v>13793.45</v>
      </c>
      <c r="AZ10">
        <v>0</v>
      </c>
      <c r="BA10">
        <v>1</v>
      </c>
      <c r="BB10" t="s">
        <v>1044</v>
      </c>
      <c r="BC10" t="s">
        <v>3036</v>
      </c>
      <c r="BD10" t="s">
        <v>267</v>
      </c>
      <c r="BE10" t="s">
        <v>213</v>
      </c>
      <c r="BF10" t="s">
        <v>205</v>
      </c>
      <c r="BH10" t="s">
        <v>2715</v>
      </c>
      <c r="BK10">
        <v>5</v>
      </c>
      <c r="BL10">
        <v>5</v>
      </c>
      <c r="BM10" t="s">
        <v>2847</v>
      </c>
    </row>
    <row r="11" spans="1:74" x14ac:dyDescent="0.3">
      <c r="A11">
        <v>1076</v>
      </c>
      <c r="B11" t="s">
        <v>61</v>
      </c>
      <c r="C11" t="s">
        <v>205</v>
      </c>
      <c r="D11">
        <v>16</v>
      </c>
      <c r="E11" t="s">
        <v>216</v>
      </c>
      <c r="F11">
        <v>80</v>
      </c>
      <c r="G11" t="s">
        <v>2803</v>
      </c>
      <c r="H11">
        <v>1076</v>
      </c>
      <c r="I11">
        <v>1</v>
      </c>
      <c r="J11" t="s">
        <v>234</v>
      </c>
      <c r="K11" s="5">
        <v>45527</v>
      </c>
      <c r="L11" s="5">
        <v>45915</v>
      </c>
      <c r="M11">
        <v>30000</v>
      </c>
      <c r="N11">
        <v>31602.23</v>
      </c>
      <c r="O11">
        <v>120</v>
      </c>
      <c r="P11">
        <v>12</v>
      </c>
      <c r="Q11" t="s">
        <v>68</v>
      </c>
      <c r="R11">
        <v>5448.58</v>
      </c>
      <c r="S11">
        <v>696</v>
      </c>
      <c r="T11">
        <v>2320</v>
      </c>
      <c r="U11">
        <v>0</v>
      </c>
      <c r="V11">
        <v>3.4</v>
      </c>
      <c r="W11">
        <v>15454.08</v>
      </c>
      <c r="X11">
        <v>21082.959999999999</v>
      </c>
      <c r="Y11">
        <v>15454.09</v>
      </c>
      <c r="Z11">
        <v>3134.87</v>
      </c>
      <c r="AA11">
        <v>174</v>
      </c>
      <c r="AB11">
        <v>2320</v>
      </c>
      <c r="AC11">
        <v>3000</v>
      </c>
      <c r="AD11" s="5">
        <v>45912</v>
      </c>
      <c r="AE11" t="s">
        <v>69</v>
      </c>
      <c r="AF11">
        <v>4171576513</v>
      </c>
      <c r="AG11" t="s">
        <v>236</v>
      </c>
      <c r="AI11" t="s">
        <v>100</v>
      </c>
      <c r="AJ11">
        <v>2711019</v>
      </c>
      <c r="AK11" t="s">
        <v>237</v>
      </c>
      <c r="AM11" t="s">
        <v>887</v>
      </c>
      <c r="AN11">
        <v>4471466258</v>
      </c>
      <c r="AO11" t="s">
        <v>884</v>
      </c>
      <c r="AP11">
        <v>4471260680</v>
      </c>
      <c r="AQ11" t="s">
        <v>886</v>
      </c>
      <c r="AR11">
        <v>4471083180</v>
      </c>
      <c r="AS11" t="s">
        <v>122</v>
      </c>
      <c r="AT11" t="s">
        <v>238</v>
      </c>
      <c r="AU11" t="s">
        <v>239</v>
      </c>
      <c r="AY11">
        <v>21082.95</v>
      </c>
      <c r="AZ11">
        <v>0</v>
      </c>
      <c r="BA11">
        <v>1</v>
      </c>
      <c r="BB11" t="s">
        <v>77</v>
      </c>
      <c r="BC11" t="s">
        <v>3029</v>
      </c>
      <c r="BD11" t="s">
        <v>240</v>
      </c>
      <c r="BE11" t="s">
        <v>213</v>
      </c>
      <c r="BF11" t="s">
        <v>205</v>
      </c>
      <c r="BH11" t="s">
        <v>2715</v>
      </c>
      <c r="BK11">
        <v>7</v>
      </c>
      <c r="BL11">
        <v>6</v>
      </c>
      <c r="BM11" t="s">
        <v>2847</v>
      </c>
    </row>
    <row r="12" spans="1:74" x14ac:dyDescent="0.3">
      <c r="A12">
        <v>1061</v>
      </c>
      <c r="B12" t="s">
        <v>61</v>
      </c>
      <c r="C12" t="s">
        <v>205</v>
      </c>
      <c r="D12">
        <v>16</v>
      </c>
      <c r="E12" t="s">
        <v>216</v>
      </c>
      <c r="F12">
        <v>80</v>
      </c>
      <c r="G12" t="s">
        <v>2803</v>
      </c>
      <c r="H12">
        <v>1061</v>
      </c>
      <c r="I12">
        <v>1</v>
      </c>
      <c r="J12" t="s">
        <v>241</v>
      </c>
      <c r="K12" s="5">
        <v>45447</v>
      </c>
      <c r="L12" s="5">
        <v>45904</v>
      </c>
      <c r="M12">
        <v>80000</v>
      </c>
      <c r="N12">
        <v>84272.62</v>
      </c>
      <c r="O12">
        <v>102</v>
      </c>
      <c r="P12">
        <v>15</v>
      </c>
      <c r="Q12" t="s">
        <v>68</v>
      </c>
      <c r="R12">
        <v>12168.07</v>
      </c>
      <c r="S12">
        <v>870</v>
      </c>
      <c r="T12">
        <v>1740</v>
      </c>
      <c r="U12">
        <v>0</v>
      </c>
      <c r="V12">
        <v>3</v>
      </c>
      <c r="W12">
        <v>29287.440000000002</v>
      </c>
      <c r="X12">
        <v>38161.06</v>
      </c>
      <c r="Y12">
        <v>29287.43</v>
      </c>
      <c r="Z12">
        <v>6959.63</v>
      </c>
      <c r="AA12">
        <v>174</v>
      </c>
      <c r="AB12">
        <v>1740</v>
      </c>
      <c r="AC12">
        <v>12170</v>
      </c>
      <c r="AD12" s="5">
        <v>45811</v>
      </c>
      <c r="AE12" t="s">
        <v>69</v>
      </c>
      <c r="AF12">
        <v>4471051698</v>
      </c>
      <c r="AG12" t="s">
        <v>242</v>
      </c>
      <c r="AI12" t="s">
        <v>243</v>
      </c>
      <c r="AJ12">
        <v>119017</v>
      </c>
      <c r="AM12" t="s">
        <v>888</v>
      </c>
      <c r="AN12">
        <v>4471505629</v>
      </c>
      <c r="AO12" t="s">
        <v>1282</v>
      </c>
      <c r="AP12">
        <v>4471506587</v>
      </c>
      <c r="AQ12" t="s">
        <v>1283</v>
      </c>
      <c r="AR12">
        <v>7861655445</v>
      </c>
      <c r="AS12" t="s">
        <v>122</v>
      </c>
      <c r="AT12" t="s">
        <v>244</v>
      </c>
      <c r="AU12" t="s">
        <v>245</v>
      </c>
      <c r="AY12">
        <v>38161.07</v>
      </c>
      <c r="AZ12">
        <v>0</v>
      </c>
      <c r="BA12">
        <v>1</v>
      </c>
      <c r="BB12" t="s">
        <v>77</v>
      </c>
      <c r="BC12" t="s">
        <v>3030</v>
      </c>
      <c r="BD12" t="s">
        <v>246</v>
      </c>
      <c r="BE12" t="s">
        <v>213</v>
      </c>
      <c r="BF12" t="s">
        <v>205</v>
      </c>
      <c r="BH12" t="s">
        <v>2715</v>
      </c>
      <c r="BK12">
        <v>14</v>
      </c>
      <c r="BL12">
        <v>9</v>
      </c>
      <c r="BM12" t="s">
        <v>2847</v>
      </c>
    </row>
    <row r="13" spans="1:74" x14ac:dyDescent="0.3">
      <c r="A13">
        <v>1272</v>
      </c>
      <c r="B13" t="s">
        <v>61</v>
      </c>
      <c r="C13" t="s">
        <v>205</v>
      </c>
      <c r="D13">
        <v>37</v>
      </c>
      <c r="E13" t="s">
        <v>409</v>
      </c>
      <c r="F13">
        <v>80</v>
      </c>
      <c r="G13" t="s">
        <v>2803</v>
      </c>
      <c r="H13">
        <v>1272</v>
      </c>
      <c r="I13">
        <v>1</v>
      </c>
      <c r="J13" t="s">
        <v>462</v>
      </c>
      <c r="K13" s="5">
        <v>45772</v>
      </c>
      <c r="L13" s="5">
        <v>46137</v>
      </c>
      <c r="M13">
        <v>10000</v>
      </c>
      <c r="N13">
        <v>10534.08</v>
      </c>
      <c r="O13">
        <v>81</v>
      </c>
      <c r="P13">
        <v>12</v>
      </c>
      <c r="Q13" t="s">
        <v>68</v>
      </c>
      <c r="R13">
        <v>1702.69</v>
      </c>
      <c r="S13">
        <v>696</v>
      </c>
      <c r="T13">
        <v>1740</v>
      </c>
      <c r="U13">
        <v>0</v>
      </c>
      <c r="V13">
        <v>2.9</v>
      </c>
      <c r="W13">
        <v>8778.4</v>
      </c>
      <c r="X13">
        <v>6630.77</v>
      </c>
      <c r="Y13">
        <v>2633.52</v>
      </c>
      <c r="Z13">
        <v>2141.25</v>
      </c>
      <c r="AA13">
        <v>116</v>
      </c>
      <c r="AB13">
        <v>1740</v>
      </c>
      <c r="AC13">
        <v>2000</v>
      </c>
      <c r="AD13" s="5">
        <v>45909</v>
      </c>
      <c r="AE13" t="s">
        <v>69</v>
      </c>
      <c r="AF13">
        <v>4472170440</v>
      </c>
      <c r="AG13" t="s">
        <v>514</v>
      </c>
      <c r="AI13" t="s">
        <v>464</v>
      </c>
      <c r="AJ13">
        <v>9411998</v>
      </c>
      <c r="AK13" t="s">
        <v>466</v>
      </c>
      <c r="AM13" t="s">
        <v>929</v>
      </c>
      <c r="AN13">
        <v>4471072858</v>
      </c>
      <c r="AO13" t="s">
        <v>927</v>
      </c>
      <c r="AP13">
        <v>4431747146</v>
      </c>
      <c r="AQ13" t="s">
        <v>928</v>
      </c>
      <c r="AR13" t="s">
        <v>928</v>
      </c>
      <c r="AY13">
        <v>18143.61</v>
      </c>
      <c r="AZ13">
        <v>0</v>
      </c>
      <c r="BA13">
        <v>1</v>
      </c>
      <c r="BB13" t="s">
        <v>1044</v>
      </c>
      <c r="BC13" t="s">
        <v>2947</v>
      </c>
      <c r="BD13" t="s">
        <v>467</v>
      </c>
      <c r="BE13" t="s">
        <v>213</v>
      </c>
      <c r="BF13" t="s">
        <v>205</v>
      </c>
      <c r="BH13" t="s">
        <v>2715</v>
      </c>
      <c r="BK13">
        <v>4</v>
      </c>
      <c r="BL13">
        <v>4</v>
      </c>
      <c r="BM13" t="s">
        <v>2847</v>
      </c>
    </row>
    <row r="14" spans="1:74" x14ac:dyDescent="0.3">
      <c r="A14">
        <v>1256</v>
      </c>
      <c r="B14" t="s">
        <v>61</v>
      </c>
      <c r="C14" t="s">
        <v>205</v>
      </c>
      <c r="D14">
        <v>37</v>
      </c>
      <c r="E14" t="s">
        <v>409</v>
      </c>
      <c r="F14">
        <v>80</v>
      </c>
      <c r="G14" t="s">
        <v>2803</v>
      </c>
      <c r="H14">
        <v>1256</v>
      </c>
      <c r="I14">
        <v>1</v>
      </c>
      <c r="J14" t="s">
        <v>410</v>
      </c>
      <c r="K14" s="5">
        <v>45763</v>
      </c>
      <c r="L14" s="5">
        <v>46128</v>
      </c>
      <c r="M14">
        <v>10000</v>
      </c>
      <c r="N14">
        <v>10534.08</v>
      </c>
      <c r="O14">
        <v>57</v>
      </c>
      <c r="P14">
        <v>12</v>
      </c>
      <c r="Q14" t="s">
        <v>68</v>
      </c>
      <c r="R14">
        <v>1702.69</v>
      </c>
      <c r="S14">
        <v>696</v>
      </c>
      <c r="T14">
        <v>580</v>
      </c>
      <c r="U14">
        <v>0</v>
      </c>
      <c r="V14">
        <v>1.4</v>
      </c>
      <c r="W14">
        <v>7604.49</v>
      </c>
      <c r="X14">
        <v>2864.46</v>
      </c>
      <c r="Y14">
        <v>1459.6100000000001</v>
      </c>
      <c r="Z14">
        <v>766.85</v>
      </c>
      <c r="AA14">
        <v>58</v>
      </c>
      <c r="AB14">
        <v>580</v>
      </c>
      <c r="AC14">
        <v>1700</v>
      </c>
      <c r="AD14" s="5">
        <v>45893</v>
      </c>
      <c r="AE14" t="s">
        <v>69</v>
      </c>
      <c r="AF14">
        <v>4472218943</v>
      </c>
      <c r="AG14" t="s">
        <v>431</v>
      </c>
      <c r="AI14" t="s">
        <v>283</v>
      </c>
      <c r="AJ14">
        <v>8944098</v>
      </c>
      <c r="AM14" t="s">
        <v>912</v>
      </c>
      <c r="AN14">
        <v>4471155225</v>
      </c>
      <c r="AO14" t="s">
        <v>910</v>
      </c>
      <c r="AP14">
        <v>4471153604</v>
      </c>
      <c r="AQ14" t="s">
        <v>911</v>
      </c>
      <c r="AR14">
        <v>4434603050</v>
      </c>
      <c r="AY14">
        <v>14377.300000000001</v>
      </c>
      <c r="AZ14">
        <v>0</v>
      </c>
      <c r="BA14">
        <v>1</v>
      </c>
      <c r="BB14" t="s">
        <v>1044</v>
      </c>
      <c r="BC14" t="s">
        <v>2940</v>
      </c>
      <c r="BD14" t="s">
        <v>411</v>
      </c>
      <c r="BE14" t="s">
        <v>213</v>
      </c>
      <c r="BF14" t="s">
        <v>205</v>
      </c>
      <c r="BH14" t="s">
        <v>2715</v>
      </c>
      <c r="BK14">
        <v>3</v>
      </c>
      <c r="BL14">
        <v>3</v>
      </c>
      <c r="BM14" t="s">
        <v>2847</v>
      </c>
    </row>
    <row r="15" spans="1:74" x14ac:dyDescent="0.3">
      <c r="A15">
        <v>1280</v>
      </c>
      <c r="B15" t="s">
        <v>61</v>
      </c>
      <c r="C15" t="s">
        <v>205</v>
      </c>
      <c r="D15">
        <v>37</v>
      </c>
      <c r="E15" t="s">
        <v>409</v>
      </c>
      <c r="F15">
        <v>80</v>
      </c>
      <c r="G15" t="s">
        <v>2803</v>
      </c>
      <c r="H15">
        <v>1280</v>
      </c>
      <c r="I15">
        <v>1</v>
      </c>
      <c r="J15" t="s">
        <v>475</v>
      </c>
      <c r="K15" s="5">
        <v>45775</v>
      </c>
      <c r="L15" s="5">
        <v>46140</v>
      </c>
      <c r="M15">
        <v>10000</v>
      </c>
      <c r="N15">
        <v>10534.08</v>
      </c>
      <c r="O15">
        <v>47</v>
      </c>
      <c r="P15">
        <v>12</v>
      </c>
      <c r="Q15" t="s">
        <v>68</v>
      </c>
      <c r="R15">
        <v>1702.69</v>
      </c>
      <c r="S15">
        <v>696</v>
      </c>
      <c r="T15">
        <v>1160</v>
      </c>
      <c r="U15">
        <v>0</v>
      </c>
      <c r="V15">
        <v>1.9</v>
      </c>
      <c r="W15">
        <v>7900.56</v>
      </c>
      <c r="X15">
        <v>4364.7700000000004</v>
      </c>
      <c r="Y15">
        <v>1755.68</v>
      </c>
      <c r="Z15">
        <v>1391.09</v>
      </c>
      <c r="AA15">
        <v>58</v>
      </c>
      <c r="AB15">
        <v>1160</v>
      </c>
      <c r="AC15">
        <v>2483</v>
      </c>
      <c r="AD15" s="5">
        <v>45889</v>
      </c>
      <c r="AE15" t="s">
        <v>69</v>
      </c>
      <c r="AF15">
        <v>4471414092</v>
      </c>
      <c r="AG15" t="s">
        <v>574</v>
      </c>
      <c r="AI15" t="s">
        <v>187</v>
      </c>
      <c r="AJ15">
        <v>2411023</v>
      </c>
      <c r="AK15" t="s">
        <v>476</v>
      </c>
      <c r="AL15">
        <v>4432638938</v>
      </c>
      <c r="AM15" t="s">
        <v>906</v>
      </c>
      <c r="AN15">
        <v>4472222231</v>
      </c>
      <c r="AO15" t="s">
        <v>904</v>
      </c>
      <c r="AP15">
        <v>4471092915</v>
      </c>
      <c r="AQ15" t="s">
        <v>905</v>
      </c>
      <c r="AR15">
        <v>4471532962</v>
      </c>
      <c r="AY15">
        <v>15877.61</v>
      </c>
      <c r="AZ15">
        <v>0</v>
      </c>
      <c r="BA15">
        <v>1</v>
      </c>
      <c r="BB15" t="s">
        <v>1044</v>
      </c>
      <c r="BC15" t="s">
        <v>3031</v>
      </c>
      <c r="BD15" t="s">
        <v>232</v>
      </c>
      <c r="BE15" t="s">
        <v>213</v>
      </c>
      <c r="BF15" t="s">
        <v>205</v>
      </c>
      <c r="BH15" t="s">
        <v>2715</v>
      </c>
      <c r="BK15">
        <v>3</v>
      </c>
      <c r="BL15">
        <v>3</v>
      </c>
      <c r="BM15" t="s">
        <v>2847</v>
      </c>
    </row>
    <row r="16" spans="1:74" x14ac:dyDescent="0.3">
      <c r="A16">
        <v>1084</v>
      </c>
      <c r="B16" t="s">
        <v>61</v>
      </c>
      <c r="C16" t="s">
        <v>205</v>
      </c>
      <c r="D16">
        <v>16</v>
      </c>
      <c r="E16" t="s">
        <v>216</v>
      </c>
      <c r="F16">
        <v>39</v>
      </c>
      <c r="G16" t="s">
        <v>2763</v>
      </c>
      <c r="H16">
        <v>1084</v>
      </c>
      <c r="I16">
        <v>1</v>
      </c>
      <c r="J16" t="s">
        <v>217</v>
      </c>
      <c r="K16" s="5">
        <v>45537</v>
      </c>
      <c r="L16" s="5">
        <v>45905</v>
      </c>
      <c r="M16">
        <v>25000</v>
      </c>
      <c r="N16">
        <v>26335.190000000002</v>
      </c>
      <c r="O16">
        <v>39</v>
      </c>
      <c r="P16">
        <v>12</v>
      </c>
      <c r="Q16" t="s">
        <v>68</v>
      </c>
      <c r="R16">
        <v>4274.34</v>
      </c>
      <c r="S16">
        <v>696</v>
      </c>
      <c r="T16">
        <v>580</v>
      </c>
      <c r="U16">
        <v>0</v>
      </c>
      <c r="V16">
        <v>0.5</v>
      </c>
      <c r="W16">
        <v>2275.06</v>
      </c>
      <c r="X16">
        <v>2913.08</v>
      </c>
      <c r="Y16">
        <v>2275.08</v>
      </c>
      <c r="Z16">
        <v>0</v>
      </c>
      <c r="AA16">
        <v>58</v>
      </c>
      <c r="AB16">
        <v>580</v>
      </c>
      <c r="AC16">
        <v>2000</v>
      </c>
      <c r="AD16" s="5">
        <v>45924</v>
      </c>
      <c r="AE16" t="s">
        <v>69</v>
      </c>
      <c r="AF16">
        <v>4471081666</v>
      </c>
      <c r="AG16" t="s">
        <v>218</v>
      </c>
      <c r="AI16" t="s">
        <v>102</v>
      </c>
      <c r="AJ16">
        <v>3699024</v>
      </c>
      <c r="AK16" t="s">
        <v>219</v>
      </c>
      <c r="AM16" t="s">
        <v>881</v>
      </c>
      <c r="AN16">
        <v>4471004379</v>
      </c>
      <c r="AO16" t="s">
        <v>879</v>
      </c>
      <c r="AP16">
        <v>4471077467</v>
      </c>
      <c r="AQ16" t="s">
        <v>880</v>
      </c>
      <c r="AR16">
        <v>4432417010</v>
      </c>
      <c r="AS16" t="s">
        <v>122</v>
      </c>
      <c r="AT16" t="s">
        <v>220</v>
      </c>
      <c r="AU16" t="s">
        <v>221</v>
      </c>
      <c r="AY16">
        <v>2913.06</v>
      </c>
      <c r="AZ16">
        <v>0</v>
      </c>
      <c r="BA16">
        <v>1</v>
      </c>
      <c r="BB16" t="s">
        <v>77</v>
      </c>
      <c r="BC16" t="s">
        <v>222</v>
      </c>
      <c r="BD16" t="s">
        <v>223</v>
      </c>
      <c r="BE16" t="s">
        <v>213</v>
      </c>
      <c r="BF16" t="s">
        <v>205</v>
      </c>
      <c r="BH16" t="s">
        <v>2715</v>
      </c>
      <c r="BK16">
        <v>7</v>
      </c>
      <c r="BL16">
        <v>4</v>
      </c>
      <c r="BM16" t="s">
        <v>2847</v>
      </c>
    </row>
    <row r="17" spans="1:65" x14ac:dyDescent="0.3">
      <c r="A17">
        <v>1189</v>
      </c>
      <c r="B17" t="s">
        <v>61</v>
      </c>
      <c r="C17" t="s">
        <v>205</v>
      </c>
      <c r="D17">
        <v>15</v>
      </c>
      <c r="E17" t="s">
        <v>206</v>
      </c>
      <c r="F17">
        <v>39</v>
      </c>
      <c r="G17" t="s">
        <v>2763</v>
      </c>
      <c r="H17">
        <v>1189</v>
      </c>
      <c r="I17">
        <v>1</v>
      </c>
      <c r="J17" t="s">
        <v>207</v>
      </c>
      <c r="K17" s="5">
        <v>45705</v>
      </c>
      <c r="L17" s="5">
        <v>46070</v>
      </c>
      <c r="M17">
        <v>40000</v>
      </c>
      <c r="N17">
        <v>42136.31</v>
      </c>
      <c r="O17">
        <v>27</v>
      </c>
      <c r="P17">
        <v>12</v>
      </c>
      <c r="Q17" t="s">
        <v>68</v>
      </c>
      <c r="R17">
        <v>5972.04</v>
      </c>
      <c r="S17">
        <v>696</v>
      </c>
      <c r="T17">
        <v>0</v>
      </c>
      <c r="U17">
        <v>0</v>
      </c>
      <c r="V17">
        <v>0.1</v>
      </c>
      <c r="W17">
        <v>23328.27</v>
      </c>
      <c r="X17">
        <v>384.28000000000003</v>
      </c>
      <c r="Y17">
        <v>384.28000000000003</v>
      </c>
      <c r="Z17">
        <v>0</v>
      </c>
      <c r="AA17">
        <v>0</v>
      </c>
      <c r="AB17">
        <v>0</v>
      </c>
      <c r="AC17">
        <v>6000</v>
      </c>
      <c r="AD17" s="5">
        <v>45922</v>
      </c>
      <c r="AE17" t="s">
        <v>69</v>
      </c>
      <c r="AF17">
        <v>7861416805</v>
      </c>
      <c r="AG17" t="s">
        <v>208</v>
      </c>
      <c r="AI17" t="s">
        <v>89</v>
      </c>
      <c r="AJ17">
        <v>6211023</v>
      </c>
      <c r="AM17" t="s">
        <v>878</v>
      </c>
      <c r="AN17">
        <v>4437968108</v>
      </c>
      <c r="AO17" t="s">
        <v>876</v>
      </c>
      <c r="AP17">
        <v>7861286086</v>
      </c>
      <c r="AQ17" t="s">
        <v>877</v>
      </c>
      <c r="AR17">
        <v>4433311456</v>
      </c>
      <c r="AS17" t="s">
        <v>122</v>
      </c>
      <c r="AT17" t="s">
        <v>209</v>
      </c>
      <c r="AU17" t="s">
        <v>210</v>
      </c>
      <c r="AY17">
        <v>23328.27</v>
      </c>
      <c r="AZ17">
        <v>0</v>
      </c>
      <c r="BA17">
        <v>4</v>
      </c>
      <c r="BB17" t="s">
        <v>136</v>
      </c>
      <c r="BC17" t="s">
        <v>211</v>
      </c>
      <c r="BD17" t="s">
        <v>212</v>
      </c>
      <c r="BE17" t="s">
        <v>213</v>
      </c>
      <c r="BF17" t="s">
        <v>214</v>
      </c>
      <c r="BH17" t="s">
        <v>2715</v>
      </c>
      <c r="BK17">
        <v>2</v>
      </c>
      <c r="BL17">
        <v>1</v>
      </c>
      <c r="BM17" t="s">
        <v>2847</v>
      </c>
    </row>
    <row r="18" spans="1:65" x14ac:dyDescent="0.3">
      <c r="A18">
        <v>1316</v>
      </c>
      <c r="B18" t="s">
        <v>61</v>
      </c>
      <c r="C18" t="s">
        <v>205</v>
      </c>
      <c r="D18">
        <v>37</v>
      </c>
      <c r="E18" t="s">
        <v>409</v>
      </c>
      <c r="F18">
        <v>80</v>
      </c>
      <c r="G18" t="s">
        <v>2803</v>
      </c>
      <c r="H18">
        <v>1316</v>
      </c>
      <c r="I18">
        <v>1</v>
      </c>
      <c r="J18" t="s">
        <v>575</v>
      </c>
      <c r="K18" s="5">
        <v>45791</v>
      </c>
      <c r="L18" s="5">
        <v>45959</v>
      </c>
      <c r="M18">
        <v>5000</v>
      </c>
      <c r="N18">
        <v>5267.04</v>
      </c>
      <c r="O18">
        <v>27</v>
      </c>
      <c r="P18">
        <v>24</v>
      </c>
      <c r="Q18" t="s">
        <v>469</v>
      </c>
      <c r="R18">
        <v>365.7</v>
      </c>
      <c r="S18">
        <v>1392</v>
      </c>
      <c r="T18">
        <v>2320</v>
      </c>
      <c r="U18">
        <v>21</v>
      </c>
      <c r="V18">
        <v>4</v>
      </c>
      <c r="W18">
        <v>1536.22</v>
      </c>
      <c r="X18">
        <v>3723.7100128000002</v>
      </c>
      <c r="Y18">
        <v>877.84</v>
      </c>
      <c r="Z18">
        <v>351.87</v>
      </c>
      <c r="AA18">
        <v>174</v>
      </c>
      <c r="AB18">
        <v>2320</v>
      </c>
      <c r="AC18">
        <v>366</v>
      </c>
      <c r="AD18" s="5">
        <v>45910</v>
      </c>
      <c r="AE18" t="s">
        <v>69</v>
      </c>
      <c r="AF18">
        <v>5513324034</v>
      </c>
      <c r="AG18" t="s">
        <v>576</v>
      </c>
      <c r="AI18" t="s">
        <v>577</v>
      </c>
      <c r="AJ18">
        <v>8921018</v>
      </c>
      <c r="AM18" t="s">
        <v>915</v>
      </c>
      <c r="AN18">
        <v>4472173415</v>
      </c>
      <c r="AO18" t="s">
        <v>913</v>
      </c>
      <c r="AP18">
        <v>4431669365</v>
      </c>
      <c r="AQ18" t="s">
        <v>914</v>
      </c>
      <c r="AR18">
        <v>5513104248</v>
      </c>
      <c r="AY18">
        <v>4646.8100000000004</v>
      </c>
      <c r="AZ18">
        <v>0</v>
      </c>
      <c r="BA18">
        <v>1</v>
      </c>
      <c r="BB18" t="s">
        <v>1044</v>
      </c>
      <c r="BC18" t="s">
        <v>3033</v>
      </c>
      <c r="BD18" t="s">
        <v>205</v>
      </c>
      <c r="BE18" t="s">
        <v>213</v>
      </c>
      <c r="BF18" t="s">
        <v>205</v>
      </c>
      <c r="BH18" t="s">
        <v>2715</v>
      </c>
      <c r="BK18">
        <v>4</v>
      </c>
      <c r="BL18">
        <v>4</v>
      </c>
      <c r="BM18" t="s">
        <v>2847</v>
      </c>
    </row>
    <row r="19" spans="1:65" x14ac:dyDescent="0.3">
      <c r="A19">
        <v>1071</v>
      </c>
      <c r="B19" t="s">
        <v>61</v>
      </c>
      <c r="C19" t="s">
        <v>205</v>
      </c>
      <c r="D19">
        <v>33</v>
      </c>
      <c r="E19" t="s">
        <v>383</v>
      </c>
      <c r="F19">
        <v>39</v>
      </c>
      <c r="G19" t="s">
        <v>2763</v>
      </c>
      <c r="H19">
        <v>1071</v>
      </c>
      <c r="I19">
        <v>2</v>
      </c>
      <c r="J19" t="s">
        <v>253</v>
      </c>
      <c r="K19" s="5">
        <v>45737</v>
      </c>
      <c r="L19" s="5">
        <v>46102</v>
      </c>
      <c r="M19">
        <v>64000.01</v>
      </c>
      <c r="N19">
        <v>67418.100000000006</v>
      </c>
      <c r="O19">
        <v>22</v>
      </c>
      <c r="P19">
        <v>12</v>
      </c>
      <c r="Q19" t="s">
        <v>68</v>
      </c>
      <c r="R19">
        <v>9346.81</v>
      </c>
      <c r="S19">
        <v>696</v>
      </c>
      <c r="T19">
        <v>0</v>
      </c>
      <c r="U19">
        <v>0</v>
      </c>
      <c r="V19">
        <v>0.1</v>
      </c>
      <c r="W19">
        <v>34287.910000000003</v>
      </c>
      <c r="X19">
        <v>578.86</v>
      </c>
      <c r="Y19">
        <v>578.86</v>
      </c>
      <c r="Z19">
        <v>0</v>
      </c>
      <c r="AA19">
        <v>0</v>
      </c>
      <c r="AB19">
        <v>0</v>
      </c>
      <c r="AC19">
        <v>9347</v>
      </c>
      <c r="AD19" s="5">
        <v>45923</v>
      </c>
      <c r="AE19" t="s">
        <v>69</v>
      </c>
      <c r="AF19">
        <v>4471537025</v>
      </c>
      <c r="AG19" t="s">
        <v>255</v>
      </c>
      <c r="AI19" t="s">
        <v>256</v>
      </c>
      <c r="AJ19">
        <v>9213018</v>
      </c>
      <c r="AK19" t="s">
        <v>258</v>
      </c>
      <c r="AM19" t="s">
        <v>897</v>
      </c>
      <c r="AN19">
        <v>4471192049</v>
      </c>
      <c r="AO19" t="s">
        <v>894</v>
      </c>
      <c r="AP19">
        <v>4471124249</v>
      </c>
      <c r="AQ19" t="s">
        <v>896</v>
      </c>
      <c r="AR19">
        <v>4431001220</v>
      </c>
      <c r="AS19" t="s">
        <v>122</v>
      </c>
      <c r="AT19" t="s">
        <v>384</v>
      </c>
      <c r="AU19" t="s">
        <v>385</v>
      </c>
      <c r="AY19">
        <v>56311.72</v>
      </c>
      <c r="AZ19">
        <v>0</v>
      </c>
      <c r="BA19">
        <v>1</v>
      </c>
      <c r="BB19" t="s">
        <v>1044</v>
      </c>
      <c r="BC19" t="s">
        <v>3025</v>
      </c>
      <c r="BD19" t="s">
        <v>205</v>
      </c>
      <c r="BE19" t="s">
        <v>213</v>
      </c>
      <c r="BF19" t="s">
        <v>205</v>
      </c>
      <c r="BH19" t="s">
        <v>2715</v>
      </c>
      <c r="BK19">
        <v>5</v>
      </c>
      <c r="BL19">
        <v>4</v>
      </c>
      <c r="BM19" t="s">
        <v>2847</v>
      </c>
    </row>
    <row r="20" spans="1:65" x14ac:dyDescent="0.3">
      <c r="A20">
        <v>1339</v>
      </c>
      <c r="B20" t="s">
        <v>61</v>
      </c>
      <c r="C20" t="s">
        <v>205</v>
      </c>
      <c r="D20">
        <v>33</v>
      </c>
      <c r="E20" t="s">
        <v>383</v>
      </c>
      <c r="F20">
        <v>80</v>
      </c>
      <c r="G20" t="s">
        <v>2803</v>
      </c>
      <c r="H20">
        <v>1339</v>
      </c>
      <c r="I20">
        <v>1</v>
      </c>
      <c r="J20" t="s">
        <v>631</v>
      </c>
      <c r="K20" s="5">
        <v>45800</v>
      </c>
      <c r="L20" s="5">
        <v>45984</v>
      </c>
      <c r="M20">
        <v>5000</v>
      </c>
      <c r="N20">
        <v>5267.04</v>
      </c>
      <c r="O20">
        <v>21</v>
      </c>
      <c r="P20">
        <v>6</v>
      </c>
      <c r="Q20" t="s">
        <v>68</v>
      </c>
      <c r="R20">
        <v>1322.42</v>
      </c>
      <c r="S20">
        <v>348</v>
      </c>
      <c r="T20">
        <v>580</v>
      </c>
      <c r="U20">
        <v>0</v>
      </c>
      <c r="V20">
        <v>1</v>
      </c>
      <c r="W20">
        <v>2633.52</v>
      </c>
      <c r="X20">
        <v>1892.25</v>
      </c>
      <c r="Y20">
        <v>877.84</v>
      </c>
      <c r="Z20">
        <v>386.58</v>
      </c>
      <c r="AA20">
        <v>47.83</v>
      </c>
      <c r="AB20">
        <v>580</v>
      </c>
      <c r="AC20">
        <v>1325</v>
      </c>
      <c r="AD20" s="5">
        <v>45894</v>
      </c>
      <c r="AE20" t="s">
        <v>69</v>
      </c>
      <c r="AF20">
        <v>4472036771</v>
      </c>
      <c r="AG20" t="s">
        <v>632</v>
      </c>
      <c r="AI20" t="s">
        <v>256</v>
      </c>
      <c r="AJ20">
        <v>9213018</v>
      </c>
      <c r="AM20" t="s">
        <v>932</v>
      </c>
      <c r="AN20">
        <v>4471738397</v>
      </c>
      <c r="AO20" t="s">
        <v>930</v>
      </c>
      <c r="AP20">
        <v>3344322446</v>
      </c>
      <c r="AQ20" t="s">
        <v>931</v>
      </c>
      <c r="AR20">
        <v>4472232778</v>
      </c>
      <c r="AY20">
        <v>4421.08</v>
      </c>
      <c r="AZ20">
        <v>0</v>
      </c>
      <c r="BA20">
        <v>1</v>
      </c>
      <c r="BB20" t="s">
        <v>1044</v>
      </c>
      <c r="BC20" t="s">
        <v>3035</v>
      </c>
      <c r="BD20" t="s">
        <v>267</v>
      </c>
      <c r="BE20" t="s">
        <v>213</v>
      </c>
      <c r="BF20" t="s">
        <v>205</v>
      </c>
      <c r="BH20" t="s">
        <v>2715</v>
      </c>
      <c r="BK20">
        <v>1</v>
      </c>
      <c r="BL20">
        <v>1</v>
      </c>
      <c r="BM20" t="s">
        <v>2847</v>
      </c>
    </row>
    <row r="21" spans="1:65" x14ac:dyDescent="0.3">
      <c r="A21">
        <v>1570</v>
      </c>
      <c r="B21" t="s">
        <v>61</v>
      </c>
      <c r="C21" t="s">
        <v>205</v>
      </c>
      <c r="D21">
        <v>53</v>
      </c>
      <c r="E21" t="s">
        <v>1756</v>
      </c>
      <c r="F21">
        <v>39</v>
      </c>
      <c r="G21" t="s">
        <v>2763</v>
      </c>
      <c r="H21">
        <v>1570</v>
      </c>
      <c r="I21">
        <v>1</v>
      </c>
      <c r="J21" t="s">
        <v>1844</v>
      </c>
      <c r="K21" s="5">
        <v>45866</v>
      </c>
      <c r="L21" s="5">
        <v>46034</v>
      </c>
      <c r="M21">
        <v>5000</v>
      </c>
      <c r="N21">
        <v>5267.04</v>
      </c>
      <c r="O21">
        <v>0</v>
      </c>
      <c r="P21">
        <v>12</v>
      </c>
      <c r="Q21" t="s">
        <v>496</v>
      </c>
      <c r="R21">
        <v>673.4</v>
      </c>
      <c r="S21">
        <v>696</v>
      </c>
      <c r="T21">
        <v>0</v>
      </c>
      <c r="U21">
        <v>5</v>
      </c>
      <c r="V21">
        <v>0</v>
      </c>
      <c r="W21">
        <v>3072.44</v>
      </c>
      <c r="X21">
        <v>0</v>
      </c>
      <c r="Y21">
        <v>0</v>
      </c>
      <c r="Z21">
        <v>0</v>
      </c>
      <c r="AA21">
        <v>0</v>
      </c>
      <c r="AB21">
        <v>0</v>
      </c>
      <c r="AC21">
        <v>1252</v>
      </c>
      <c r="AD21" s="5">
        <v>45938</v>
      </c>
      <c r="AE21" t="s">
        <v>69</v>
      </c>
      <c r="AF21">
        <v>4472278159</v>
      </c>
      <c r="AG21" t="s">
        <v>1845</v>
      </c>
      <c r="AI21" t="s">
        <v>458</v>
      </c>
      <c r="AJ21">
        <v>6312011</v>
      </c>
      <c r="AM21" t="s">
        <v>1846</v>
      </c>
      <c r="AN21">
        <v>4472267183</v>
      </c>
      <c r="AO21" t="s">
        <v>1847</v>
      </c>
      <c r="AP21">
        <v>4437947350</v>
      </c>
      <c r="AQ21" t="s">
        <v>1848</v>
      </c>
      <c r="AR21">
        <v>4471006209</v>
      </c>
      <c r="AY21">
        <v>4306.8100000000004</v>
      </c>
      <c r="AZ21">
        <v>1</v>
      </c>
      <c r="BA21">
        <v>1</v>
      </c>
      <c r="BB21" t="s">
        <v>1044</v>
      </c>
      <c r="BC21" t="s">
        <v>3022</v>
      </c>
      <c r="BD21" t="s">
        <v>85</v>
      </c>
      <c r="BE21" t="s">
        <v>213</v>
      </c>
      <c r="BF21" t="s">
        <v>205</v>
      </c>
      <c r="BG21" t="s">
        <v>1849</v>
      </c>
      <c r="BH21" t="s">
        <v>2715</v>
      </c>
      <c r="BK21">
        <v>1</v>
      </c>
      <c r="BL21">
        <v>1</v>
      </c>
      <c r="BM21" t="s">
        <v>2847</v>
      </c>
    </row>
    <row r="22" spans="1:65" x14ac:dyDescent="0.3">
      <c r="A22">
        <v>1329</v>
      </c>
      <c r="B22" t="s">
        <v>61</v>
      </c>
      <c r="C22" t="s">
        <v>205</v>
      </c>
      <c r="D22">
        <v>34</v>
      </c>
      <c r="E22" t="s">
        <v>1022</v>
      </c>
      <c r="F22">
        <v>39</v>
      </c>
      <c r="G22" t="s">
        <v>2763</v>
      </c>
      <c r="H22">
        <v>1329</v>
      </c>
      <c r="I22">
        <v>1</v>
      </c>
      <c r="J22" t="s">
        <v>608</v>
      </c>
      <c r="K22" s="5">
        <v>45797</v>
      </c>
      <c r="L22" s="5">
        <v>45965</v>
      </c>
      <c r="M22">
        <v>6000</v>
      </c>
      <c r="N22">
        <v>6320.45</v>
      </c>
      <c r="O22">
        <v>0</v>
      </c>
      <c r="P22">
        <v>12</v>
      </c>
      <c r="Q22" t="s">
        <v>496</v>
      </c>
      <c r="R22">
        <v>796.48</v>
      </c>
      <c r="S22">
        <v>696</v>
      </c>
      <c r="T22">
        <v>0</v>
      </c>
      <c r="U22">
        <v>10</v>
      </c>
      <c r="V22">
        <v>0</v>
      </c>
      <c r="W22">
        <v>1053.4100000000001</v>
      </c>
      <c r="X22">
        <v>0</v>
      </c>
      <c r="Y22">
        <v>0</v>
      </c>
      <c r="Z22">
        <v>0</v>
      </c>
      <c r="AA22">
        <v>0</v>
      </c>
      <c r="AB22">
        <v>0</v>
      </c>
      <c r="AC22">
        <v>797</v>
      </c>
      <c r="AD22" s="5">
        <v>45937</v>
      </c>
      <c r="AE22" t="s">
        <v>69</v>
      </c>
      <c r="AF22">
        <v>4474782951</v>
      </c>
      <c r="AG22" t="s">
        <v>609</v>
      </c>
      <c r="AI22" t="s">
        <v>86</v>
      </c>
      <c r="AJ22">
        <v>8711021</v>
      </c>
      <c r="AM22" t="s">
        <v>900</v>
      </c>
      <c r="AN22">
        <v>4471153604</v>
      </c>
      <c r="AO22" t="s">
        <v>898</v>
      </c>
      <c r="AP22">
        <v>4471155255</v>
      </c>
      <c r="AQ22" t="s">
        <v>899</v>
      </c>
      <c r="AR22">
        <v>4471037016</v>
      </c>
      <c r="AY22">
        <v>1472.82</v>
      </c>
      <c r="AZ22">
        <v>4.1482999999999999</v>
      </c>
      <c r="BA22">
        <v>1</v>
      </c>
      <c r="BB22" t="s">
        <v>1044</v>
      </c>
      <c r="BC22" t="s">
        <v>3023</v>
      </c>
      <c r="BD22" t="s">
        <v>267</v>
      </c>
      <c r="BE22" t="s">
        <v>213</v>
      </c>
      <c r="BF22" t="s">
        <v>205</v>
      </c>
      <c r="BH22" t="s">
        <v>2715</v>
      </c>
      <c r="BK22">
        <v>0</v>
      </c>
      <c r="BL22">
        <v>0</v>
      </c>
      <c r="BM22" t="s">
        <v>2847</v>
      </c>
    </row>
    <row r="23" spans="1:65" x14ac:dyDescent="0.3">
      <c r="A23">
        <v>1101</v>
      </c>
      <c r="B23" t="s">
        <v>61</v>
      </c>
      <c r="C23" t="s">
        <v>205</v>
      </c>
      <c r="D23">
        <v>53</v>
      </c>
      <c r="E23" t="s">
        <v>1756</v>
      </c>
      <c r="F23">
        <v>39</v>
      </c>
      <c r="G23" t="s">
        <v>2763</v>
      </c>
      <c r="H23">
        <v>1101</v>
      </c>
      <c r="I23">
        <v>1</v>
      </c>
      <c r="J23" t="s">
        <v>1783</v>
      </c>
      <c r="K23" s="5">
        <v>45862</v>
      </c>
      <c r="L23" s="5">
        <v>46227</v>
      </c>
      <c r="M23">
        <v>20000</v>
      </c>
      <c r="N23">
        <v>21068.16</v>
      </c>
      <c r="O23">
        <v>0</v>
      </c>
      <c r="P23">
        <v>12</v>
      </c>
      <c r="Q23" t="s">
        <v>68</v>
      </c>
      <c r="R23">
        <v>3347.38</v>
      </c>
      <c r="S23">
        <v>696</v>
      </c>
      <c r="T23">
        <v>0</v>
      </c>
      <c r="U23">
        <v>0</v>
      </c>
      <c r="V23">
        <v>0</v>
      </c>
      <c r="W23">
        <v>17556.8</v>
      </c>
      <c r="X23">
        <v>0</v>
      </c>
      <c r="Y23">
        <v>0</v>
      </c>
      <c r="Z23">
        <v>0</v>
      </c>
      <c r="AA23">
        <v>0</v>
      </c>
      <c r="AB23">
        <v>0</v>
      </c>
      <c r="AC23">
        <v>3350</v>
      </c>
      <c r="AD23" s="5">
        <v>45923</v>
      </c>
      <c r="AE23" t="s">
        <v>69</v>
      </c>
      <c r="AF23">
        <v>7861289536</v>
      </c>
      <c r="AG23" t="s">
        <v>1784</v>
      </c>
      <c r="AI23" t="s">
        <v>86</v>
      </c>
      <c r="AJ23">
        <v>8711021</v>
      </c>
      <c r="AK23" t="s">
        <v>1785</v>
      </c>
      <c r="AM23" t="s">
        <v>1786</v>
      </c>
      <c r="AN23">
        <v>4471511369</v>
      </c>
      <c r="AO23" t="s">
        <v>1787</v>
      </c>
      <c r="AP23">
        <v>4471035445</v>
      </c>
      <c r="AQ23" t="s">
        <v>1788</v>
      </c>
      <c r="AR23">
        <v>4471736466</v>
      </c>
      <c r="AY23">
        <v>32888.6</v>
      </c>
      <c r="AZ23">
        <v>5.2329493333333286</v>
      </c>
      <c r="BA23">
        <v>1</v>
      </c>
      <c r="BB23" t="s">
        <v>1044</v>
      </c>
      <c r="BC23" t="s">
        <v>3024</v>
      </c>
      <c r="BD23" t="s">
        <v>1789</v>
      </c>
      <c r="BE23" t="s">
        <v>213</v>
      </c>
      <c r="BF23" t="s">
        <v>205</v>
      </c>
      <c r="BG23" t="s">
        <v>1790</v>
      </c>
      <c r="BH23" t="s">
        <v>2715</v>
      </c>
      <c r="BK23">
        <v>1</v>
      </c>
      <c r="BL23">
        <v>1</v>
      </c>
      <c r="BM23" t="s">
        <v>2847</v>
      </c>
    </row>
    <row r="24" spans="1:65" x14ac:dyDescent="0.3">
      <c r="A24">
        <v>1079</v>
      </c>
      <c r="B24" t="s">
        <v>61</v>
      </c>
      <c r="C24" t="s">
        <v>205</v>
      </c>
      <c r="D24">
        <v>37</v>
      </c>
      <c r="E24" t="s">
        <v>409</v>
      </c>
      <c r="F24">
        <v>39</v>
      </c>
      <c r="G24" t="s">
        <v>2763</v>
      </c>
      <c r="H24">
        <v>1079</v>
      </c>
      <c r="I24">
        <v>2</v>
      </c>
      <c r="J24" t="s">
        <v>247</v>
      </c>
      <c r="K24" s="5">
        <v>45848</v>
      </c>
      <c r="L24" s="5">
        <v>46213</v>
      </c>
      <c r="M24">
        <v>42000</v>
      </c>
      <c r="N24">
        <v>44243.13</v>
      </c>
      <c r="O24">
        <v>0</v>
      </c>
      <c r="P24">
        <v>12</v>
      </c>
      <c r="Q24" t="s">
        <v>68</v>
      </c>
      <c r="R24">
        <v>6153.78</v>
      </c>
      <c r="S24">
        <v>696</v>
      </c>
      <c r="T24">
        <v>0</v>
      </c>
      <c r="U24">
        <v>0</v>
      </c>
      <c r="V24">
        <v>0</v>
      </c>
      <c r="W24">
        <v>33182.35</v>
      </c>
      <c r="X24">
        <v>0</v>
      </c>
      <c r="Y24">
        <v>0</v>
      </c>
      <c r="Z24">
        <v>0</v>
      </c>
      <c r="AA24">
        <v>0</v>
      </c>
      <c r="AB24">
        <v>0</v>
      </c>
      <c r="AC24">
        <v>6734</v>
      </c>
      <c r="AD24" s="5">
        <v>45940</v>
      </c>
      <c r="AE24" t="s">
        <v>69</v>
      </c>
      <c r="AF24">
        <v>4471294396</v>
      </c>
      <c r="AG24" t="s">
        <v>248</v>
      </c>
      <c r="AI24" t="s">
        <v>89</v>
      </c>
      <c r="AJ24">
        <v>6211023</v>
      </c>
      <c r="AK24" t="s">
        <v>249</v>
      </c>
      <c r="AM24" t="s">
        <v>1597</v>
      </c>
      <c r="AN24">
        <v>4471114441</v>
      </c>
      <c r="AO24" t="s">
        <v>1598</v>
      </c>
      <c r="AP24">
        <v>4431297759</v>
      </c>
      <c r="AQ24" t="s">
        <v>1599</v>
      </c>
      <c r="AR24">
        <v>4471295661</v>
      </c>
      <c r="AS24" t="s">
        <v>122</v>
      </c>
      <c r="AT24" t="s">
        <v>1623</v>
      </c>
      <c r="AU24" t="s">
        <v>250</v>
      </c>
      <c r="AY24">
        <v>54861.380000000005</v>
      </c>
      <c r="AZ24">
        <v>0.65749999999999997</v>
      </c>
      <c r="BA24">
        <v>2</v>
      </c>
      <c r="BB24" t="s">
        <v>1600</v>
      </c>
      <c r="BC24" t="s">
        <v>3026</v>
      </c>
      <c r="BD24" t="s">
        <v>251</v>
      </c>
      <c r="BE24" t="s">
        <v>213</v>
      </c>
      <c r="BF24" t="s">
        <v>205</v>
      </c>
      <c r="BG24" t="s">
        <v>1601</v>
      </c>
      <c r="BH24" t="s">
        <v>2715</v>
      </c>
      <c r="BK24">
        <v>1</v>
      </c>
      <c r="BL24">
        <v>1</v>
      </c>
      <c r="BM24" t="s">
        <v>2847</v>
      </c>
    </row>
    <row r="25" spans="1:65" x14ac:dyDescent="0.3">
      <c r="A25">
        <v>1601</v>
      </c>
      <c r="B25" t="s">
        <v>61</v>
      </c>
      <c r="C25" t="s">
        <v>205</v>
      </c>
      <c r="D25">
        <v>53</v>
      </c>
      <c r="E25" t="s">
        <v>1756</v>
      </c>
      <c r="F25">
        <v>39</v>
      </c>
      <c r="G25" t="s">
        <v>2763</v>
      </c>
      <c r="H25">
        <v>1601</v>
      </c>
      <c r="I25">
        <v>1</v>
      </c>
      <c r="J25" t="s">
        <v>1757</v>
      </c>
      <c r="K25" s="5">
        <v>45861</v>
      </c>
      <c r="L25" s="5">
        <v>46226</v>
      </c>
      <c r="M25">
        <v>10000</v>
      </c>
      <c r="N25">
        <v>10534.08</v>
      </c>
      <c r="O25">
        <v>0</v>
      </c>
      <c r="P25">
        <v>12</v>
      </c>
      <c r="Q25" t="s">
        <v>68</v>
      </c>
      <c r="R25">
        <v>1702.69</v>
      </c>
      <c r="S25">
        <v>696</v>
      </c>
      <c r="T25">
        <v>0</v>
      </c>
      <c r="U25">
        <v>0</v>
      </c>
      <c r="V25">
        <v>0</v>
      </c>
      <c r="W25">
        <v>8778.4</v>
      </c>
      <c r="X25">
        <v>0</v>
      </c>
      <c r="Y25">
        <v>0</v>
      </c>
      <c r="Z25">
        <v>0</v>
      </c>
      <c r="AA25">
        <v>0</v>
      </c>
      <c r="AB25">
        <v>0</v>
      </c>
      <c r="AC25">
        <v>1703</v>
      </c>
      <c r="AD25" s="5">
        <v>45922</v>
      </c>
      <c r="AE25" t="s">
        <v>69</v>
      </c>
      <c r="AF25">
        <v>4472156039</v>
      </c>
      <c r="AG25" t="s">
        <v>1758</v>
      </c>
      <c r="AI25" t="s">
        <v>192</v>
      </c>
      <c r="AJ25">
        <v>9501009</v>
      </c>
      <c r="AM25" t="s">
        <v>1759</v>
      </c>
      <c r="AN25">
        <v>4471000028</v>
      </c>
      <c r="AO25" t="s">
        <v>1760</v>
      </c>
      <c r="AP25">
        <v>4471736366</v>
      </c>
      <c r="AQ25" t="s">
        <v>1761</v>
      </c>
      <c r="AR25">
        <v>4471007314</v>
      </c>
      <c r="AY25">
        <v>16446.3</v>
      </c>
      <c r="AZ25">
        <v>0.62</v>
      </c>
      <c r="BA25">
        <v>1</v>
      </c>
      <c r="BB25" t="s">
        <v>1044</v>
      </c>
      <c r="BC25" t="s">
        <v>2952</v>
      </c>
      <c r="BD25" t="s">
        <v>1762</v>
      </c>
      <c r="BE25" t="s">
        <v>213</v>
      </c>
      <c r="BF25" t="s">
        <v>205</v>
      </c>
      <c r="BG25" t="s">
        <v>2580</v>
      </c>
      <c r="BH25" t="s">
        <v>2715</v>
      </c>
      <c r="BK25">
        <v>0</v>
      </c>
      <c r="BL25">
        <v>0</v>
      </c>
      <c r="BM25" t="s">
        <v>2847</v>
      </c>
    </row>
    <row r="26" spans="1:65" x14ac:dyDescent="0.3">
      <c r="A26">
        <v>1582</v>
      </c>
      <c r="B26" t="s">
        <v>61</v>
      </c>
      <c r="C26" t="s">
        <v>205</v>
      </c>
      <c r="D26">
        <v>53</v>
      </c>
      <c r="E26" t="s">
        <v>1756</v>
      </c>
      <c r="F26">
        <v>39</v>
      </c>
      <c r="G26" t="s">
        <v>2763</v>
      </c>
      <c r="H26">
        <v>1582</v>
      </c>
      <c r="I26">
        <v>1</v>
      </c>
      <c r="J26" t="s">
        <v>1791</v>
      </c>
      <c r="K26" s="5">
        <v>45863</v>
      </c>
      <c r="L26" s="5">
        <v>46228</v>
      </c>
      <c r="M26">
        <v>10000</v>
      </c>
      <c r="N26">
        <v>10534.08</v>
      </c>
      <c r="O26">
        <v>0</v>
      </c>
      <c r="P26">
        <v>12</v>
      </c>
      <c r="Q26" t="s">
        <v>68</v>
      </c>
      <c r="R26">
        <v>1702.69</v>
      </c>
      <c r="S26">
        <v>696</v>
      </c>
      <c r="T26">
        <v>0</v>
      </c>
      <c r="U26">
        <v>0</v>
      </c>
      <c r="V26">
        <v>0</v>
      </c>
      <c r="W26">
        <v>8778.4</v>
      </c>
      <c r="X26">
        <v>0</v>
      </c>
      <c r="Y26">
        <v>0</v>
      </c>
      <c r="Z26">
        <v>0</v>
      </c>
      <c r="AA26">
        <v>0</v>
      </c>
      <c r="AB26">
        <v>0</v>
      </c>
      <c r="AC26">
        <v>1703</v>
      </c>
      <c r="AD26" s="5">
        <v>45925</v>
      </c>
      <c r="AE26" t="s">
        <v>69</v>
      </c>
      <c r="AF26">
        <v>4437928856</v>
      </c>
      <c r="AG26" t="s">
        <v>1792</v>
      </c>
      <c r="AI26" t="s">
        <v>192</v>
      </c>
      <c r="AJ26">
        <v>9501009</v>
      </c>
      <c r="AK26" t="s">
        <v>1793</v>
      </c>
      <c r="AM26" t="s">
        <v>1786</v>
      </c>
      <c r="AN26">
        <v>4471513169</v>
      </c>
      <c r="AO26" t="s">
        <v>1787</v>
      </c>
      <c r="AP26">
        <v>4471035445</v>
      </c>
      <c r="AQ26" t="s">
        <v>1788</v>
      </c>
      <c r="AR26">
        <v>441736466</v>
      </c>
      <c r="AY26">
        <v>16446.61</v>
      </c>
      <c r="AZ26">
        <v>0.31</v>
      </c>
      <c r="BA26">
        <v>1</v>
      </c>
      <c r="BB26" t="s">
        <v>1044</v>
      </c>
      <c r="BC26" t="s">
        <v>1794</v>
      </c>
      <c r="BD26" t="s">
        <v>1795</v>
      </c>
      <c r="BE26" t="s">
        <v>213</v>
      </c>
      <c r="BF26" t="s">
        <v>205</v>
      </c>
      <c r="BG26" t="s">
        <v>1796</v>
      </c>
      <c r="BH26" t="s">
        <v>2715</v>
      </c>
      <c r="BK26">
        <v>0</v>
      </c>
      <c r="BL26">
        <v>0</v>
      </c>
      <c r="BM26" t="s">
        <v>2847</v>
      </c>
    </row>
    <row r="27" spans="1:65" x14ac:dyDescent="0.3">
      <c r="A27">
        <v>1277</v>
      </c>
      <c r="B27" t="s">
        <v>61</v>
      </c>
      <c r="C27" t="s">
        <v>205</v>
      </c>
      <c r="D27">
        <v>37</v>
      </c>
      <c r="E27" t="s">
        <v>409</v>
      </c>
      <c r="F27">
        <v>39</v>
      </c>
      <c r="G27" t="s">
        <v>2763</v>
      </c>
      <c r="H27">
        <v>1277</v>
      </c>
      <c r="I27">
        <v>1</v>
      </c>
      <c r="J27" t="s">
        <v>471</v>
      </c>
      <c r="K27" s="5">
        <v>45775</v>
      </c>
      <c r="L27" s="5">
        <v>46140</v>
      </c>
      <c r="M27">
        <v>10000</v>
      </c>
      <c r="N27">
        <v>10534.08</v>
      </c>
      <c r="O27">
        <v>0</v>
      </c>
      <c r="P27">
        <v>12</v>
      </c>
      <c r="Q27" t="s">
        <v>68</v>
      </c>
      <c r="R27">
        <v>1702.69</v>
      </c>
      <c r="S27">
        <v>696</v>
      </c>
      <c r="T27">
        <v>0</v>
      </c>
      <c r="U27">
        <v>0</v>
      </c>
      <c r="V27">
        <v>0</v>
      </c>
      <c r="W27">
        <v>6144.88</v>
      </c>
      <c r="X27">
        <v>0</v>
      </c>
      <c r="Y27">
        <v>0</v>
      </c>
      <c r="Z27">
        <v>0</v>
      </c>
      <c r="AA27">
        <v>0</v>
      </c>
      <c r="AB27">
        <v>0</v>
      </c>
      <c r="AC27">
        <v>1702.69</v>
      </c>
      <c r="AD27" s="5">
        <v>45928</v>
      </c>
      <c r="AE27" t="s">
        <v>69</v>
      </c>
      <c r="AF27">
        <v>4431747146</v>
      </c>
      <c r="AG27" t="s">
        <v>573</v>
      </c>
      <c r="AI27" t="s">
        <v>121</v>
      </c>
      <c r="AJ27">
        <v>9800000</v>
      </c>
      <c r="AK27" t="s">
        <v>473</v>
      </c>
      <c r="AL27">
        <v>4431747146</v>
      </c>
      <c r="AM27" t="s">
        <v>903</v>
      </c>
      <c r="AN27">
        <v>4472170440</v>
      </c>
      <c r="AO27" t="s">
        <v>901</v>
      </c>
      <c r="AP27">
        <v>4431991666</v>
      </c>
      <c r="AQ27" t="s">
        <v>902</v>
      </c>
      <c r="AR27">
        <v>4471504053</v>
      </c>
      <c r="AY27">
        <v>11512.58</v>
      </c>
      <c r="AZ27">
        <v>0.26118666666666701</v>
      </c>
      <c r="BA27">
        <v>1</v>
      </c>
      <c r="BB27" t="s">
        <v>1044</v>
      </c>
      <c r="BC27" t="s">
        <v>2956</v>
      </c>
      <c r="BD27" t="s">
        <v>474</v>
      </c>
      <c r="BE27" t="s">
        <v>213</v>
      </c>
      <c r="BF27" t="s">
        <v>205</v>
      </c>
      <c r="BH27" t="s">
        <v>2715</v>
      </c>
      <c r="BK27">
        <v>0</v>
      </c>
      <c r="BL27">
        <v>0</v>
      </c>
      <c r="BM27" t="s">
        <v>2847</v>
      </c>
    </row>
    <row r="28" spans="1:65" x14ac:dyDescent="0.3">
      <c r="A28">
        <v>1275</v>
      </c>
      <c r="B28" t="s">
        <v>61</v>
      </c>
      <c r="C28" t="s">
        <v>205</v>
      </c>
      <c r="D28">
        <v>37</v>
      </c>
      <c r="E28" t="s">
        <v>409</v>
      </c>
      <c r="F28">
        <v>39</v>
      </c>
      <c r="G28" t="s">
        <v>2763</v>
      </c>
      <c r="H28">
        <v>1275</v>
      </c>
      <c r="I28">
        <v>1</v>
      </c>
      <c r="J28" t="s">
        <v>477</v>
      </c>
      <c r="K28" s="5">
        <v>45775</v>
      </c>
      <c r="L28" s="5">
        <v>45958</v>
      </c>
      <c r="M28">
        <v>6000</v>
      </c>
      <c r="N28">
        <v>6320.45</v>
      </c>
      <c r="O28">
        <v>0</v>
      </c>
      <c r="P28">
        <v>6</v>
      </c>
      <c r="Q28" t="s">
        <v>68</v>
      </c>
      <c r="R28">
        <v>1572.78</v>
      </c>
      <c r="S28">
        <v>348</v>
      </c>
      <c r="T28">
        <v>0</v>
      </c>
      <c r="U28">
        <v>0</v>
      </c>
      <c r="V28">
        <v>0</v>
      </c>
      <c r="W28">
        <v>1053.4100000000001</v>
      </c>
      <c r="X28">
        <v>0</v>
      </c>
      <c r="Y28">
        <v>0</v>
      </c>
      <c r="Z28">
        <v>0</v>
      </c>
      <c r="AA28">
        <v>0</v>
      </c>
      <c r="AB28">
        <v>0</v>
      </c>
      <c r="AC28">
        <v>1573</v>
      </c>
      <c r="AD28" s="5">
        <v>45929</v>
      </c>
      <c r="AE28" t="s">
        <v>69</v>
      </c>
      <c r="AF28">
        <v>4471151624</v>
      </c>
      <c r="AG28" t="s">
        <v>511</v>
      </c>
      <c r="AI28" t="s">
        <v>283</v>
      </c>
      <c r="AJ28">
        <v>8944098</v>
      </c>
      <c r="AM28" t="s">
        <v>909</v>
      </c>
      <c r="AN28">
        <v>4471738397</v>
      </c>
      <c r="AO28" t="s">
        <v>907</v>
      </c>
      <c r="AP28">
        <v>4471536062</v>
      </c>
      <c r="AQ28" t="s">
        <v>908</v>
      </c>
      <c r="AR28">
        <v>4472036771</v>
      </c>
      <c r="AY28">
        <v>1487.1200000000001</v>
      </c>
      <c r="AZ28">
        <v>27.659424166666657</v>
      </c>
      <c r="BA28">
        <v>1</v>
      </c>
      <c r="BB28" t="s">
        <v>1044</v>
      </c>
      <c r="BC28" t="s">
        <v>2939</v>
      </c>
      <c r="BD28" t="s">
        <v>478</v>
      </c>
      <c r="BE28" t="s">
        <v>213</v>
      </c>
      <c r="BF28" t="s">
        <v>205</v>
      </c>
      <c r="BH28" t="s">
        <v>2715</v>
      </c>
      <c r="BK28">
        <v>1</v>
      </c>
      <c r="BL28">
        <v>1</v>
      </c>
      <c r="BM28" t="s">
        <v>2847</v>
      </c>
    </row>
    <row r="29" spans="1:65" x14ac:dyDescent="0.3">
      <c r="A29">
        <v>1173</v>
      </c>
      <c r="B29" t="s">
        <v>61</v>
      </c>
      <c r="C29" t="s">
        <v>205</v>
      </c>
      <c r="D29">
        <v>17</v>
      </c>
      <c r="E29" t="s">
        <v>260</v>
      </c>
      <c r="F29">
        <v>39</v>
      </c>
      <c r="G29" t="s">
        <v>2763</v>
      </c>
      <c r="H29">
        <v>1173</v>
      </c>
      <c r="I29">
        <v>1</v>
      </c>
      <c r="J29" t="s">
        <v>268</v>
      </c>
      <c r="K29" s="5">
        <v>45684</v>
      </c>
      <c r="L29" s="5">
        <v>46414</v>
      </c>
      <c r="M29">
        <v>200000</v>
      </c>
      <c r="N29">
        <v>210681.55000000002</v>
      </c>
      <c r="O29">
        <v>0</v>
      </c>
      <c r="P29">
        <v>24</v>
      </c>
      <c r="Q29" t="s">
        <v>68</v>
      </c>
      <c r="R29">
        <v>21935.21</v>
      </c>
      <c r="S29">
        <v>1392</v>
      </c>
      <c r="T29">
        <v>0</v>
      </c>
      <c r="U29">
        <v>0</v>
      </c>
      <c r="V29">
        <v>0</v>
      </c>
      <c r="W29">
        <v>180739.14</v>
      </c>
      <c r="X29">
        <v>0</v>
      </c>
      <c r="Y29">
        <v>0</v>
      </c>
      <c r="Z29">
        <v>0</v>
      </c>
      <c r="AA29">
        <v>0</v>
      </c>
      <c r="AB29">
        <v>0</v>
      </c>
      <c r="AC29">
        <v>21935.21</v>
      </c>
      <c r="AD29" s="5">
        <v>45929</v>
      </c>
      <c r="AE29" t="s">
        <v>69</v>
      </c>
      <c r="AF29">
        <v>4471036280</v>
      </c>
      <c r="AG29" t="s">
        <v>269</v>
      </c>
      <c r="AI29" t="s">
        <v>270</v>
      </c>
      <c r="AJ29">
        <v>2529074</v>
      </c>
      <c r="AM29" t="s">
        <v>893</v>
      </c>
      <c r="AN29">
        <v>4434407646</v>
      </c>
      <c r="AO29" t="s">
        <v>891</v>
      </c>
      <c r="AP29">
        <v>7121074969</v>
      </c>
      <c r="AQ29" t="s">
        <v>892</v>
      </c>
      <c r="AR29">
        <v>4471117243</v>
      </c>
      <c r="AS29" t="s">
        <v>122</v>
      </c>
      <c r="AT29" t="s">
        <v>271</v>
      </c>
      <c r="AU29" t="s">
        <v>272</v>
      </c>
      <c r="AY29">
        <v>180735.2</v>
      </c>
      <c r="AZ29">
        <v>3.94</v>
      </c>
      <c r="BA29">
        <v>4</v>
      </c>
      <c r="BB29" t="s">
        <v>136</v>
      </c>
      <c r="BC29" t="s">
        <v>3027</v>
      </c>
      <c r="BD29" t="s">
        <v>267</v>
      </c>
      <c r="BE29" t="s">
        <v>213</v>
      </c>
      <c r="BF29" t="s">
        <v>205</v>
      </c>
      <c r="BH29" t="s">
        <v>2715</v>
      </c>
      <c r="BK29">
        <v>0</v>
      </c>
      <c r="BL29">
        <v>0</v>
      </c>
      <c r="BM29" t="s">
        <v>2847</v>
      </c>
    </row>
    <row r="30" spans="1:65" x14ac:dyDescent="0.3">
      <c r="A30">
        <v>1314</v>
      </c>
      <c r="B30" t="s">
        <v>61</v>
      </c>
      <c r="C30" t="s">
        <v>205</v>
      </c>
      <c r="D30">
        <v>37</v>
      </c>
      <c r="E30" t="s">
        <v>409</v>
      </c>
      <c r="F30">
        <v>39</v>
      </c>
      <c r="G30" t="s">
        <v>2763</v>
      </c>
      <c r="H30">
        <v>1314</v>
      </c>
      <c r="I30">
        <v>1</v>
      </c>
      <c r="J30" t="s">
        <v>578</v>
      </c>
      <c r="K30" s="5">
        <v>45791</v>
      </c>
      <c r="L30" s="5">
        <v>46158</v>
      </c>
      <c r="M30">
        <v>10000</v>
      </c>
      <c r="N30">
        <v>10534.08</v>
      </c>
      <c r="O30">
        <v>0</v>
      </c>
      <c r="P30">
        <v>12</v>
      </c>
      <c r="Q30" t="s">
        <v>68</v>
      </c>
      <c r="R30">
        <v>1702.69</v>
      </c>
      <c r="S30">
        <v>696</v>
      </c>
      <c r="T30">
        <v>0</v>
      </c>
      <c r="U30">
        <v>0</v>
      </c>
      <c r="V30">
        <v>0</v>
      </c>
      <c r="W30">
        <v>7022.77</v>
      </c>
      <c r="X30">
        <v>0.05</v>
      </c>
      <c r="Y30">
        <v>0.05</v>
      </c>
      <c r="Z30">
        <v>0</v>
      </c>
      <c r="AA30">
        <v>0</v>
      </c>
      <c r="AB30">
        <v>0</v>
      </c>
      <c r="AC30">
        <v>1702.65</v>
      </c>
      <c r="AD30" s="5">
        <v>45917</v>
      </c>
      <c r="AE30" t="s">
        <v>69</v>
      </c>
      <c r="AF30">
        <v>4432133914</v>
      </c>
      <c r="AG30" t="s">
        <v>579</v>
      </c>
      <c r="AI30" t="s">
        <v>580</v>
      </c>
      <c r="AJ30">
        <v>6693015</v>
      </c>
      <c r="AM30" t="s">
        <v>918</v>
      </c>
      <c r="AN30">
        <v>4471505097</v>
      </c>
      <c r="AO30" t="s">
        <v>916</v>
      </c>
      <c r="AP30">
        <v>4438933759</v>
      </c>
      <c r="AQ30" t="s">
        <v>917</v>
      </c>
      <c r="AR30">
        <v>5639585152</v>
      </c>
      <c r="AY30">
        <v>13157.58</v>
      </c>
      <c r="AZ30">
        <v>0</v>
      </c>
      <c r="BA30">
        <v>1</v>
      </c>
      <c r="BB30" t="s">
        <v>1044</v>
      </c>
      <c r="BC30" t="s">
        <v>3028</v>
      </c>
      <c r="BD30" t="s">
        <v>581</v>
      </c>
      <c r="BE30" t="s">
        <v>213</v>
      </c>
      <c r="BF30" t="s">
        <v>582</v>
      </c>
      <c r="BH30" t="s">
        <v>2715</v>
      </c>
      <c r="BK30">
        <v>0</v>
      </c>
      <c r="BL30">
        <v>0</v>
      </c>
      <c r="BM30" t="s">
        <v>2847</v>
      </c>
    </row>
  </sheetData>
  <autoFilter ref="B6:BV32" xr:uid="{E891968D-E09A-476B-8A4D-24EEAEAD70BF}"/>
  <sortState xmlns:xlrd2="http://schemas.microsoft.com/office/spreadsheetml/2017/richdata2" ref="B7:BV12">
    <sortCondition descending="1" ref="O6"/>
  </sortState>
  <mergeCells count="2">
    <mergeCell ref="BM5:BP5"/>
    <mergeCell ref="BR5:BV5"/>
  </mergeCells>
  <conditionalFormatting sqref="O6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6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39BAD-87E8-4BAC-831E-24FD8E3BC29B}">
  <sheetPr codeName="Hoja8"/>
  <dimension ref="A1:BM20"/>
  <sheetViews>
    <sheetView topLeftCell="I1" workbookViewId="0">
      <selection activeCell="O1" sqref="O1:O1048576"/>
    </sheetView>
  </sheetViews>
  <sheetFormatPr baseColWidth="10" defaultRowHeight="14.4" x14ac:dyDescent="0.3"/>
  <cols>
    <col min="1" max="1" width="0" hidden="1" customWidth="1"/>
    <col min="2" max="2" width="39" bestFit="1" customWidth="1"/>
    <col min="3" max="3" width="18.33203125" bestFit="1" customWidth="1"/>
    <col min="5" max="5" width="22.77734375" bestFit="1" customWidth="1"/>
    <col min="7" max="7" width="26.33203125" bestFit="1" customWidth="1"/>
    <col min="10" max="10" width="36.77734375" bestFit="1" customWidth="1"/>
    <col min="15" max="15" width="13.77734375" bestFit="1" customWidth="1"/>
    <col min="24" max="53" width="11.5546875" customWidth="1"/>
    <col min="54" max="54" width="15.21875" bestFit="1" customWidth="1"/>
    <col min="58" max="58" width="20" bestFit="1" customWidth="1"/>
    <col min="59" max="59" width="30.44140625" bestFit="1" customWidth="1"/>
    <col min="60" max="60" width="30.44140625" customWidth="1"/>
  </cols>
  <sheetData>
    <row r="1" spans="1:65" x14ac:dyDescent="0.3">
      <c r="W1" s="57"/>
    </row>
    <row r="2" spans="1:65" x14ac:dyDescent="0.3">
      <c r="W2" s="57"/>
    </row>
    <row r="3" spans="1:65" x14ac:dyDescent="0.3">
      <c r="W3" s="57"/>
    </row>
    <row r="4" spans="1:65" x14ac:dyDescent="0.3">
      <c r="W4" s="57"/>
    </row>
    <row r="5" spans="1:65" x14ac:dyDescent="0.3">
      <c r="B5" s="6" t="s">
        <v>3061</v>
      </c>
      <c r="W5" s="57"/>
    </row>
    <row r="6" spans="1:65" s="43" customFormat="1" ht="69" x14ac:dyDescent="0.25">
      <c r="A6" s="56" t="s">
        <v>6</v>
      </c>
      <c r="B6" s="36" t="s">
        <v>0</v>
      </c>
      <c r="C6" s="36" t="s">
        <v>1</v>
      </c>
      <c r="D6" s="37" t="s">
        <v>2</v>
      </c>
      <c r="E6" s="37" t="s">
        <v>3</v>
      </c>
      <c r="F6" s="37" t="s">
        <v>4</v>
      </c>
      <c r="G6" s="37" t="s">
        <v>5</v>
      </c>
      <c r="H6" s="37" t="s">
        <v>6</v>
      </c>
      <c r="I6" s="36" t="s">
        <v>7</v>
      </c>
      <c r="J6" s="36" t="s">
        <v>8</v>
      </c>
      <c r="K6" s="38" t="s">
        <v>9</v>
      </c>
      <c r="L6" s="38" t="s">
        <v>10</v>
      </c>
      <c r="M6" s="39" t="s">
        <v>11</v>
      </c>
      <c r="N6" s="39" t="s">
        <v>12</v>
      </c>
      <c r="O6" s="44" t="s">
        <v>13</v>
      </c>
      <c r="P6" s="40" t="s">
        <v>14</v>
      </c>
      <c r="Q6" s="36" t="s">
        <v>15</v>
      </c>
      <c r="R6" s="39" t="s">
        <v>16</v>
      </c>
      <c r="S6" s="39" t="s">
        <v>17</v>
      </c>
      <c r="T6" s="39" t="s">
        <v>18</v>
      </c>
      <c r="U6" s="41" t="s">
        <v>19</v>
      </c>
      <c r="V6" s="39" t="s">
        <v>20</v>
      </c>
      <c r="W6" s="58" t="s">
        <v>21</v>
      </c>
      <c r="X6" s="39" t="s">
        <v>22</v>
      </c>
      <c r="Y6" s="41" t="s">
        <v>23</v>
      </c>
      <c r="Z6" s="41" t="s">
        <v>24</v>
      </c>
      <c r="AA6" s="41" t="s">
        <v>25</v>
      </c>
      <c r="AB6" s="41" t="s">
        <v>26</v>
      </c>
      <c r="AC6" s="39" t="s">
        <v>27</v>
      </c>
      <c r="AD6" s="38" t="s">
        <v>28</v>
      </c>
      <c r="AE6" s="37" t="s">
        <v>29</v>
      </c>
      <c r="AF6" s="37" t="s">
        <v>30</v>
      </c>
      <c r="AG6" s="37" t="s">
        <v>31</v>
      </c>
      <c r="AH6" s="37" t="s">
        <v>32</v>
      </c>
      <c r="AI6" s="37" t="s">
        <v>33</v>
      </c>
      <c r="AJ6" s="37" t="s">
        <v>34</v>
      </c>
      <c r="AK6" s="37" t="s">
        <v>35</v>
      </c>
      <c r="AL6" s="37" t="s">
        <v>36</v>
      </c>
      <c r="AM6" s="36" t="s">
        <v>1005</v>
      </c>
      <c r="AN6" s="36" t="s">
        <v>1006</v>
      </c>
      <c r="AO6" s="36" t="s">
        <v>1007</v>
      </c>
      <c r="AP6" s="36" t="s">
        <v>1008</v>
      </c>
      <c r="AQ6" s="36" t="s">
        <v>1009</v>
      </c>
      <c r="AR6" s="36" t="s">
        <v>1010</v>
      </c>
      <c r="AS6" s="36" t="s">
        <v>43</v>
      </c>
      <c r="AT6" s="42" t="s">
        <v>44</v>
      </c>
      <c r="AU6" s="36" t="s">
        <v>45</v>
      </c>
      <c r="AV6" s="36" t="s">
        <v>46</v>
      </c>
      <c r="AW6" s="42" t="s">
        <v>47</v>
      </c>
      <c r="AX6" s="36" t="s">
        <v>48</v>
      </c>
      <c r="AY6" s="39" t="s">
        <v>49</v>
      </c>
      <c r="AZ6" s="39" t="s">
        <v>50</v>
      </c>
      <c r="BA6" s="37" t="s">
        <v>51</v>
      </c>
      <c r="BB6" s="37" t="s">
        <v>52</v>
      </c>
      <c r="BC6" s="36" t="s">
        <v>53</v>
      </c>
      <c r="BD6" s="36" t="s">
        <v>54</v>
      </c>
      <c r="BE6" s="37" t="s">
        <v>55</v>
      </c>
      <c r="BF6" s="36" t="s">
        <v>56</v>
      </c>
      <c r="BG6" s="36" t="s">
        <v>1011</v>
      </c>
      <c r="BH6" s="36" t="s">
        <v>1085</v>
      </c>
      <c r="BI6" s="38" t="s">
        <v>57</v>
      </c>
      <c r="BJ6" s="37" t="s">
        <v>58</v>
      </c>
      <c r="BK6" s="36" t="s">
        <v>59</v>
      </c>
      <c r="BL6" s="36" t="s">
        <v>60</v>
      </c>
    </row>
    <row r="7" spans="1:65" x14ac:dyDescent="0.3">
      <c r="A7">
        <v>1337</v>
      </c>
      <c r="B7" t="s">
        <v>61</v>
      </c>
      <c r="C7" t="s">
        <v>392</v>
      </c>
      <c r="D7">
        <v>45</v>
      </c>
      <c r="E7" t="s">
        <v>665</v>
      </c>
      <c r="F7">
        <v>80</v>
      </c>
      <c r="G7" t="s">
        <v>2803</v>
      </c>
      <c r="H7">
        <v>1337</v>
      </c>
      <c r="I7">
        <v>1</v>
      </c>
      <c r="J7" t="s">
        <v>666</v>
      </c>
      <c r="K7" s="5">
        <v>45804</v>
      </c>
      <c r="L7" s="5">
        <v>45988</v>
      </c>
      <c r="M7">
        <v>7000</v>
      </c>
      <c r="N7">
        <v>7373.85</v>
      </c>
      <c r="O7">
        <v>78</v>
      </c>
      <c r="P7">
        <v>6</v>
      </c>
      <c r="Q7" t="s">
        <v>68</v>
      </c>
      <c r="R7">
        <v>1828.18</v>
      </c>
      <c r="S7">
        <v>348</v>
      </c>
      <c r="T7">
        <v>1740</v>
      </c>
      <c r="U7">
        <v>0</v>
      </c>
      <c r="V7">
        <v>2</v>
      </c>
      <c r="W7">
        <v>4944.09</v>
      </c>
      <c r="X7">
        <v>5424.551269333333</v>
      </c>
      <c r="Y7">
        <v>2486.14</v>
      </c>
      <c r="Z7">
        <v>1082.4100000000001</v>
      </c>
      <c r="AA7">
        <v>116</v>
      </c>
      <c r="AB7">
        <v>1740</v>
      </c>
      <c r="AC7">
        <v>1000</v>
      </c>
      <c r="AD7" s="5">
        <v>45943</v>
      </c>
      <c r="AE7" t="s">
        <v>69</v>
      </c>
      <c r="AF7">
        <v>7122282815</v>
      </c>
      <c r="AG7" t="s">
        <v>667</v>
      </c>
      <c r="AI7" t="s">
        <v>481</v>
      </c>
      <c r="AJ7">
        <v>8712011</v>
      </c>
      <c r="AM7" t="s">
        <v>1000</v>
      </c>
      <c r="AN7">
        <v>7121385731</v>
      </c>
      <c r="AO7" t="s">
        <v>998</v>
      </c>
      <c r="AP7">
        <v>7291363725</v>
      </c>
      <c r="AQ7" t="s">
        <v>999</v>
      </c>
      <c r="AR7">
        <v>5562120395</v>
      </c>
      <c r="AY7">
        <v>8964.92</v>
      </c>
      <c r="AZ7">
        <v>0</v>
      </c>
      <c r="BA7">
        <v>1</v>
      </c>
      <c r="BB7" t="s">
        <v>1044</v>
      </c>
      <c r="BC7" t="s">
        <v>2897</v>
      </c>
      <c r="BD7" t="s">
        <v>669</v>
      </c>
      <c r="BE7" t="s">
        <v>74</v>
      </c>
      <c r="BF7" t="s">
        <v>670</v>
      </c>
      <c r="BH7" t="s">
        <v>2715</v>
      </c>
      <c r="BK7">
        <v>3</v>
      </c>
      <c r="BL7">
        <v>3</v>
      </c>
      <c r="BM7" t="s">
        <v>2847</v>
      </c>
    </row>
    <row r="8" spans="1:65" x14ac:dyDescent="0.3">
      <c r="A8">
        <v>1336</v>
      </c>
      <c r="B8" t="s">
        <v>61</v>
      </c>
      <c r="C8" t="s">
        <v>392</v>
      </c>
      <c r="D8">
        <v>47</v>
      </c>
      <c r="E8" t="s">
        <v>634</v>
      </c>
      <c r="F8">
        <v>80</v>
      </c>
      <c r="G8" t="s">
        <v>2803</v>
      </c>
      <c r="H8">
        <v>1336</v>
      </c>
      <c r="I8">
        <v>1</v>
      </c>
      <c r="J8" t="s">
        <v>636</v>
      </c>
      <c r="K8" s="5">
        <v>45800</v>
      </c>
      <c r="L8" s="5">
        <v>46165</v>
      </c>
      <c r="M8">
        <v>20000</v>
      </c>
      <c r="N8">
        <v>21068.16</v>
      </c>
      <c r="O8">
        <v>50</v>
      </c>
      <c r="P8">
        <v>12</v>
      </c>
      <c r="Q8" t="s">
        <v>68</v>
      </c>
      <c r="R8">
        <v>3347.38</v>
      </c>
      <c r="S8">
        <v>696</v>
      </c>
      <c r="T8">
        <v>1160</v>
      </c>
      <c r="U8">
        <v>0</v>
      </c>
      <c r="V8">
        <v>2</v>
      </c>
      <c r="W8">
        <v>17556.8</v>
      </c>
      <c r="X8">
        <v>7709.5341013333336</v>
      </c>
      <c r="Y8">
        <v>3511.36</v>
      </c>
      <c r="Z8">
        <v>2980.17</v>
      </c>
      <c r="AA8">
        <v>58</v>
      </c>
      <c r="AB8">
        <v>1160</v>
      </c>
      <c r="AC8">
        <v>6000</v>
      </c>
      <c r="AD8" s="5">
        <v>45883</v>
      </c>
      <c r="AE8" t="s">
        <v>69</v>
      </c>
      <c r="AF8">
        <v>7122175275</v>
      </c>
      <c r="AG8" t="s">
        <v>671</v>
      </c>
      <c r="AI8" t="s">
        <v>638</v>
      </c>
      <c r="AJ8">
        <v>6815015</v>
      </c>
      <c r="AM8" t="s">
        <v>1004</v>
      </c>
      <c r="AN8">
        <v>2292504100</v>
      </c>
      <c r="AO8" t="s">
        <v>1001</v>
      </c>
      <c r="AP8">
        <v>7121074554</v>
      </c>
      <c r="AQ8" t="s">
        <v>1003</v>
      </c>
      <c r="AR8">
        <v>7121365176</v>
      </c>
      <c r="AY8">
        <v>34024.6</v>
      </c>
      <c r="AZ8">
        <v>0</v>
      </c>
      <c r="BA8">
        <v>1</v>
      </c>
      <c r="BB8" t="s">
        <v>1044</v>
      </c>
      <c r="BC8" t="s">
        <v>640</v>
      </c>
      <c r="BD8" t="s">
        <v>641</v>
      </c>
      <c r="BE8" t="s">
        <v>74</v>
      </c>
      <c r="BF8" t="s">
        <v>392</v>
      </c>
      <c r="BH8" t="s">
        <v>2715</v>
      </c>
      <c r="BK8">
        <v>4</v>
      </c>
      <c r="BL8">
        <v>4</v>
      </c>
      <c r="BM8" t="s">
        <v>2847</v>
      </c>
    </row>
    <row r="9" spans="1:65" x14ac:dyDescent="0.3">
      <c r="A9">
        <v>1447</v>
      </c>
      <c r="B9" t="s">
        <v>61</v>
      </c>
      <c r="C9" t="s">
        <v>392</v>
      </c>
      <c r="D9">
        <v>46</v>
      </c>
      <c r="E9" t="s">
        <v>1068</v>
      </c>
      <c r="F9">
        <v>39</v>
      </c>
      <c r="G9" t="s">
        <v>2763</v>
      </c>
      <c r="H9">
        <v>1447</v>
      </c>
      <c r="I9">
        <v>1</v>
      </c>
      <c r="J9" t="s">
        <v>1370</v>
      </c>
      <c r="K9" s="5">
        <v>45835</v>
      </c>
      <c r="L9" s="5">
        <v>46023</v>
      </c>
      <c r="M9">
        <v>20000</v>
      </c>
      <c r="N9">
        <v>21068.16</v>
      </c>
      <c r="O9">
        <v>43</v>
      </c>
      <c r="P9">
        <v>6</v>
      </c>
      <c r="Q9" t="s">
        <v>68</v>
      </c>
      <c r="R9">
        <v>5149.28</v>
      </c>
      <c r="S9">
        <v>348</v>
      </c>
      <c r="T9">
        <v>580</v>
      </c>
      <c r="U9">
        <v>0</v>
      </c>
      <c r="V9">
        <v>1.2</v>
      </c>
      <c r="W9">
        <v>15044.01</v>
      </c>
      <c r="X9">
        <v>6727.8529232000001</v>
      </c>
      <c r="Y9">
        <v>4509.93</v>
      </c>
      <c r="Z9">
        <v>1579.92</v>
      </c>
      <c r="AA9">
        <v>58</v>
      </c>
      <c r="AB9">
        <v>580</v>
      </c>
      <c r="AC9">
        <v>1730</v>
      </c>
      <c r="AD9" s="5">
        <v>45909</v>
      </c>
      <c r="AE9" t="s">
        <v>69</v>
      </c>
      <c r="AF9">
        <v>7121828911</v>
      </c>
      <c r="AG9" t="s">
        <v>1371</v>
      </c>
      <c r="AI9" t="s">
        <v>1372</v>
      </c>
      <c r="AJ9">
        <v>8811011</v>
      </c>
      <c r="AK9" t="s">
        <v>1373</v>
      </c>
      <c r="AL9">
        <v>7121343454</v>
      </c>
      <c r="AM9" t="s">
        <v>1374</v>
      </c>
      <c r="AN9">
        <v>7121665559</v>
      </c>
      <c r="AO9" t="s">
        <v>1375</v>
      </c>
      <c r="AP9">
        <v>7121604381</v>
      </c>
      <c r="AQ9" t="s">
        <v>1376</v>
      </c>
      <c r="AR9">
        <v>7121324666</v>
      </c>
      <c r="AY9">
        <v>22001.71</v>
      </c>
      <c r="AZ9">
        <v>0</v>
      </c>
      <c r="BA9">
        <v>1</v>
      </c>
      <c r="BB9" t="s">
        <v>1044</v>
      </c>
      <c r="BC9" t="s">
        <v>2899</v>
      </c>
      <c r="BD9" t="s">
        <v>641</v>
      </c>
      <c r="BE9" t="s">
        <v>74</v>
      </c>
      <c r="BF9" t="s">
        <v>392</v>
      </c>
      <c r="BG9" t="s">
        <v>1378</v>
      </c>
      <c r="BH9" t="s">
        <v>2715</v>
      </c>
      <c r="BK9">
        <v>2</v>
      </c>
      <c r="BL9">
        <v>2</v>
      </c>
      <c r="BM9" t="s">
        <v>2847</v>
      </c>
    </row>
    <row r="10" spans="1:65" x14ac:dyDescent="0.3">
      <c r="A10">
        <v>1609</v>
      </c>
      <c r="B10" t="s">
        <v>61</v>
      </c>
      <c r="C10" t="s">
        <v>392</v>
      </c>
      <c r="D10">
        <v>47</v>
      </c>
      <c r="E10" t="s">
        <v>634</v>
      </c>
      <c r="F10">
        <v>39</v>
      </c>
      <c r="G10" t="s">
        <v>2763</v>
      </c>
      <c r="H10">
        <v>1609</v>
      </c>
      <c r="I10">
        <v>1</v>
      </c>
      <c r="J10" t="s">
        <v>2700</v>
      </c>
      <c r="K10" s="5">
        <v>45873</v>
      </c>
      <c r="L10" s="5">
        <v>46238</v>
      </c>
      <c r="M10">
        <v>20000</v>
      </c>
      <c r="N10">
        <v>21068.16</v>
      </c>
      <c r="O10">
        <v>40</v>
      </c>
      <c r="P10">
        <v>12</v>
      </c>
      <c r="Q10" t="s">
        <v>68</v>
      </c>
      <c r="R10">
        <v>3347.38</v>
      </c>
      <c r="S10">
        <v>696</v>
      </c>
      <c r="T10">
        <v>1160</v>
      </c>
      <c r="U10">
        <v>0</v>
      </c>
      <c r="V10">
        <v>2</v>
      </c>
      <c r="W10">
        <v>21068.16</v>
      </c>
      <c r="X10">
        <v>7854.77</v>
      </c>
      <c r="Y10">
        <v>3511.36</v>
      </c>
      <c r="Z10">
        <v>3067.41</v>
      </c>
      <c r="AA10">
        <v>116</v>
      </c>
      <c r="AB10">
        <v>1160</v>
      </c>
      <c r="AE10" t="s">
        <v>69</v>
      </c>
      <c r="AF10">
        <v>7226431992</v>
      </c>
      <c r="AG10" t="s">
        <v>2702</v>
      </c>
      <c r="AI10" t="s">
        <v>2703</v>
      </c>
      <c r="AJ10">
        <v>2419069</v>
      </c>
      <c r="AK10" t="s">
        <v>2705</v>
      </c>
      <c r="AM10" t="s">
        <v>2706</v>
      </c>
      <c r="AN10">
        <v>7121328986</v>
      </c>
      <c r="AO10" t="s">
        <v>2708</v>
      </c>
      <c r="AP10">
        <v>5539078632</v>
      </c>
      <c r="AQ10" t="s">
        <v>2710</v>
      </c>
      <c r="AR10">
        <v>7204332006</v>
      </c>
      <c r="AY10">
        <v>40748.6</v>
      </c>
      <c r="AZ10">
        <v>0</v>
      </c>
      <c r="BA10">
        <v>1</v>
      </c>
      <c r="BB10" t="s">
        <v>1044</v>
      </c>
      <c r="BC10" t="s">
        <v>2966</v>
      </c>
      <c r="BD10" t="s">
        <v>2713</v>
      </c>
      <c r="BE10" t="s">
        <v>74</v>
      </c>
      <c r="BF10" t="s">
        <v>392</v>
      </c>
      <c r="BG10" t="s">
        <v>2714</v>
      </c>
      <c r="BH10" t="s">
        <v>2715</v>
      </c>
      <c r="BK10">
        <v>2</v>
      </c>
      <c r="BL10">
        <v>2</v>
      </c>
      <c r="BM10" t="s">
        <v>2847</v>
      </c>
    </row>
    <row r="11" spans="1:65" x14ac:dyDescent="0.3">
      <c r="A11">
        <v>1338</v>
      </c>
      <c r="B11" t="s">
        <v>61</v>
      </c>
      <c r="C11" t="s">
        <v>392</v>
      </c>
      <c r="D11">
        <v>49</v>
      </c>
      <c r="E11" t="s">
        <v>658</v>
      </c>
      <c r="F11">
        <v>80</v>
      </c>
      <c r="G11" t="s">
        <v>2803</v>
      </c>
      <c r="H11">
        <v>1338</v>
      </c>
      <c r="I11">
        <v>1</v>
      </c>
      <c r="J11" t="s">
        <v>660</v>
      </c>
      <c r="K11" s="5">
        <v>45803</v>
      </c>
      <c r="L11" s="5">
        <v>46168</v>
      </c>
      <c r="M11">
        <v>15000</v>
      </c>
      <c r="N11">
        <v>15801.12</v>
      </c>
      <c r="O11">
        <v>18</v>
      </c>
      <c r="P11">
        <v>12</v>
      </c>
      <c r="Q11" t="s">
        <v>68</v>
      </c>
      <c r="R11">
        <v>2525.04</v>
      </c>
      <c r="S11">
        <v>696</v>
      </c>
      <c r="T11">
        <v>0</v>
      </c>
      <c r="U11">
        <v>0</v>
      </c>
      <c r="V11">
        <v>0.4</v>
      </c>
      <c r="W11">
        <v>11613.19</v>
      </c>
      <c r="X11">
        <v>1079.110576</v>
      </c>
      <c r="Y11">
        <v>1079.1100000000001</v>
      </c>
      <c r="Z11">
        <v>0</v>
      </c>
      <c r="AA11">
        <v>0</v>
      </c>
      <c r="AB11">
        <v>0</v>
      </c>
      <c r="AC11">
        <v>500</v>
      </c>
      <c r="AD11" s="5">
        <v>45943</v>
      </c>
      <c r="AE11" t="s">
        <v>69</v>
      </c>
      <c r="AF11">
        <v>7121830408</v>
      </c>
      <c r="AG11" t="s">
        <v>662</v>
      </c>
      <c r="AI11" t="s">
        <v>481</v>
      </c>
      <c r="AJ11">
        <v>8712011</v>
      </c>
      <c r="AM11" t="s">
        <v>997</v>
      </c>
      <c r="AN11">
        <v>7225524341</v>
      </c>
      <c r="AO11" t="s">
        <v>994</v>
      </c>
      <c r="AP11">
        <v>7121544724</v>
      </c>
      <c r="AQ11" t="s">
        <v>996</v>
      </c>
      <c r="AR11">
        <v>7121633320</v>
      </c>
      <c r="AY11">
        <v>20815.41</v>
      </c>
      <c r="AZ11">
        <v>0</v>
      </c>
      <c r="BA11">
        <v>1</v>
      </c>
      <c r="BB11" t="s">
        <v>1044</v>
      </c>
      <c r="BC11" t="s">
        <v>2896</v>
      </c>
      <c r="BD11" t="s">
        <v>664</v>
      </c>
      <c r="BE11" t="s">
        <v>74</v>
      </c>
      <c r="BF11" t="s">
        <v>392</v>
      </c>
      <c r="BH11" t="s">
        <v>2715</v>
      </c>
      <c r="BK11">
        <v>3</v>
      </c>
      <c r="BL11">
        <v>3</v>
      </c>
      <c r="BM11" t="s">
        <v>2847</v>
      </c>
    </row>
    <row r="12" spans="1:65" x14ac:dyDescent="0.3">
      <c r="A12">
        <v>1392</v>
      </c>
      <c r="B12" t="s">
        <v>61</v>
      </c>
      <c r="C12" t="s">
        <v>392</v>
      </c>
      <c r="D12">
        <v>49</v>
      </c>
      <c r="E12" t="s">
        <v>658</v>
      </c>
      <c r="F12">
        <v>39</v>
      </c>
      <c r="G12" t="s">
        <v>2763</v>
      </c>
      <c r="H12">
        <v>1392</v>
      </c>
      <c r="I12">
        <v>1</v>
      </c>
      <c r="J12" t="s">
        <v>1208</v>
      </c>
      <c r="K12" s="5">
        <v>45825</v>
      </c>
      <c r="L12" s="5">
        <v>45993</v>
      </c>
      <c r="M12">
        <v>8000</v>
      </c>
      <c r="N12">
        <v>8427.26</v>
      </c>
      <c r="O12">
        <v>7</v>
      </c>
      <c r="P12">
        <v>12</v>
      </c>
      <c r="Q12" t="s">
        <v>496</v>
      </c>
      <c r="R12">
        <v>1042.6400000000001</v>
      </c>
      <c r="S12">
        <v>696</v>
      </c>
      <c r="T12">
        <v>0</v>
      </c>
      <c r="U12">
        <v>8</v>
      </c>
      <c r="V12">
        <v>0.2</v>
      </c>
      <c r="W12">
        <v>2968.2200000000003</v>
      </c>
      <c r="X12">
        <v>159.13330000000002</v>
      </c>
      <c r="Y12">
        <v>159.13</v>
      </c>
      <c r="Z12">
        <v>0</v>
      </c>
      <c r="AA12">
        <v>0</v>
      </c>
      <c r="AB12">
        <v>0</v>
      </c>
      <c r="AC12">
        <v>1050</v>
      </c>
      <c r="AD12" s="5">
        <v>45940</v>
      </c>
      <c r="AE12" t="s">
        <v>69</v>
      </c>
      <c r="AF12">
        <v>7121159067</v>
      </c>
      <c r="AG12" t="s">
        <v>1209</v>
      </c>
      <c r="AI12" t="s">
        <v>98</v>
      </c>
      <c r="AJ12">
        <v>222018</v>
      </c>
      <c r="AM12" t="s">
        <v>1210</v>
      </c>
      <c r="AN12">
        <v>5585724160</v>
      </c>
      <c r="AO12" t="s">
        <v>1211</v>
      </c>
      <c r="AP12">
        <v>7121359448</v>
      </c>
      <c r="AQ12" t="s">
        <v>1212</v>
      </c>
      <c r="AR12">
        <v>7121918364</v>
      </c>
      <c r="AY12">
        <v>4097.6900000000005</v>
      </c>
      <c r="AZ12">
        <v>0</v>
      </c>
      <c r="BA12">
        <v>1</v>
      </c>
      <c r="BB12" t="s">
        <v>1044</v>
      </c>
      <c r="BC12" t="s">
        <v>2875</v>
      </c>
      <c r="BD12" t="s">
        <v>1214</v>
      </c>
      <c r="BE12" t="s">
        <v>74</v>
      </c>
      <c r="BF12" t="s">
        <v>670</v>
      </c>
      <c r="BG12" t="s">
        <v>1215</v>
      </c>
      <c r="BH12" t="s">
        <v>2715</v>
      </c>
      <c r="BK12">
        <v>5</v>
      </c>
      <c r="BL12">
        <v>4</v>
      </c>
      <c r="BM12" t="s">
        <v>2847</v>
      </c>
    </row>
    <row r="13" spans="1:65" x14ac:dyDescent="0.3">
      <c r="A13">
        <v>1405</v>
      </c>
      <c r="B13" t="s">
        <v>61</v>
      </c>
      <c r="C13" t="s">
        <v>392</v>
      </c>
      <c r="D13">
        <v>46</v>
      </c>
      <c r="E13" t="s">
        <v>1068</v>
      </c>
      <c r="F13">
        <v>39</v>
      </c>
      <c r="G13" t="s">
        <v>2763</v>
      </c>
      <c r="H13">
        <v>1405</v>
      </c>
      <c r="I13">
        <v>1</v>
      </c>
      <c r="J13" t="s">
        <v>1184</v>
      </c>
      <c r="K13" s="5">
        <v>45824</v>
      </c>
      <c r="L13" s="5">
        <v>46007</v>
      </c>
      <c r="M13">
        <v>10000</v>
      </c>
      <c r="N13">
        <v>10534.08</v>
      </c>
      <c r="O13">
        <v>0</v>
      </c>
      <c r="P13">
        <v>6</v>
      </c>
      <c r="Q13" t="s">
        <v>68</v>
      </c>
      <c r="R13">
        <v>2582.63</v>
      </c>
      <c r="S13">
        <v>348</v>
      </c>
      <c r="T13">
        <v>0</v>
      </c>
      <c r="U13">
        <v>0</v>
      </c>
      <c r="V13">
        <v>0</v>
      </c>
      <c r="W13">
        <v>5267.04</v>
      </c>
      <c r="X13">
        <v>0</v>
      </c>
      <c r="Y13">
        <v>0</v>
      </c>
      <c r="Z13">
        <v>0</v>
      </c>
      <c r="AA13">
        <v>0</v>
      </c>
      <c r="AB13">
        <v>0</v>
      </c>
      <c r="AC13">
        <v>2583</v>
      </c>
      <c r="AD13" s="5">
        <v>45917</v>
      </c>
      <c r="AE13" t="s">
        <v>69</v>
      </c>
      <c r="AF13">
        <v>7121352721</v>
      </c>
      <c r="AG13" t="s">
        <v>1185</v>
      </c>
      <c r="AI13" t="s">
        <v>89</v>
      </c>
      <c r="AJ13">
        <v>6211023</v>
      </c>
      <c r="AK13" t="s">
        <v>1186</v>
      </c>
      <c r="AL13">
        <v>7122420463</v>
      </c>
      <c r="AM13" t="s">
        <v>1187</v>
      </c>
      <c r="AN13">
        <v>7123382847</v>
      </c>
      <c r="AO13" t="s">
        <v>1188</v>
      </c>
      <c r="AP13">
        <v>7204361258</v>
      </c>
      <c r="AQ13" t="s">
        <v>1189</v>
      </c>
      <c r="AR13">
        <v>7121754870</v>
      </c>
      <c r="AY13">
        <v>7572.8</v>
      </c>
      <c r="AZ13">
        <v>1.1018208</v>
      </c>
      <c r="BA13">
        <v>1</v>
      </c>
      <c r="BB13" t="s">
        <v>1044</v>
      </c>
      <c r="BC13" t="s">
        <v>2998</v>
      </c>
      <c r="BD13" t="s">
        <v>1191</v>
      </c>
      <c r="BE13" t="s">
        <v>74</v>
      </c>
      <c r="BF13" t="s">
        <v>392</v>
      </c>
      <c r="BG13" t="s">
        <v>1192</v>
      </c>
      <c r="BH13" t="s">
        <v>2715</v>
      </c>
      <c r="BK13">
        <v>0</v>
      </c>
      <c r="BL13">
        <v>0</v>
      </c>
      <c r="BM13" t="s">
        <v>2847</v>
      </c>
    </row>
    <row r="14" spans="1:65" x14ac:dyDescent="0.3">
      <c r="A14">
        <v>1449</v>
      </c>
      <c r="B14" t="s">
        <v>61</v>
      </c>
      <c r="C14" t="s">
        <v>392</v>
      </c>
      <c r="D14">
        <v>46</v>
      </c>
      <c r="E14" t="s">
        <v>1068</v>
      </c>
      <c r="F14">
        <v>39</v>
      </c>
      <c r="G14" t="s">
        <v>2763</v>
      </c>
      <c r="H14">
        <v>1449</v>
      </c>
      <c r="I14">
        <v>1</v>
      </c>
      <c r="J14" t="s">
        <v>1365</v>
      </c>
      <c r="K14" s="5">
        <v>45834</v>
      </c>
      <c r="L14" s="5">
        <v>46023</v>
      </c>
      <c r="M14">
        <v>20000</v>
      </c>
      <c r="N14">
        <v>21068.16</v>
      </c>
      <c r="O14">
        <v>0</v>
      </c>
      <c r="P14">
        <v>6</v>
      </c>
      <c r="Q14" t="s">
        <v>68</v>
      </c>
      <c r="R14">
        <v>5115.67</v>
      </c>
      <c r="S14">
        <v>348</v>
      </c>
      <c r="T14">
        <v>0</v>
      </c>
      <c r="U14">
        <v>0</v>
      </c>
      <c r="V14">
        <v>0</v>
      </c>
      <c r="W14">
        <v>10534.08</v>
      </c>
      <c r="X14">
        <v>0</v>
      </c>
      <c r="Y14">
        <v>0</v>
      </c>
      <c r="Z14">
        <v>0</v>
      </c>
      <c r="AA14">
        <v>0</v>
      </c>
      <c r="AB14">
        <v>0</v>
      </c>
      <c r="AC14">
        <v>10811.34</v>
      </c>
      <c r="AD14" s="5">
        <v>45903</v>
      </c>
      <c r="AE14" t="s">
        <v>69</v>
      </c>
      <c r="AF14">
        <v>7122511512</v>
      </c>
      <c r="AG14" t="s">
        <v>2815</v>
      </c>
      <c r="AI14" t="s">
        <v>256</v>
      </c>
      <c r="AJ14">
        <v>9213018</v>
      </c>
      <c r="AM14" t="s">
        <v>1366</v>
      </c>
      <c r="AN14">
        <v>7121024857</v>
      </c>
      <c r="AO14" t="s">
        <v>1367</v>
      </c>
      <c r="AP14">
        <v>7121698198</v>
      </c>
      <c r="AQ14" t="s">
        <v>1368</v>
      </c>
      <c r="AR14">
        <v>7121336465</v>
      </c>
      <c r="AY14">
        <v>15173.01</v>
      </c>
      <c r="AZ14">
        <v>2.0768000000000002E-3</v>
      </c>
      <c r="BA14">
        <v>1</v>
      </c>
      <c r="BB14" t="s">
        <v>1044</v>
      </c>
      <c r="BC14" t="s">
        <v>2944</v>
      </c>
      <c r="BD14" t="s">
        <v>1696</v>
      </c>
      <c r="BE14" t="s">
        <v>74</v>
      </c>
      <c r="BF14" t="s">
        <v>392</v>
      </c>
      <c r="BG14" t="s">
        <v>1369</v>
      </c>
      <c r="BH14" t="s">
        <v>2715</v>
      </c>
      <c r="BK14">
        <v>1</v>
      </c>
      <c r="BL14">
        <v>1</v>
      </c>
      <c r="BM14" t="s">
        <v>2847</v>
      </c>
    </row>
    <row r="15" spans="1:65" x14ac:dyDescent="0.3">
      <c r="A15">
        <v>1388</v>
      </c>
      <c r="B15" t="s">
        <v>61</v>
      </c>
      <c r="C15" t="s">
        <v>392</v>
      </c>
      <c r="D15">
        <v>48</v>
      </c>
      <c r="E15" t="s">
        <v>1131</v>
      </c>
      <c r="F15">
        <v>39</v>
      </c>
      <c r="G15" t="s">
        <v>2763</v>
      </c>
      <c r="H15">
        <v>1388</v>
      </c>
      <c r="I15">
        <v>1</v>
      </c>
      <c r="J15" t="s">
        <v>1132</v>
      </c>
      <c r="K15" s="5">
        <v>45818</v>
      </c>
      <c r="L15" s="5">
        <v>46001</v>
      </c>
      <c r="M15">
        <v>40000</v>
      </c>
      <c r="N15">
        <v>42136.31</v>
      </c>
      <c r="O15">
        <v>0</v>
      </c>
      <c r="P15">
        <v>6</v>
      </c>
      <c r="Q15" t="s">
        <v>68</v>
      </c>
      <c r="R15">
        <v>10156.530000000001</v>
      </c>
      <c r="S15">
        <v>348</v>
      </c>
      <c r="T15">
        <v>580</v>
      </c>
      <c r="U15">
        <v>0</v>
      </c>
      <c r="V15">
        <v>0</v>
      </c>
      <c r="W15">
        <v>14045.44</v>
      </c>
      <c r="X15">
        <v>579.05403586666705</v>
      </c>
      <c r="Y15">
        <v>0</v>
      </c>
      <c r="Z15">
        <v>0</v>
      </c>
      <c r="AA15">
        <v>0</v>
      </c>
      <c r="AB15">
        <v>580</v>
      </c>
      <c r="AC15">
        <v>10157</v>
      </c>
      <c r="AD15" s="5">
        <v>45941</v>
      </c>
      <c r="AE15" t="s">
        <v>69</v>
      </c>
      <c r="AF15">
        <v>5511319176</v>
      </c>
      <c r="AG15" t="s">
        <v>1133</v>
      </c>
      <c r="AI15" t="s">
        <v>1134</v>
      </c>
      <c r="AJ15">
        <v>221010</v>
      </c>
      <c r="AK15" t="s">
        <v>1135</v>
      </c>
      <c r="AL15">
        <v>7121586321</v>
      </c>
      <c r="AM15" t="s">
        <v>1136</v>
      </c>
      <c r="AN15">
        <v>7121180744</v>
      </c>
      <c r="AO15" t="s">
        <v>1137</v>
      </c>
      <c r="AP15">
        <v>7122139937</v>
      </c>
      <c r="AQ15" t="s">
        <v>1138</v>
      </c>
      <c r="AR15">
        <v>5529501737</v>
      </c>
      <c r="AY15">
        <v>20776.11</v>
      </c>
      <c r="AZ15">
        <v>0</v>
      </c>
      <c r="BA15">
        <v>1</v>
      </c>
      <c r="BB15" t="s">
        <v>1044</v>
      </c>
      <c r="BC15" t="s">
        <v>2873</v>
      </c>
      <c r="BD15" t="s">
        <v>1140</v>
      </c>
      <c r="BE15" t="s">
        <v>74</v>
      </c>
      <c r="BF15" t="s">
        <v>1141</v>
      </c>
      <c r="BG15" t="s">
        <v>1142</v>
      </c>
      <c r="BH15" t="s">
        <v>2715</v>
      </c>
      <c r="BK15">
        <v>1</v>
      </c>
      <c r="BL15">
        <v>1</v>
      </c>
      <c r="BM15" t="s">
        <v>2847</v>
      </c>
    </row>
    <row r="16" spans="1:65" x14ac:dyDescent="0.3">
      <c r="A16">
        <v>1364</v>
      </c>
      <c r="B16" t="s">
        <v>61</v>
      </c>
      <c r="C16" t="s">
        <v>392</v>
      </c>
      <c r="D16">
        <v>45</v>
      </c>
      <c r="E16" t="s">
        <v>665</v>
      </c>
      <c r="F16">
        <v>39</v>
      </c>
      <c r="G16" t="s">
        <v>2763</v>
      </c>
      <c r="H16">
        <v>1364</v>
      </c>
      <c r="I16">
        <v>1</v>
      </c>
      <c r="J16" t="s">
        <v>1058</v>
      </c>
      <c r="K16" s="5">
        <v>45811</v>
      </c>
      <c r="L16" s="5">
        <v>45994</v>
      </c>
      <c r="M16">
        <v>10000</v>
      </c>
      <c r="N16">
        <v>10534.08</v>
      </c>
      <c r="O16">
        <v>0</v>
      </c>
      <c r="P16">
        <v>6</v>
      </c>
      <c r="Q16" t="s">
        <v>68</v>
      </c>
      <c r="R16">
        <v>2582.63</v>
      </c>
      <c r="S16">
        <v>348</v>
      </c>
      <c r="T16">
        <v>0</v>
      </c>
      <c r="U16">
        <v>0</v>
      </c>
      <c r="V16">
        <v>0</v>
      </c>
      <c r="W16">
        <v>3511.36</v>
      </c>
      <c r="X16">
        <v>0</v>
      </c>
      <c r="Y16">
        <v>0</v>
      </c>
      <c r="Z16">
        <v>0</v>
      </c>
      <c r="AA16">
        <v>0</v>
      </c>
      <c r="AB16">
        <v>0</v>
      </c>
      <c r="AC16">
        <v>2583</v>
      </c>
      <c r="AD16" s="5">
        <v>45933</v>
      </c>
      <c r="AE16" t="s">
        <v>69</v>
      </c>
      <c r="AF16">
        <v>7718840405</v>
      </c>
      <c r="AG16" t="s">
        <v>1059</v>
      </c>
      <c r="AI16" t="s">
        <v>1060</v>
      </c>
      <c r="AJ16">
        <v>3319010</v>
      </c>
      <c r="AK16" t="s">
        <v>1061</v>
      </c>
      <c r="AL16">
        <v>7718840405</v>
      </c>
      <c r="AM16" t="s">
        <v>1062</v>
      </c>
      <c r="AN16">
        <v>7121880872</v>
      </c>
      <c r="AO16" t="s">
        <v>1063</v>
      </c>
      <c r="AP16">
        <v>7297180978</v>
      </c>
      <c r="AQ16" t="s">
        <v>1064</v>
      </c>
      <c r="AR16">
        <v>5511936135</v>
      </c>
      <c r="AY16">
        <v>5014.8</v>
      </c>
      <c r="AZ16">
        <v>34.47</v>
      </c>
      <c r="BA16">
        <v>1</v>
      </c>
      <c r="BB16" t="s">
        <v>1044</v>
      </c>
      <c r="BC16" t="s">
        <v>2970</v>
      </c>
      <c r="BD16" t="s">
        <v>1065</v>
      </c>
      <c r="BE16" t="s">
        <v>74</v>
      </c>
      <c r="BF16" t="s">
        <v>1066</v>
      </c>
      <c r="BG16" t="s">
        <v>1067</v>
      </c>
      <c r="BH16" t="s">
        <v>2715</v>
      </c>
      <c r="BK16">
        <v>0</v>
      </c>
      <c r="BL16">
        <v>0</v>
      </c>
      <c r="BM16" t="s">
        <v>2847</v>
      </c>
    </row>
    <row r="17" spans="1:65" x14ac:dyDescent="0.3">
      <c r="A17">
        <v>1368</v>
      </c>
      <c r="B17" t="s">
        <v>61</v>
      </c>
      <c r="C17" t="s">
        <v>392</v>
      </c>
      <c r="D17">
        <v>46</v>
      </c>
      <c r="E17" t="s">
        <v>1068</v>
      </c>
      <c r="F17">
        <v>39</v>
      </c>
      <c r="G17" t="s">
        <v>2763</v>
      </c>
      <c r="H17">
        <v>1368</v>
      </c>
      <c r="I17">
        <v>1</v>
      </c>
      <c r="J17" t="s">
        <v>1069</v>
      </c>
      <c r="K17" s="5">
        <v>45811</v>
      </c>
      <c r="L17" s="5">
        <v>45979</v>
      </c>
      <c r="M17">
        <v>5000</v>
      </c>
      <c r="N17">
        <v>5267.04</v>
      </c>
      <c r="O17">
        <v>0</v>
      </c>
      <c r="P17">
        <v>24</v>
      </c>
      <c r="Q17" t="s">
        <v>469</v>
      </c>
      <c r="R17">
        <v>365.7</v>
      </c>
      <c r="S17">
        <v>1392</v>
      </c>
      <c r="T17">
        <v>0</v>
      </c>
      <c r="U17">
        <v>19</v>
      </c>
      <c r="V17">
        <v>0</v>
      </c>
      <c r="W17">
        <v>1097.3</v>
      </c>
      <c r="X17">
        <v>0</v>
      </c>
      <c r="Y17">
        <v>0</v>
      </c>
      <c r="Z17">
        <v>0</v>
      </c>
      <c r="AA17">
        <v>0</v>
      </c>
      <c r="AB17">
        <v>0</v>
      </c>
      <c r="AC17">
        <v>367</v>
      </c>
      <c r="AD17" s="5">
        <v>45940</v>
      </c>
      <c r="AE17" t="s">
        <v>69</v>
      </c>
      <c r="AF17">
        <v>7122169338</v>
      </c>
      <c r="AG17" t="s">
        <v>1070</v>
      </c>
      <c r="AI17" t="s">
        <v>379</v>
      </c>
      <c r="AJ17">
        <v>6112023</v>
      </c>
      <c r="AK17" t="s">
        <v>1071</v>
      </c>
      <c r="AL17">
        <v>7122169338</v>
      </c>
      <c r="AM17" t="s">
        <v>1072</v>
      </c>
      <c r="AN17">
        <v>5653738175</v>
      </c>
      <c r="AO17" t="s">
        <v>1073</v>
      </c>
      <c r="AP17">
        <v>7124110220</v>
      </c>
      <c r="AQ17" t="s">
        <v>1074</v>
      </c>
      <c r="AR17">
        <v>7124154357</v>
      </c>
      <c r="AY17">
        <v>1499.01</v>
      </c>
      <c r="AZ17">
        <v>39.490940799999997</v>
      </c>
      <c r="BA17">
        <v>1</v>
      </c>
      <c r="BB17" t="s">
        <v>1044</v>
      </c>
      <c r="BC17" t="s">
        <v>2980</v>
      </c>
      <c r="BD17" t="s">
        <v>1076</v>
      </c>
      <c r="BE17" t="s">
        <v>74</v>
      </c>
      <c r="BF17" t="s">
        <v>392</v>
      </c>
      <c r="BG17" t="s">
        <v>1077</v>
      </c>
      <c r="BH17" t="s">
        <v>2715</v>
      </c>
      <c r="BK17">
        <v>0</v>
      </c>
      <c r="BL17">
        <v>0</v>
      </c>
      <c r="BM17" t="s">
        <v>2847</v>
      </c>
    </row>
    <row r="18" spans="1:65" x14ac:dyDescent="0.3">
      <c r="A18">
        <v>1370</v>
      </c>
      <c r="B18" t="s">
        <v>61</v>
      </c>
      <c r="C18" t="s">
        <v>392</v>
      </c>
      <c r="D18">
        <v>46</v>
      </c>
      <c r="E18" t="s">
        <v>1068</v>
      </c>
      <c r="F18">
        <v>39</v>
      </c>
      <c r="G18" t="s">
        <v>2763</v>
      </c>
      <c r="H18">
        <v>1370</v>
      </c>
      <c r="I18">
        <v>1</v>
      </c>
      <c r="J18" t="s">
        <v>1078</v>
      </c>
      <c r="K18" s="5">
        <v>45811</v>
      </c>
      <c r="L18" s="5">
        <v>45979</v>
      </c>
      <c r="M18">
        <v>5000</v>
      </c>
      <c r="N18">
        <v>5267.04</v>
      </c>
      <c r="O18">
        <v>0</v>
      </c>
      <c r="P18">
        <v>24</v>
      </c>
      <c r="Q18" t="s">
        <v>469</v>
      </c>
      <c r="R18">
        <v>365.7</v>
      </c>
      <c r="S18">
        <v>1392</v>
      </c>
      <c r="T18">
        <v>0</v>
      </c>
      <c r="U18">
        <v>19</v>
      </c>
      <c r="V18">
        <v>1</v>
      </c>
      <c r="W18">
        <v>1316.76</v>
      </c>
      <c r="X18">
        <v>365.41</v>
      </c>
      <c r="Y18">
        <v>219.46</v>
      </c>
      <c r="Z18">
        <v>88.24</v>
      </c>
      <c r="AA18">
        <v>57.71</v>
      </c>
      <c r="AB18">
        <v>0</v>
      </c>
      <c r="AC18">
        <v>365.7</v>
      </c>
      <c r="AD18" s="5">
        <v>45937</v>
      </c>
      <c r="AE18" t="s">
        <v>69</v>
      </c>
      <c r="AF18">
        <v>7122034888</v>
      </c>
      <c r="AG18" t="s">
        <v>1079</v>
      </c>
      <c r="AI18" t="s">
        <v>537</v>
      </c>
      <c r="AJ18">
        <v>6225024</v>
      </c>
      <c r="AM18" t="s">
        <v>1080</v>
      </c>
      <c r="AN18">
        <v>5560625707</v>
      </c>
      <c r="AO18" t="s">
        <v>1081</v>
      </c>
      <c r="AP18">
        <v>7121844102</v>
      </c>
      <c r="AQ18" t="s">
        <v>1082</v>
      </c>
      <c r="AR18">
        <v>7701010417</v>
      </c>
      <c r="AY18">
        <v>1903.91</v>
      </c>
      <c r="AZ18">
        <v>0</v>
      </c>
      <c r="BA18">
        <v>1</v>
      </c>
      <c r="BB18" t="s">
        <v>1044</v>
      </c>
      <c r="BC18" t="s">
        <v>3060</v>
      </c>
      <c r="BD18" t="s">
        <v>641</v>
      </c>
      <c r="BE18" t="s">
        <v>74</v>
      </c>
      <c r="BF18" t="s">
        <v>392</v>
      </c>
      <c r="BG18" t="s">
        <v>1084</v>
      </c>
      <c r="BH18" t="s">
        <v>2715</v>
      </c>
      <c r="BK18">
        <v>1</v>
      </c>
      <c r="BL18">
        <v>1</v>
      </c>
      <c r="BM18" t="s">
        <v>2847</v>
      </c>
    </row>
    <row r="19" spans="1:65" x14ac:dyDescent="0.3">
      <c r="A19">
        <v>1427</v>
      </c>
      <c r="B19" t="s">
        <v>61</v>
      </c>
      <c r="C19" t="s">
        <v>392</v>
      </c>
      <c r="D19">
        <v>48</v>
      </c>
      <c r="E19" t="s">
        <v>1131</v>
      </c>
      <c r="F19">
        <v>80</v>
      </c>
      <c r="G19" t="s">
        <v>2803</v>
      </c>
      <c r="H19">
        <v>1427</v>
      </c>
      <c r="I19">
        <v>1</v>
      </c>
      <c r="J19" t="s">
        <v>1305</v>
      </c>
      <c r="K19" s="5">
        <v>45828</v>
      </c>
      <c r="L19" s="5">
        <v>46193</v>
      </c>
      <c r="M19">
        <v>20000</v>
      </c>
      <c r="N19">
        <v>21068.16</v>
      </c>
      <c r="O19">
        <v>0</v>
      </c>
      <c r="P19">
        <v>12</v>
      </c>
      <c r="Q19" t="s">
        <v>68</v>
      </c>
      <c r="R19">
        <v>3347.38</v>
      </c>
      <c r="S19">
        <v>696</v>
      </c>
      <c r="T19">
        <v>0</v>
      </c>
      <c r="U19">
        <v>0</v>
      </c>
      <c r="V19">
        <v>0</v>
      </c>
      <c r="W19">
        <v>15801.12</v>
      </c>
      <c r="X19">
        <v>0</v>
      </c>
      <c r="Y19">
        <v>0</v>
      </c>
      <c r="Z19">
        <v>0</v>
      </c>
      <c r="AA19">
        <v>0</v>
      </c>
      <c r="AB19">
        <v>0</v>
      </c>
      <c r="AC19">
        <v>3950</v>
      </c>
      <c r="AD19" s="5">
        <v>45940</v>
      </c>
      <c r="AE19" t="s">
        <v>69</v>
      </c>
      <c r="AF19">
        <v>7121856272</v>
      </c>
      <c r="AG19" t="s">
        <v>1306</v>
      </c>
      <c r="AI19" t="s">
        <v>537</v>
      </c>
      <c r="AJ19">
        <v>6225024</v>
      </c>
      <c r="AK19" t="s">
        <v>1307</v>
      </c>
      <c r="AL19">
        <v>7121856272</v>
      </c>
      <c r="AM19" t="s">
        <v>1308</v>
      </c>
      <c r="AN19">
        <v>7227155850</v>
      </c>
      <c r="AO19" t="s">
        <v>1309</v>
      </c>
      <c r="AP19">
        <v>7122754843</v>
      </c>
      <c r="AQ19" t="s">
        <v>1310</v>
      </c>
      <c r="AR19">
        <v>7226957364</v>
      </c>
      <c r="AY19">
        <v>29581.600000000002</v>
      </c>
      <c r="AZ19">
        <v>22.85</v>
      </c>
      <c r="BA19">
        <v>1</v>
      </c>
      <c r="BB19" t="s">
        <v>1044</v>
      </c>
      <c r="BC19" t="s">
        <v>3003</v>
      </c>
      <c r="BD19" t="s">
        <v>1312</v>
      </c>
      <c r="BE19" t="s">
        <v>74</v>
      </c>
      <c r="BF19" t="s">
        <v>1141</v>
      </c>
      <c r="BG19" t="s">
        <v>1313</v>
      </c>
      <c r="BH19" t="s">
        <v>2715</v>
      </c>
      <c r="BK19">
        <v>3</v>
      </c>
      <c r="BL19">
        <v>3</v>
      </c>
      <c r="BM19" t="s">
        <v>2847</v>
      </c>
    </row>
    <row r="20" spans="1:65" x14ac:dyDescent="0.3">
      <c r="A20">
        <v>1460</v>
      </c>
      <c r="B20" t="s">
        <v>61</v>
      </c>
      <c r="C20" t="s">
        <v>392</v>
      </c>
      <c r="D20">
        <v>45</v>
      </c>
      <c r="E20" t="s">
        <v>665</v>
      </c>
      <c r="F20">
        <v>80</v>
      </c>
      <c r="G20" t="s">
        <v>2803</v>
      </c>
      <c r="H20">
        <v>1460</v>
      </c>
      <c r="I20">
        <v>1</v>
      </c>
      <c r="J20" t="s">
        <v>1557</v>
      </c>
      <c r="K20" s="5">
        <v>45839</v>
      </c>
      <c r="L20" s="5">
        <v>46204</v>
      </c>
      <c r="M20">
        <v>20000</v>
      </c>
      <c r="N20">
        <v>21068.16</v>
      </c>
      <c r="O20">
        <v>0</v>
      </c>
      <c r="P20">
        <v>12</v>
      </c>
      <c r="Q20" t="s">
        <v>68</v>
      </c>
      <c r="R20">
        <v>3347.38</v>
      </c>
      <c r="S20">
        <v>696</v>
      </c>
      <c r="T20">
        <v>0</v>
      </c>
      <c r="U20">
        <v>0</v>
      </c>
      <c r="V20">
        <v>0</v>
      </c>
      <c r="W20">
        <v>15801.12</v>
      </c>
      <c r="X20">
        <v>0</v>
      </c>
      <c r="Y20">
        <v>0</v>
      </c>
      <c r="Z20">
        <v>0</v>
      </c>
      <c r="AA20">
        <v>0</v>
      </c>
      <c r="AB20">
        <v>0</v>
      </c>
      <c r="AC20">
        <v>3800</v>
      </c>
      <c r="AD20" s="5">
        <v>45940</v>
      </c>
      <c r="AE20" t="s">
        <v>69</v>
      </c>
      <c r="AF20">
        <v>7122924932</v>
      </c>
      <c r="AG20" t="s">
        <v>1558</v>
      </c>
      <c r="AI20" t="s">
        <v>393</v>
      </c>
      <c r="AJ20">
        <v>131011</v>
      </c>
      <c r="AK20" t="s">
        <v>1559</v>
      </c>
      <c r="AL20">
        <v>7122621391</v>
      </c>
      <c r="AM20" t="s">
        <v>1560</v>
      </c>
      <c r="AN20">
        <v>5511381201</v>
      </c>
      <c r="AO20" t="s">
        <v>1561</v>
      </c>
      <c r="AP20">
        <v>7711301808</v>
      </c>
      <c r="AQ20" t="s">
        <v>1562</v>
      </c>
      <c r="AR20">
        <v>7121402932</v>
      </c>
      <c r="AY20">
        <v>29578.600000000002</v>
      </c>
      <c r="AZ20">
        <v>25.85</v>
      </c>
      <c r="BA20">
        <v>1</v>
      </c>
      <c r="BB20" t="s">
        <v>1044</v>
      </c>
      <c r="BC20" t="s">
        <v>2872</v>
      </c>
      <c r="BD20" t="s">
        <v>1564</v>
      </c>
      <c r="BE20" t="s">
        <v>74</v>
      </c>
      <c r="BF20" t="s">
        <v>392</v>
      </c>
      <c r="BG20" t="s">
        <v>1565</v>
      </c>
      <c r="BH20" t="s">
        <v>2715</v>
      </c>
      <c r="BK20">
        <v>2</v>
      </c>
      <c r="BL20">
        <v>2</v>
      </c>
      <c r="BM20" t="s">
        <v>2847</v>
      </c>
    </row>
  </sheetData>
  <autoFilter ref="B6:BV6" xr:uid="{79C39BAD-87E8-4BAC-831E-24FD8E3BC29B}"/>
  <conditionalFormatting sqref="O6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6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6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6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6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2E36E-0DA8-4936-B9A8-E39370A4AF29}">
  <sheetPr codeName="Hoja6"/>
  <dimension ref="A1:BU124"/>
  <sheetViews>
    <sheetView topLeftCell="B1" zoomScaleNormal="98" workbookViewId="0">
      <selection activeCell="B6" sqref="B6"/>
    </sheetView>
  </sheetViews>
  <sheetFormatPr baseColWidth="10" defaultRowHeight="14.4" x14ac:dyDescent="0.3"/>
  <cols>
    <col min="1" max="1" width="0" hidden="1" customWidth="1"/>
    <col min="2" max="2" width="39" bestFit="1" customWidth="1"/>
    <col min="3" max="3" width="18.33203125" bestFit="1" customWidth="1"/>
    <col min="5" max="5" width="28.21875" bestFit="1" customWidth="1"/>
    <col min="7" max="7" width="28.21875" bestFit="1" customWidth="1"/>
    <col min="10" max="10" width="36.77734375" bestFit="1" customWidth="1"/>
    <col min="13" max="13" width="13.77734375" bestFit="1" customWidth="1"/>
    <col min="14" max="14" width="13.77734375" customWidth="1"/>
    <col min="15" max="15" width="18.5546875" bestFit="1" customWidth="1"/>
    <col min="16" max="16" width="18.5546875" style="68" customWidth="1"/>
    <col min="47" max="47" width="16.88671875" bestFit="1" customWidth="1"/>
    <col min="48" max="48" width="30.44140625" bestFit="1" customWidth="1"/>
    <col min="49" max="50" width="30.109375" bestFit="1" customWidth="1"/>
    <col min="51" max="51" width="30.77734375" bestFit="1" customWidth="1"/>
  </cols>
  <sheetData>
    <row r="1" spans="1:73" x14ac:dyDescent="0.3">
      <c r="M1" s="11"/>
      <c r="N1" s="11"/>
    </row>
    <row r="2" spans="1:73" x14ac:dyDescent="0.3">
      <c r="M2" s="11"/>
      <c r="N2" s="11"/>
    </row>
    <row r="3" spans="1:73" x14ac:dyDescent="0.3">
      <c r="M3" s="11"/>
      <c r="N3" s="11"/>
    </row>
    <row r="4" spans="1:73" x14ac:dyDescent="0.3">
      <c r="M4" s="11"/>
      <c r="N4" s="11"/>
    </row>
    <row r="5" spans="1:73" ht="14.4" customHeight="1" x14ac:dyDescent="0.3">
      <c r="B5" s="6" t="s">
        <v>3061</v>
      </c>
      <c r="O5" s="11"/>
      <c r="P5" s="11"/>
      <c r="BM5" s="62" t="s">
        <v>1818</v>
      </c>
      <c r="BN5" s="62"/>
      <c r="BO5" s="62"/>
      <c r="BP5" s="62"/>
      <c r="BQ5" s="64" t="s">
        <v>1820</v>
      </c>
      <c r="BR5" s="64"/>
      <c r="BS5" s="64"/>
      <c r="BT5" s="64"/>
      <c r="BU5" s="64"/>
    </row>
    <row r="6" spans="1:73" s="27" customFormat="1" ht="69" x14ac:dyDescent="0.25">
      <c r="A6" s="56" t="s">
        <v>6</v>
      </c>
      <c r="B6" s="28" t="s">
        <v>0</v>
      </c>
      <c r="C6" s="28" t="s">
        <v>1</v>
      </c>
      <c r="D6" s="29" t="s">
        <v>2</v>
      </c>
      <c r="E6" s="29" t="s">
        <v>3</v>
      </c>
      <c r="F6" s="29" t="s">
        <v>4</v>
      </c>
      <c r="G6" s="29" t="s">
        <v>5</v>
      </c>
      <c r="H6" s="29" t="s">
        <v>6</v>
      </c>
      <c r="I6" s="28" t="s">
        <v>7</v>
      </c>
      <c r="J6" s="28" t="s">
        <v>8</v>
      </c>
      <c r="K6" s="30" t="s">
        <v>9</v>
      </c>
      <c r="L6" s="30" t="s">
        <v>10</v>
      </c>
      <c r="M6" s="31" t="s">
        <v>11</v>
      </c>
      <c r="N6" s="31" t="s">
        <v>12</v>
      </c>
      <c r="O6" s="7" t="s">
        <v>13</v>
      </c>
      <c r="P6" s="7" t="s">
        <v>2843</v>
      </c>
      <c r="Q6" s="28" t="s">
        <v>15</v>
      </c>
      <c r="R6" s="31" t="s">
        <v>16</v>
      </c>
      <c r="S6" s="31" t="s">
        <v>17</v>
      </c>
      <c r="T6" s="31" t="s">
        <v>18</v>
      </c>
      <c r="U6" s="32" t="s">
        <v>19</v>
      </c>
      <c r="V6" s="31" t="s">
        <v>20</v>
      </c>
      <c r="W6" s="33" t="s">
        <v>21</v>
      </c>
      <c r="X6" s="8" t="s">
        <v>22</v>
      </c>
      <c r="Y6" s="9" t="s">
        <v>23</v>
      </c>
      <c r="Z6" s="9" t="s">
        <v>24</v>
      </c>
      <c r="AA6" s="9" t="s">
        <v>25</v>
      </c>
      <c r="AB6" s="9" t="s">
        <v>26</v>
      </c>
      <c r="AC6" s="31" t="s">
        <v>27</v>
      </c>
      <c r="AD6" s="30" t="s">
        <v>28</v>
      </c>
      <c r="AE6" s="34" t="s">
        <v>29</v>
      </c>
      <c r="AF6" s="29" t="s">
        <v>30</v>
      </c>
      <c r="AG6" s="29" t="s">
        <v>31</v>
      </c>
      <c r="AH6" s="29" t="s">
        <v>32</v>
      </c>
      <c r="AI6" s="29" t="s">
        <v>33</v>
      </c>
      <c r="AJ6" s="29" t="s">
        <v>34</v>
      </c>
      <c r="AK6" s="29" t="s">
        <v>35</v>
      </c>
      <c r="AL6" s="29" t="s">
        <v>36</v>
      </c>
      <c r="AM6" s="29" t="s">
        <v>37</v>
      </c>
      <c r="AN6" s="29" t="s">
        <v>38</v>
      </c>
      <c r="AO6" s="29" t="s">
        <v>39</v>
      </c>
      <c r="AP6" s="29" t="s">
        <v>40</v>
      </c>
      <c r="AQ6" s="29" t="s">
        <v>41</v>
      </c>
      <c r="AR6" s="29" t="s">
        <v>42</v>
      </c>
      <c r="AS6" s="28" t="s">
        <v>43</v>
      </c>
      <c r="AT6" s="35" t="s">
        <v>44</v>
      </c>
      <c r="AU6" s="28" t="s">
        <v>45</v>
      </c>
      <c r="AV6" s="28" t="s">
        <v>46</v>
      </c>
      <c r="AW6" s="35" t="s">
        <v>47</v>
      </c>
      <c r="AX6" s="28" t="s">
        <v>48</v>
      </c>
      <c r="AY6" s="31" t="s">
        <v>49</v>
      </c>
      <c r="AZ6" s="31" t="s">
        <v>50</v>
      </c>
      <c r="BA6" s="29" t="s">
        <v>51</v>
      </c>
      <c r="BB6" s="29" t="s">
        <v>52</v>
      </c>
      <c r="BC6" s="28" t="s">
        <v>53</v>
      </c>
      <c r="BD6" s="28" t="s">
        <v>54</v>
      </c>
      <c r="BE6" s="29" t="s">
        <v>55</v>
      </c>
      <c r="BF6" s="28" t="s">
        <v>56</v>
      </c>
      <c r="BG6" s="28" t="s">
        <v>1011</v>
      </c>
      <c r="BH6" s="28" t="s">
        <v>1085</v>
      </c>
      <c r="BI6" s="30" t="s">
        <v>57</v>
      </c>
      <c r="BJ6" s="29" t="s">
        <v>58</v>
      </c>
      <c r="BK6" s="28" t="s">
        <v>59</v>
      </c>
      <c r="BL6" s="28" t="s">
        <v>60</v>
      </c>
      <c r="BM6" s="29" t="s">
        <v>346</v>
      </c>
      <c r="BN6" s="29" t="s">
        <v>347</v>
      </c>
      <c r="BO6" s="29" t="s">
        <v>348</v>
      </c>
      <c r="BP6" s="29" t="s">
        <v>349</v>
      </c>
      <c r="BQ6" s="29" t="s">
        <v>1819</v>
      </c>
      <c r="BR6" s="29" t="s">
        <v>347</v>
      </c>
      <c r="BS6" s="29" t="s">
        <v>348</v>
      </c>
      <c r="BT6" s="29" t="s">
        <v>349</v>
      </c>
      <c r="BU6" s="29" t="s">
        <v>350</v>
      </c>
    </row>
    <row r="7" spans="1:73" s="68" customFormat="1" ht="14.4" customHeight="1" x14ac:dyDescent="0.3">
      <c r="A7" s="70" t="str">
        <f>H7</f>
        <v>001039</v>
      </c>
      <c r="B7" s="70" t="s">
        <v>61</v>
      </c>
      <c r="C7" s="70" t="s">
        <v>62</v>
      </c>
      <c r="D7" s="70" t="s">
        <v>63</v>
      </c>
      <c r="E7" s="70" t="s">
        <v>64</v>
      </c>
      <c r="F7" s="70" t="s">
        <v>2783</v>
      </c>
      <c r="G7" s="70" t="s">
        <v>2784</v>
      </c>
      <c r="H7" s="70" t="s">
        <v>109</v>
      </c>
      <c r="I7" s="70" t="s">
        <v>67</v>
      </c>
      <c r="J7" s="70" t="s">
        <v>110</v>
      </c>
      <c r="K7" s="71">
        <v>45322</v>
      </c>
      <c r="L7" s="71">
        <v>45566</v>
      </c>
      <c r="M7" s="72">
        <v>15000.01</v>
      </c>
      <c r="N7" s="72">
        <v>15801.12</v>
      </c>
      <c r="O7" s="73">
        <v>498</v>
      </c>
      <c r="P7" s="61" t="str">
        <f>IF(O7=0,"NO MORA",
 IF(AND(O7&gt;0,O7&lt;=7),7,
 IF(AND(O7&gt;7,O7&lt;=15),15,
 IF(AND(O7&gt;15,O7&lt;=30),30,
 IF(AND(O7&gt;30,O7&lt;=60),60,
 IF(AND(O7&gt;60,O7&lt;=90),90,
 IF(O7&gt;90,"&gt;90","")))))))</f>
        <v>&gt;90</v>
      </c>
      <c r="Q7" s="73">
        <v>8</v>
      </c>
      <c r="R7" s="70" t="s">
        <v>68</v>
      </c>
      <c r="S7" s="72">
        <v>3393.84</v>
      </c>
      <c r="T7" s="72">
        <v>464</v>
      </c>
      <c r="U7" s="72">
        <v>3480</v>
      </c>
      <c r="V7" s="72">
        <v>0</v>
      </c>
      <c r="W7" s="72">
        <v>5</v>
      </c>
      <c r="X7" s="72">
        <v>11656.93</v>
      </c>
      <c r="Y7" s="72">
        <v>21138.720000000001</v>
      </c>
      <c r="Z7" s="72">
        <v>11656.93</v>
      </c>
      <c r="AA7" s="72">
        <v>5022.2700000000004</v>
      </c>
      <c r="AB7" s="72">
        <v>979.52</v>
      </c>
      <c r="AC7" s="72">
        <v>3480</v>
      </c>
      <c r="AD7" s="72">
        <v>3400</v>
      </c>
      <c r="AE7" s="71">
        <v>45413</v>
      </c>
      <c r="AF7" s="70" t="s">
        <v>69</v>
      </c>
      <c r="AG7" s="70" t="s">
        <v>111</v>
      </c>
      <c r="AJ7" s="70" t="s">
        <v>70</v>
      </c>
      <c r="AK7" s="70" t="s">
        <v>71</v>
      </c>
      <c r="AZ7" s="72">
        <v>21138.720000000001</v>
      </c>
      <c r="BA7" s="72">
        <v>0</v>
      </c>
      <c r="BB7" s="70" t="s">
        <v>67</v>
      </c>
      <c r="BC7" s="70" t="s">
        <v>72</v>
      </c>
      <c r="BD7" s="70" t="s">
        <v>112</v>
      </c>
      <c r="BE7" s="70" t="s">
        <v>88</v>
      </c>
      <c r="BF7" s="70" t="s">
        <v>74</v>
      </c>
      <c r="BG7" s="70" t="s">
        <v>75</v>
      </c>
      <c r="BI7" s="60" t="str">
        <f>HYPERLINK("https://www.google.com/maps/search/?api=1&amp;query=" &amp; SUBSTITUTE(SUBSTITUTE(BH7, "°", "%20"), """", ""), "Ver en Mapa")</f>
        <v>Ver en Mapa</v>
      </c>
      <c r="BL7" s="70">
        <v>17</v>
      </c>
      <c r="BM7" s="70">
        <v>17</v>
      </c>
      <c r="BN7" s="70" t="s">
        <v>2846</v>
      </c>
    </row>
    <row r="8" spans="1:73" s="68" customFormat="1" ht="14.4" customHeight="1" x14ac:dyDescent="0.3">
      <c r="A8" s="70" t="str">
        <f>H8</f>
        <v>001004</v>
      </c>
      <c r="B8" s="70" t="s">
        <v>61</v>
      </c>
      <c r="C8" s="70" t="s">
        <v>62</v>
      </c>
      <c r="D8" s="70" t="s">
        <v>65</v>
      </c>
      <c r="E8" s="70" t="s">
        <v>66</v>
      </c>
      <c r="F8" s="70" t="s">
        <v>2783</v>
      </c>
      <c r="G8" s="70" t="s">
        <v>2784</v>
      </c>
      <c r="H8" s="70" t="s">
        <v>78</v>
      </c>
      <c r="I8" s="70" t="s">
        <v>67</v>
      </c>
      <c r="J8" s="70" t="s">
        <v>79</v>
      </c>
      <c r="K8" s="71">
        <v>45142</v>
      </c>
      <c r="L8" s="71">
        <v>45508</v>
      </c>
      <c r="M8" s="72">
        <v>50000</v>
      </c>
      <c r="N8" s="72">
        <v>52670.39</v>
      </c>
      <c r="O8" s="73">
        <v>497</v>
      </c>
      <c r="P8" s="61" t="str">
        <f t="shared" ref="P8:P71" si="0">IF(O8=0,"NO MORA",
 IF(AND(O8&gt;0,O8&lt;=7),7,
 IF(AND(O8&gt;7,O8&lt;=15),15,
 IF(AND(O8&gt;15,O8&lt;=30),30,
 IF(AND(O8&gt;30,O8&lt;=60),60,
 IF(AND(O8&gt;60,O8&lt;=90),90,
 IF(O8&gt;90,"&gt;90","")))))))</f>
        <v>&gt;90</v>
      </c>
      <c r="Q8" s="73">
        <v>12</v>
      </c>
      <c r="R8" s="70" t="s">
        <v>68</v>
      </c>
      <c r="S8" s="72">
        <v>8403.93</v>
      </c>
      <c r="T8" s="72">
        <v>696</v>
      </c>
      <c r="U8" s="72">
        <v>1715.44</v>
      </c>
      <c r="V8" s="72">
        <v>0</v>
      </c>
      <c r="W8" s="72">
        <v>2.6</v>
      </c>
      <c r="X8" s="72">
        <v>18787.5</v>
      </c>
      <c r="Y8" s="72">
        <v>23943.170000000002</v>
      </c>
      <c r="Z8" s="72">
        <v>18787.48</v>
      </c>
      <c r="AA8" s="72">
        <v>2512.25</v>
      </c>
      <c r="AB8" s="72">
        <v>928</v>
      </c>
      <c r="AC8" s="72">
        <v>1715.44</v>
      </c>
      <c r="AD8" s="72">
        <v>4200</v>
      </c>
      <c r="AE8" s="71">
        <v>45709</v>
      </c>
      <c r="AF8" s="70" t="s">
        <v>69</v>
      </c>
      <c r="AG8" s="70" t="s">
        <v>80</v>
      </c>
      <c r="AH8" s="70" t="s">
        <v>81</v>
      </c>
      <c r="AJ8" s="70" t="s">
        <v>82</v>
      </c>
      <c r="AK8" s="70" t="s">
        <v>83</v>
      </c>
      <c r="AZ8" s="72">
        <v>23943.19</v>
      </c>
      <c r="BA8" s="72">
        <v>0</v>
      </c>
      <c r="BB8" s="70" t="s">
        <v>67</v>
      </c>
      <c r="BC8" s="70" t="s">
        <v>77</v>
      </c>
      <c r="BD8" s="70" t="s">
        <v>84</v>
      </c>
      <c r="BE8" s="70" t="s">
        <v>85</v>
      </c>
      <c r="BF8" s="70" t="s">
        <v>74</v>
      </c>
      <c r="BG8" s="70" t="s">
        <v>75</v>
      </c>
      <c r="BI8" s="60" t="str">
        <f t="shared" ref="BI8:BI71" si="1">HYPERLINK("https://www.google.com/maps/search/?api=1&amp;query=" &amp; SUBSTITUTE(SUBSTITUTE(BH8, "°", "%20"), """", ""), "Ver en Mapa")</f>
        <v>Ver en Mapa</v>
      </c>
      <c r="BL8" s="70">
        <v>20</v>
      </c>
      <c r="BM8" s="70">
        <v>19</v>
      </c>
      <c r="BN8" s="70" t="s">
        <v>2846</v>
      </c>
    </row>
    <row r="9" spans="1:73" s="68" customFormat="1" ht="14.4" customHeight="1" x14ac:dyDescent="0.3">
      <c r="A9" s="70" t="str">
        <f>H9</f>
        <v>001027</v>
      </c>
      <c r="B9" s="70" t="s">
        <v>61</v>
      </c>
      <c r="C9" s="70" t="s">
        <v>62</v>
      </c>
      <c r="D9" s="70" t="s">
        <v>65</v>
      </c>
      <c r="E9" s="70" t="s">
        <v>66</v>
      </c>
      <c r="F9" s="70" t="s">
        <v>2783</v>
      </c>
      <c r="G9" s="70" t="s">
        <v>2784</v>
      </c>
      <c r="H9" s="70" t="s">
        <v>91</v>
      </c>
      <c r="I9" s="70" t="s">
        <v>67</v>
      </c>
      <c r="J9" s="70" t="s">
        <v>92</v>
      </c>
      <c r="K9" s="71">
        <v>45268</v>
      </c>
      <c r="L9" s="71">
        <v>45634</v>
      </c>
      <c r="M9" s="72">
        <v>40000</v>
      </c>
      <c r="N9" s="72">
        <v>42136.31</v>
      </c>
      <c r="O9" s="73">
        <v>491</v>
      </c>
      <c r="P9" s="61" t="str">
        <f t="shared" si="0"/>
        <v>&gt;90</v>
      </c>
      <c r="Q9" s="73">
        <v>12</v>
      </c>
      <c r="R9" s="70" t="s">
        <v>68</v>
      </c>
      <c r="S9" s="72">
        <v>7264.24</v>
      </c>
      <c r="T9" s="72">
        <v>696</v>
      </c>
      <c r="U9" s="72">
        <v>3480</v>
      </c>
      <c r="V9" s="72">
        <v>0</v>
      </c>
      <c r="W9" s="72">
        <v>6.8</v>
      </c>
      <c r="X9" s="72">
        <v>31607.600000000002</v>
      </c>
      <c r="Y9" s="72">
        <v>53407.880000000005</v>
      </c>
      <c r="Z9" s="72">
        <v>31607.600000000002</v>
      </c>
      <c r="AA9" s="72">
        <v>17392.28</v>
      </c>
      <c r="AB9" s="72">
        <v>928</v>
      </c>
      <c r="AC9" s="72">
        <v>3480</v>
      </c>
      <c r="AD9" s="72">
        <v>1500</v>
      </c>
      <c r="AE9" s="71">
        <v>45549</v>
      </c>
      <c r="AF9" s="70" t="s">
        <v>69</v>
      </c>
      <c r="AG9" s="70" t="s">
        <v>93</v>
      </c>
      <c r="AJ9" s="70" t="s">
        <v>94</v>
      </c>
      <c r="AK9" s="70" t="s">
        <v>95</v>
      </c>
      <c r="AZ9" s="72">
        <v>53407.880000000005</v>
      </c>
      <c r="BA9" s="72">
        <v>0</v>
      </c>
      <c r="BB9" s="70" t="s">
        <v>67</v>
      </c>
      <c r="BC9" s="70" t="s">
        <v>72</v>
      </c>
      <c r="BD9" s="70" t="s">
        <v>96</v>
      </c>
      <c r="BE9" s="70" t="s">
        <v>97</v>
      </c>
      <c r="BF9" s="70" t="s">
        <v>74</v>
      </c>
      <c r="BG9" s="70" t="s">
        <v>75</v>
      </c>
      <c r="BI9" s="60" t="str">
        <f t="shared" si="1"/>
        <v>Ver en Mapa</v>
      </c>
      <c r="BL9" s="70">
        <v>19</v>
      </c>
      <c r="BM9" s="70">
        <v>19</v>
      </c>
      <c r="BN9" s="70" t="s">
        <v>2847</v>
      </c>
    </row>
    <row r="10" spans="1:73" s="68" customFormat="1" ht="14.4" customHeight="1" x14ac:dyDescent="0.3">
      <c r="A10" s="70" t="str">
        <f>H10</f>
        <v>001016</v>
      </c>
      <c r="B10" s="70" t="s">
        <v>61</v>
      </c>
      <c r="C10" s="70" t="s">
        <v>273</v>
      </c>
      <c r="D10" s="70" t="s">
        <v>286</v>
      </c>
      <c r="E10" s="70" t="s">
        <v>287</v>
      </c>
      <c r="F10" s="70" t="s">
        <v>2783</v>
      </c>
      <c r="G10" s="70" t="s">
        <v>2784</v>
      </c>
      <c r="H10" s="70" t="s">
        <v>288</v>
      </c>
      <c r="I10" s="70" t="s">
        <v>67</v>
      </c>
      <c r="J10" s="70" t="s">
        <v>289</v>
      </c>
      <c r="K10" s="71">
        <v>45194</v>
      </c>
      <c r="L10" s="71">
        <v>45560</v>
      </c>
      <c r="M10" s="72">
        <v>130000</v>
      </c>
      <c r="N10" s="72">
        <v>136943.01</v>
      </c>
      <c r="O10" s="73">
        <v>446</v>
      </c>
      <c r="P10" s="61" t="str">
        <f t="shared" si="0"/>
        <v>&gt;90</v>
      </c>
      <c r="Q10" s="73">
        <v>12</v>
      </c>
      <c r="R10" s="70" t="s">
        <v>68</v>
      </c>
      <c r="S10" s="72">
        <v>20230.48</v>
      </c>
      <c r="T10" s="72">
        <v>696</v>
      </c>
      <c r="U10" s="72">
        <v>580</v>
      </c>
      <c r="V10" s="72">
        <v>0</v>
      </c>
      <c r="W10" s="72">
        <v>2.1</v>
      </c>
      <c r="X10" s="72">
        <v>39682.01</v>
      </c>
      <c r="Y10" s="72">
        <v>44446.42</v>
      </c>
      <c r="Z10" s="72">
        <v>39682</v>
      </c>
      <c r="AA10" s="72">
        <v>3488.42</v>
      </c>
      <c r="AB10" s="72">
        <v>696</v>
      </c>
      <c r="AC10" s="72">
        <v>580</v>
      </c>
      <c r="AD10" s="72">
        <v>5050</v>
      </c>
      <c r="AE10" s="71">
        <v>45555</v>
      </c>
      <c r="AF10" s="70" t="s">
        <v>69</v>
      </c>
      <c r="AG10" s="70" t="s">
        <v>290</v>
      </c>
      <c r="AJ10" s="70" t="s">
        <v>291</v>
      </c>
      <c r="AK10" s="70" t="s">
        <v>292</v>
      </c>
      <c r="AZ10" s="72">
        <v>42768.090000000004</v>
      </c>
      <c r="BA10" s="72">
        <v>0</v>
      </c>
      <c r="BB10" s="70" t="s">
        <v>123</v>
      </c>
      <c r="BC10" s="70" t="s">
        <v>124</v>
      </c>
      <c r="BD10" s="70" t="s">
        <v>293</v>
      </c>
      <c r="BE10" s="70" t="s">
        <v>294</v>
      </c>
      <c r="BF10" s="70" t="s">
        <v>74</v>
      </c>
      <c r="BG10" s="70" t="s">
        <v>204</v>
      </c>
      <c r="BI10" s="60" t="str">
        <f t="shared" si="1"/>
        <v>Ver en Mapa</v>
      </c>
      <c r="BL10" s="70">
        <v>24</v>
      </c>
      <c r="BM10" s="70">
        <v>24</v>
      </c>
      <c r="BN10" s="70" t="s">
        <v>2847</v>
      </c>
    </row>
    <row r="11" spans="1:73" s="68" customFormat="1" ht="14.4" customHeight="1" x14ac:dyDescent="0.3">
      <c r="A11" s="70" t="str">
        <f>H11</f>
        <v>001037</v>
      </c>
      <c r="B11" s="70" t="s">
        <v>61</v>
      </c>
      <c r="C11" s="70" t="s">
        <v>62</v>
      </c>
      <c r="D11" s="70" t="s">
        <v>65</v>
      </c>
      <c r="E11" s="70" t="s">
        <v>66</v>
      </c>
      <c r="F11" s="70" t="s">
        <v>2783</v>
      </c>
      <c r="G11" s="70" t="s">
        <v>2784</v>
      </c>
      <c r="H11" s="70" t="s">
        <v>103</v>
      </c>
      <c r="I11" s="70" t="s">
        <v>67</v>
      </c>
      <c r="J11" s="70" t="s">
        <v>104</v>
      </c>
      <c r="K11" s="71">
        <v>45322</v>
      </c>
      <c r="L11" s="71">
        <v>45566</v>
      </c>
      <c r="M11" s="72">
        <v>20000</v>
      </c>
      <c r="N11" s="72">
        <v>21068.16</v>
      </c>
      <c r="O11" s="73">
        <v>439</v>
      </c>
      <c r="P11" s="61" t="str">
        <f t="shared" si="0"/>
        <v>&gt;90</v>
      </c>
      <c r="Q11" s="73">
        <v>8</v>
      </c>
      <c r="R11" s="70" t="s">
        <v>68</v>
      </c>
      <c r="S11" s="72">
        <v>4505.78</v>
      </c>
      <c r="T11" s="72">
        <v>464</v>
      </c>
      <c r="U11" s="72">
        <v>2320</v>
      </c>
      <c r="V11" s="72">
        <v>0</v>
      </c>
      <c r="W11" s="72">
        <v>3</v>
      </c>
      <c r="X11" s="72">
        <v>10454.49</v>
      </c>
      <c r="Y11" s="72">
        <v>16530.25</v>
      </c>
      <c r="Z11" s="72">
        <v>10454.51</v>
      </c>
      <c r="AA11" s="72">
        <v>2888.83</v>
      </c>
      <c r="AB11" s="72">
        <v>866.91</v>
      </c>
      <c r="AC11" s="72">
        <v>2320</v>
      </c>
      <c r="AD11" s="72">
        <v>4520</v>
      </c>
      <c r="AE11" s="71">
        <v>45498</v>
      </c>
      <c r="AF11" s="70" t="s">
        <v>69</v>
      </c>
      <c r="AG11" s="70" t="s">
        <v>105</v>
      </c>
      <c r="AJ11" s="70" t="s">
        <v>70</v>
      </c>
      <c r="AK11" s="70" t="s">
        <v>71</v>
      </c>
      <c r="AL11" s="70" t="s">
        <v>106</v>
      </c>
      <c r="AM11" s="70" t="s">
        <v>107</v>
      </c>
      <c r="AZ11" s="72">
        <v>16530.23</v>
      </c>
      <c r="BA11" s="72">
        <v>0</v>
      </c>
      <c r="BB11" s="70" t="s">
        <v>67</v>
      </c>
      <c r="BC11" s="70" t="s">
        <v>72</v>
      </c>
      <c r="BD11" s="70" t="s">
        <v>108</v>
      </c>
      <c r="BE11" s="70" t="s">
        <v>73</v>
      </c>
      <c r="BF11" s="70" t="s">
        <v>74</v>
      </c>
      <c r="BG11" s="70" t="s">
        <v>75</v>
      </c>
      <c r="BI11" s="60" t="str">
        <f t="shared" si="1"/>
        <v>Ver en Mapa</v>
      </c>
      <c r="BL11" s="70">
        <v>18</v>
      </c>
      <c r="BM11" s="70">
        <v>18</v>
      </c>
      <c r="BN11" s="70" t="s">
        <v>2846</v>
      </c>
    </row>
    <row r="12" spans="1:73" s="68" customFormat="1" ht="14.4" customHeight="1" x14ac:dyDescent="0.3">
      <c r="A12" s="70" t="str">
        <f>H12</f>
        <v>001069</v>
      </c>
      <c r="B12" s="70" t="s">
        <v>61</v>
      </c>
      <c r="C12" s="70" t="s">
        <v>273</v>
      </c>
      <c r="D12" s="70" t="s">
        <v>274</v>
      </c>
      <c r="E12" s="70" t="s">
        <v>275</v>
      </c>
      <c r="F12" s="70" t="s">
        <v>2783</v>
      </c>
      <c r="G12" s="70" t="s">
        <v>2784</v>
      </c>
      <c r="H12" s="70" t="s">
        <v>276</v>
      </c>
      <c r="I12" s="70" t="s">
        <v>67</v>
      </c>
      <c r="J12" s="70" t="s">
        <v>277</v>
      </c>
      <c r="K12" s="71">
        <v>45492</v>
      </c>
      <c r="L12" s="71">
        <v>45676</v>
      </c>
      <c r="M12" s="72">
        <v>15000</v>
      </c>
      <c r="N12" s="72">
        <v>15000</v>
      </c>
      <c r="O12" s="73">
        <v>421</v>
      </c>
      <c r="P12" s="61" t="str">
        <f t="shared" si="0"/>
        <v>&gt;90</v>
      </c>
      <c r="Q12" s="73">
        <v>6</v>
      </c>
      <c r="R12" s="70" t="s">
        <v>68</v>
      </c>
      <c r="S12" s="72">
        <v>2876.9700000000003</v>
      </c>
      <c r="T12" s="72">
        <v>0</v>
      </c>
      <c r="U12" s="72">
        <v>0</v>
      </c>
      <c r="V12" s="72">
        <v>0</v>
      </c>
      <c r="W12" s="72">
        <v>6</v>
      </c>
      <c r="X12" s="72">
        <v>15000</v>
      </c>
      <c r="Y12" s="72">
        <v>17261.82</v>
      </c>
      <c r="Z12" s="72">
        <v>14999.99</v>
      </c>
      <c r="AA12" s="72">
        <v>2261.83</v>
      </c>
      <c r="AB12" s="72">
        <v>0</v>
      </c>
      <c r="AC12" s="72">
        <v>0</v>
      </c>
      <c r="AF12" s="70" t="s">
        <v>69</v>
      </c>
      <c r="AG12" s="70" t="s">
        <v>278</v>
      </c>
      <c r="AH12" s="70" t="s">
        <v>279</v>
      </c>
      <c r="AJ12" s="70" t="s">
        <v>192</v>
      </c>
      <c r="AK12" s="70" t="s">
        <v>193</v>
      </c>
      <c r="AZ12" s="72">
        <v>17261.830000000002</v>
      </c>
      <c r="BA12" s="72">
        <v>0</v>
      </c>
      <c r="BB12" s="70" t="s">
        <v>280</v>
      </c>
      <c r="BC12" s="70" t="s">
        <v>281</v>
      </c>
      <c r="BD12" s="70" t="s">
        <v>2950</v>
      </c>
      <c r="BE12" s="70" t="s">
        <v>282</v>
      </c>
      <c r="BF12" s="70" t="s">
        <v>74</v>
      </c>
      <c r="BG12" s="70" t="s">
        <v>204</v>
      </c>
      <c r="BI12" s="60" t="str">
        <f t="shared" si="1"/>
        <v>Ver en Mapa</v>
      </c>
      <c r="BL12" s="70">
        <v>14</v>
      </c>
      <c r="BM12" s="70">
        <v>14</v>
      </c>
      <c r="BN12" s="70" t="s">
        <v>2846</v>
      </c>
    </row>
    <row r="13" spans="1:73" s="68" customFormat="1" ht="14.4" customHeight="1" x14ac:dyDescent="0.3">
      <c r="A13" s="70" t="str">
        <f>H13</f>
        <v>001059</v>
      </c>
      <c r="B13" s="70" t="s">
        <v>61</v>
      </c>
      <c r="C13" s="70" t="s">
        <v>194</v>
      </c>
      <c r="D13" s="70" t="s">
        <v>195</v>
      </c>
      <c r="E13" s="70" t="s">
        <v>196</v>
      </c>
      <c r="F13" s="70" t="s">
        <v>2783</v>
      </c>
      <c r="G13" s="70" t="s">
        <v>2784</v>
      </c>
      <c r="H13" s="70" t="s">
        <v>197</v>
      </c>
      <c r="I13" s="70" t="s">
        <v>67</v>
      </c>
      <c r="J13" s="70" t="s">
        <v>198</v>
      </c>
      <c r="K13" s="71">
        <v>45441</v>
      </c>
      <c r="L13" s="71">
        <v>45690</v>
      </c>
      <c r="M13" s="72">
        <v>80000</v>
      </c>
      <c r="N13" s="72">
        <v>84272.62</v>
      </c>
      <c r="O13" s="73">
        <v>377</v>
      </c>
      <c r="P13" s="61" t="str">
        <f t="shared" si="0"/>
        <v>&gt;90</v>
      </c>
      <c r="Q13" s="73">
        <v>8</v>
      </c>
      <c r="R13" s="70" t="s">
        <v>68</v>
      </c>
      <c r="S13" s="72">
        <v>17017.760000000002</v>
      </c>
      <c r="T13" s="72">
        <v>464</v>
      </c>
      <c r="U13" s="72">
        <v>2320</v>
      </c>
      <c r="V13" s="72">
        <v>0</v>
      </c>
      <c r="W13" s="72">
        <v>4.4000000000000004</v>
      </c>
      <c r="X13" s="72">
        <v>59540.72</v>
      </c>
      <c r="Y13" s="72">
        <v>78446.080000000002</v>
      </c>
      <c r="Z13" s="72">
        <v>59540.72</v>
      </c>
      <c r="AA13" s="72">
        <v>15889.36</v>
      </c>
      <c r="AB13" s="72">
        <v>696</v>
      </c>
      <c r="AC13" s="72">
        <v>2320</v>
      </c>
      <c r="AD13" s="72">
        <v>5000</v>
      </c>
      <c r="AE13" s="71">
        <v>45592</v>
      </c>
      <c r="AF13" s="70" t="s">
        <v>69</v>
      </c>
      <c r="AG13" s="70" t="s">
        <v>199</v>
      </c>
      <c r="AH13" s="70" t="s">
        <v>200</v>
      </c>
      <c r="AJ13" s="70" t="s">
        <v>82</v>
      </c>
      <c r="AK13" s="70" t="s">
        <v>83</v>
      </c>
      <c r="AN13" s="70" t="s">
        <v>784</v>
      </c>
      <c r="AO13" s="70" t="s">
        <v>1257</v>
      </c>
      <c r="AP13" s="70" t="s">
        <v>1258</v>
      </c>
      <c r="AQ13" s="70" t="s">
        <v>1259</v>
      </c>
      <c r="AR13" s="70" t="s">
        <v>1260</v>
      </c>
      <c r="AS13" s="70" t="s">
        <v>1261</v>
      </c>
      <c r="AT13" s="70" t="s">
        <v>122</v>
      </c>
      <c r="AU13" s="68" t="s">
        <v>201</v>
      </c>
      <c r="AV13" s="70" t="s">
        <v>202</v>
      </c>
      <c r="AZ13" s="72">
        <v>78446.080000000002</v>
      </c>
      <c r="BA13" s="72">
        <v>0</v>
      </c>
      <c r="BB13" s="70" t="s">
        <v>67</v>
      </c>
      <c r="BC13" s="70" t="s">
        <v>77</v>
      </c>
      <c r="BD13" s="70" t="s">
        <v>2981</v>
      </c>
      <c r="BE13" s="70" t="s">
        <v>203</v>
      </c>
      <c r="BF13" s="70" t="s">
        <v>74</v>
      </c>
      <c r="BG13" s="70" t="s">
        <v>204</v>
      </c>
      <c r="BI13" s="60" t="str">
        <f t="shared" si="1"/>
        <v>Ver en Mapa</v>
      </c>
      <c r="BL13" s="70">
        <v>16</v>
      </c>
      <c r="BM13" s="70">
        <v>16</v>
      </c>
      <c r="BN13" s="70" t="s">
        <v>2847</v>
      </c>
    </row>
    <row r="14" spans="1:73" s="68" customFormat="1" ht="14.4" customHeight="1" x14ac:dyDescent="0.3">
      <c r="A14" s="70" t="str">
        <f>H14</f>
        <v>001056</v>
      </c>
      <c r="B14" s="70" t="s">
        <v>61</v>
      </c>
      <c r="C14" s="70" t="s">
        <v>205</v>
      </c>
      <c r="D14" s="70" t="s">
        <v>215</v>
      </c>
      <c r="E14" s="70" t="s">
        <v>216</v>
      </c>
      <c r="F14" s="70" t="s">
        <v>2783</v>
      </c>
      <c r="G14" s="70" t="s">
        <v>2784</v>
      </c>
      <c r="H14" s="70" t="s">
        <v>224</v>
      </c>
      <c r="I14" s="70" t="s">
        <v>67</v>
      </c>
      <c r="J14" s="70" t="s">
        <v>225</v>
      </c>
      <c r="K14" s="71">
        <v>45436</v>
      </c>
      <c r="L14" s="71">
        <v>45801</v>
      </c>
      <c r="M14" s="72">
        <v>25000</v>
      </c>
      <c r="N14" s="72">
        <v>26335.190000000002</v>
      </c>
      <c r="O14" s="73">
        <v>294</v>
      </c>
      <c r="P14" s="61" t="str">
        <f t="shared" si="0"/>
        <v>&gt;90</v>
      </c>
      <c r="Q14" s="73">
        <v>12</v>
      </c>
      <c r="R14" s="70" t="s">
        <v>68</v>
      </c>
      <c r="S14" s="72">
        <v>4230.97</v>
      </c>
      <c r="T14" s="72">
        <v>696</v>
      </c>
      <c r="U14" s="72">
        <v>3898.82</v>
      </c>
      <c r="V14" s="72">
        <v>0</v>
      </c>
      <c r="W14" s="72">
        <v>6</v>
      </c>
      <c r="X14" s="72">
        <v>17352.87</v>
      </c>
      <c r="Y14" s="72">
        <v>29458.639999999999</v>
      </c>
      <c r="Z14" s="72">
        <v>17352.87</v>
      </c>
      <c r="AA14" s="72">
        <v>7684.95</v>
      </c>
      <c r="AB14" s="72">
        <v>522</v>
      </c>
      <c r="AC14" s="72">
        <v>3898.82</v>
      </c>
      <c r="AD14" s="72">
        <v>2250</v>
      </c>
      <c r="AE14" s="71">
        <v>45656</v>
      </c>
      <c r="AF14" s="70" t="s">
        <v>69</v>
      </c>
      <c r="AG14" s="70" t="s">
        <v>226</v>
      </c>
      <c r="AH14" s="70" t="s">
        <v>227</v>
      </c>
      <c r="AJ14" s="70" t="s">
        <v>228</v>
      </c>
      <c r="AK14" s="70" t="s">
        <v>229</v>
      </c>
      <c r="AN14" s="70" t="s">
        <v>883</v>
      </c>
      <c r="AO14" s="70" t="s">
        <v>882</v>
      </c>
      <c r="AP14" s="70" t="s">
        <v>1276</v>
      </c>
      <c r="AQ14" s="70" t="s">
        <v>1277</v>
      </c>
      <c r="AR14" s="70" t="s">
        <v>1278</v>
      </c>
      <c r="AS14" s="70" t="s">
        <v>1279</v>
      </c>
      <c r="AT14" s="70" t="s">
        <v>122</v>
      </c>
      <c r="AU14" s="68" t="s">
        <v>230</v>
      </c>
      <c r="AV14" s="70" t="s">
        <v>231</v>
      </c>
      <c r="AZ14" s="72">
        <v>29458.639999999999</v>
      </c>
      <c r="BA14" s="72">
        <v>0</v>
      </c>
      <c r="BB14" s="70" t="s">
        <v>67</v>
      </c>
      <c r="BC14" s="70" t="s">
        <v>77</v>
      </c>
      <c r="BD14" s="70" t="s">
        <v>3008</v>
      </c>
      <c r="BE14" s="70" t="s">
        <v>232</v>
      </c>
      <c r="BF14" s="70" t="s">
        <v>213</v>
      </c>
      <c r="BG14" s="70" t="s">
        <v>205</v>
      </c>
      <c r="BI14" s="60" t="str">
        <f t="shared" si="1"/>
        <v>Ver en Mapa</v>
      </c>
      <c r="BL14" s="70">
        <v>15</v>
      </c>
      <c r="BM14" s="70">
        <v>15</v>
      </c>
      <c r="BN14" s="70" t="s">
        <v>2847</v>
      </c>
    </row>
    <row r="15" spans="1:73" s="68" customFormat="1" ht="14.4" customHeight="1" x14ac:dyDescent="0.3">
      <c r="A15" s="70" t="str">
        <f>H15</f>
        <v>001035</v>
      </c>
      <c r="B15" s="70" t="s">
        <v>61</v>
      </c>
      <c r="C15" s="70" t="s">
        <v>62</v>
      </c>
      <c r="D15" s="70" t="s">
        <v>113</v>
      </c>
      <c r="E15" s="70" t="s">
        <v>114</v>
      </c>
      <c r="F15" s="70" t="s">
        <v>2848</v>
      </c>
      <c r="G15" s="70" t="s">
        <v>2849</v>
      </c>
      <c r="H15" s="70" t="s">
        <v>115</v>
      </c>
      <c r="I15" s="70" t="s">
        <v>76</v>
      </c>
      <c r="J15" s="70" t="s">
        <v>116</v>
      </c>
      <c r="K15" s="71">
        <v>45492</v>
      </c>
      <c r="L15" s="71">
        <v>45857</v>
      </c>
      <c r="M15" s="72">
        <v>40000</v>
      </c>
      <c r="N15" s="72">
        <v>42136.31</v>
      </c>
      <c r="O15" s="73">
        <v>209</v>
      </c>
      <c r="P15" s="61" t="str">
        <f t="shared" si="0"/>
        <v>&gt;90</v>
      </c>
      <c r="Q15" s="73">
        <v>12</v>
      </c>
      <c r="R15" s="70" t="s">
        <v>68</v>
      </c>
      <c r="S15" s="72">
        <v>6476.17</v>
      </c>
      <c r="T15" s="72">
        <v>696</v>
      </c>
      <c r="U15" s="72">
        <v>2900</v>
      </c>
      <c r="V15" s="72">
        <v>0</v>
      </c>
      <c r="W15" s="72">
        <v>4.9000000000000004</v>
      </c>
      <c r="X15" s="72">
        <v>23860.74</v>
      </c>
      <c r="Y15" s="72">
        <v>34611.040000000001</v>
      </c>
      <c r="Z15" s="72">
        <v>23860.73</v>
      </c>
      <c r="AA15" s="72">
        <v>7502.31</v>
      </c>
      <c r="AB15" s="72">
        <v>348</v>
      </c>
      <c r="AC15" s="72">
        <v>2900</v>
      </c>
      <c r="AD15" s="72">
        <v>1000</v>
      </c>
      <c r="AE15" s="71">
        <v>45771</v>
      </c>
      <c r="AF15" s="70" t="s">
        <v>69</v>
      </c>
      <c r="AG15" s="70" t="s">
        <v>117</v>
      </c>
      <c r="AH15" s="70" t="s">
        <v>118</v>
      </c>
      <c r="AJ15" s="70" t="s">
        <v>86</v>
      </c>
      <c r="AK15" s="70" t="s">
        <v>87</v>
      </c>
      <c r="AL15" s="70" t="s">
        <v>119</v>
      </c>
      <c r="AM15" s="70" t="s">
        <v>120</v>
      </c>
      <c r="AN15" s="70" t="s">
        <v>695</v>
      </c>
      <c r="AO15" s="70" t="s">
        <v>1242</v>
      </c>
      <c r="AP15" s="70" t="s">
        <v>692</v>
      </c>
      <c r="AQ15" s="70" t="s">
        <v>693</v>
      </c>
      <c r="AR15" s="70" t="s">
        <v>694</v>
      </c>
      <c r="AS15" s="70" t="s">
        <v>1243</v>
      </c>
      <c r="AZ15" s="72">
        <v>34611.050000000003</v>
      </c>
      <c r="BA15" s="72">
        <v>0</v>
      </c>
      <c r="BB15" s="70" t="s">
        <v>67</v>
      </c>
      <c r="BC15" s="70" t="s">
        <v>72</v>
      </c>
      <c r="BD15" s="70" t="s">
        <v>2877</v>
      </c>
      <c r="BE15" s="70" t="s">
        <v>88</v>
      </c>
      <c r="BF15" s="70" t="s">
        <v>74</v>
      </c>
      <c r="BG15" s="70" t="s">
        <v>75</v>
      </c>
      <c r="BI15" s="60" t="str">
        <f t="shared" si="1"/>
        <v>Ver en Mapa</v>
      </c>
      <c r="BL15" s="70">
        <v>14</v>
      </c>
      <c r="BM15" s="70">
        <v>14</v>
      </c>
      <c r="BN15" s="70" t="s">
        <v>2847</v>
      </c>
    </row>
    <row r="16" spans="1:73" s="68" customFormat="1" ht="14.4" customHeight="1" x14ac:dyDescent="0.3">
      <c r="A16" s="70" t="str">
        <f>H16</f>
        <v>001062</v>
      </c>
      <c r="B16" s="70" t="s">
        <v>61</v>
      </c>
      <c r="C16" s="70" t="s">
        <v>205</v>
      </c>
      <c r="D16" s="70" t="s">
        <v>259</v>
      </c>
      <c r="E16" s="70" t="s">
        <v>260</v>
      </c>
      <c r="F16" s="70" t="s">
        <v>2802</v>
      </c>
      <c r="G16" s="70" t="s">
        <v>2803</v>
      </c>
      <c r="H16" s="70" t="s">
        <v>261</v>
      </c>
      <c r="I16" s="70" t="s">
        <v>67</v>
      </c>
      <c r="J16" s="70" t="s">
        <v>262</v>
      </c>
      <c r="K16" s="71">
        <v>45453</v>
      </c>
      <c r="L16" s="71">
        <v>45827</v>
      </c>
      <c r="M16" s="72">
        <v>60000</v>
      </c>
      <c r="N16" s="72">
        <v>63204.47</v>
      </c>
      <c r="O16" s="73">
        <v>209</v>
      </c>
      <c r="P16" s="61" t="str">
        <f t="shared" si="0"/>
        <v>&gt;90</v>
      </c>
      <c r="Q16" s="73">
        <v>12</v>
      </c>
      <c r="R16" s="70" t="s">
        <v>68</v>
      </c>
      <c r="S16" s="72">
        <v>10073.120000000001</v>
      </c>
      <c r="T16" s="72">
        <v>696</v>
      </c>
      <c r="U16" s="72">
        <v>1740</v>
      </c>
      <c r="V16" s="72">
        <v>0</v>
      </c>
      <c r="W16" s="72">
        <v>3.4</v>
      </c>
      <c r="X16" s="72">
        <v>27912.04</v>
      </c>
      <c r="Y16" s="72">
        <v>35824.44</v>
      </c>
      <c r="Z16" s="72">
        <v>27912.04</v>
      </c>
      <c r="AA16" s="72">
        <v>5824.4000000000005</v>
      </c>
      <c r="AB16" s="72">
        <v>348</v>
      </c>
      <c r="AC16" s="72">
        <v>1740</v>
      </c>
      <c r="AD16" s="72">
        <v>500</v>
      </c>
      <c r="AE16" s="71">
        <v>45891</v>
      </c>
      <c r="AF16" s="70" t="s">
        <v>69</v>
      </c>
      <c r="AG16" s="70" t="s">
        <v>263</v>
      </c>
      <c r="AH16" s="70" t="s">
        <v>264</v>
      </c>
      <c r="AJ16" s="70" t="s">
        <v>86</v>
      </c>
      <c r="AK16" s="70" t="s">
        <v>87</v>
      </c>
      <c r="AN16" s="70" t="s">
        <v>890</v>
      </c>
      <c r="AO16" s="70" t="s">
        <v>889</v>
      </c>
      <c r="AP16" s="70" t="s">
        <v>1284</v>
      </c>
      <c r="AQ16" s="70" t="s">
        <v>1285</v>
      </c>
      <c r="AR16" s="70" t="s">
        <v>1286</v>
      </c>
      <c r="AS16" s="70" t="s">
        <v>1287</v>
      </c>
      <c r="AT16" s="70" t="s">
        <v>122</v>
      </c>
      <c r="AU16" s="68" t="s">
        <v>265</v>
      </c>
      <c r="AV16" s="70" t="s">
        <v>266</v>
      </c>
      <c r="AZ16" s="72">
        <v>35824.44</v>
      </c>
      <c r="BA16" s="72">
        <v>0</v>
      </c>
      <c r="BB16" s="70" t="s">
        <v>67</v>
      </c>
      <c r="BC16" s="70" t="s">
        <v>77</v>
      </c>
      <c r="BD16" s="70" t="s">
        <v>3032</v>
      </c>
      <c r="BE16" s="70" t="s">
        <v>267</v>
      </c>
      <c r="BF16" s="70" t="s">
        <v>213</v>
      </c>
      <c r="BG16" s="70" t="s">
        <v>205</v>
      </c>
      <c r="BI16" s="60" t="str">
        <f t="shared" si="1"/>
        <v>Ver en Mapa</v>
      </c>
      <c r="BL16" s="70">
        <v>15</v>
      </c>
      <c r="BM16" s="70">
        <v>15</v>
      </c>
      <c r="BN16" s="70" t="s">
        <v>2847</v>
      </c>
    </row>
    <row r="17" spans="1:66" s="68" customFormat="1" ht="14.4" customHeight="1" x14ac:dyDescent="0.3">
      <c r="A17" s="70" t="str">
        <f>H17</f>
        <v>001245</v>
      </c>
      <c r="B17" s="70" t="s">
        <v>61</v>
      </c>
      <c r="C17" s="70" t="s">
        <v>194</v>
      </c>
      <c r="D17" s="70" t="s">
        <v>408</v>
      </c>
      <c r="E17" s="70" t="s">
        <v>409</v>
      </c>
      <c r="F17" s="70" t="s">
        <v>2800</v>
      </c>
      <c r="G17" s="70" t="s">
        <v>2801</v>
      </c>
      <c r="H17" s="70" t="s">
        <v>375</v>
      </c>
      <c r="I17" s="70" t="s">
        <v>67</v>
      </c>
      <c r="J17" s="70" t="s">
        <v>376</v>
      </c>
      <c r="K17" s="71">
        <v>45761</v>
      </c>
      <c r="L17" s="71">
        <v>45944</v>
      </c>
      <c r="M17" s="72">
        <v>10000</v>
      </c>
      <c r="N17" s="72">
        <v>10534.08</v>
      </c>
      <c r="O17" s="73">
        <v>153</v>
      </c>
      <c r="P17" s="61" t="str">
        <f t="shared" si="0"/>
        <v>&gt;90</v>
      </c>
      <c r="Q17" s="73">
        <v>6</v>
      </c>
      <c r="R17" s="70" t="s">
        <v>68</v>
      </c>
      <c r="S17" s="72">
        <v>2351.3000000000002</v>
      </c>
      <c r="T17" s="72">
        <v>348</v>
      </c>
      <c r="U17" s="72">
        <v>2900</v>
      </c>
      <c r="V17" s="72">
        <v>0</v>
      </c>
      <c r="W17" s="72">
        <v>5.6000000000000014</v>
      </c>
      <c r="X17" s="72">
        <v>10129.700000000001</v>
      </c>
      <c r="Y17" s="72">
        <v>16007.83</v>
      </c>
      <c r="Z17" s="72">
        <v>10129.700000000001</v>
      </c>
      <c r="AA17" s="72">
        <v>2688.12</v>
      </c>
      <c r="AB17" s="72">
        <v>290.01</v>
      </c>
      <c r="AC17" s="72">
        <v>2900</v>
      </c>
      <c r="AD17" s="72">
        <v>1000</v>
      </c>
      <c r="AE17" s="71">
        <v>45932</v>
      </c>
      <c r="AF17" s="70" t="s">
        <v>69</v>
      </c>
      <c r="AG17" s="70" t="s">
        <v>377</v>
      </c>
      <c r="AH17" s="70" t="s">
        <v>378</v>
      </c>
      <c r="AJ17" s="70" t="s">
        <v>379</v>
      </c>
      <c r="AK17" s="70" t="s">
        <v>380</v>
      </c>
      <c r="AL17" s="70" t="s">
        <v>416</v>
      </c>
      <c r="AN17" s="70" t="s">
        <v>824</v>
      </c>
      <c r="AO17" s="70" t="s">
        <v>1268</v>
      </c>
      <c r="AP17" s="70" t="s">
        <v>821</v>
      </c>
      <c r="AQ17" s="70" t="s">
        <v>822</v>
      </c>
      <c r="AR17" s="70" t="s">
        <v>823</v>
      </c>
      <c r="AS17" s="70" t="s">
        <v>1269</v>
      </c>
      <c r="AZ17" s="72">
        <v>16007.83</v>
      </c>
      <c r="BA17" s="72">
        <v>0</v>
      </c>
      <c r="BB17" s="70" t="s">
        <v>67</v>
      </c>
      <c r="BC17" s="70" t="s">
        <v>1044</v>
      </c>
      <c r="BD17" s="70" t="s">
        <v>2979</v>
      </c>
      <c r="BE17" s="70" t="s">
        <v>381</v>
      </c>
      <c r="BF17" s="70" t="s">
        <v>74</v>
      </c>
      <c r="BG17" s="70" t="s">
        <v>194</v>
      </c>
      <c r="BI17" s="60" t="str">
        <f t="shared" si="1"/>
        <v>Ver en Mapa</v>
      </c>
      <c r="BL17" s="70">
        <v>6</v>
      </c>
      <c r="BM17" s="70">
        <v>6</v>
      </c>
      <c r="BN17" s="70" t="s">
        <v>2847</v>
      </c>
    </row>
    <row r="18" spans="1:66" s="68" customFormat="1" ht="14.4" customHeight="1" x14ac:dyDescent="0.3">
      <c r="A18" s="70" t="str">
        <f>H18</f>
        <v>001257</v>
      </c>
      <c r="B18" s="70" t="s">
        <v>61</v>
      </c>
      <c r="C18" s="70" t="s">
        <v>205</v>
      </c>
      <c r="D18" s="70" t="s">
        <v>408</v>
      </c>
      <c r="E18" s="70" t="s">
        <v>409</v>
      </c>
      <c r="F18" s="70" t="s">
        <v>2802</v>
      </c>
      <c r="G18" s="70" t="s">
        <v>2803</v>
      </c>
      <c r="H18" s="70" t="s">
        <v>417</v>
      </c>
      <c r="I18" s="70" t="s">
        <v>67</v>
      </c>
      <c r="J18" s="70" t="s">
        <v>418</v>
      </c>
      <c r="K18" s="71">
        <v>45768</v>
      </c>
      <c r="L18" s="71">
        <v>45951</v>
      </c>
      <c r="M18" s="72">
        <v>5000</v>
      </c>
      <c r="N18" s="72">
        <v>5267.04</v>
      </c>
      <c r="O18" s="73">
        <v>146</v>
      </c>
      <c r="P18" s="61" t="str">
        <f t="shared" si="0"/>
        <v>&gt;90</v>
      </c>
      <c r="Q18" s="73">
        <v>6</v>
      </c>
      <c r="R18" s="70" t="s">
        <v>68</v>
      </c>
      <c r="S18" s="72">
        <v>1320.32</v>
      </c>
      <c r="T18" s="72">
        <v>348</v>
      </c>
      <c r="U18" s="72">
        <v>2900</v>
      </c>
      <c r="V18" s="72">
        <v>0</v>
      </c>
      <c r="W18" s="72">
        <v>4.2</v>
      </c>
      <c r="X18" s="72">
        <v>4659.5200000000004</v>
      </c>
      <c r="Y18" s="72">
        <v>8451.5818159999999</v>
      </c>
      <c r="Z18" s="72">
        <v>3781.6800000000003</v>
      </c>
      <c r="AA18" s="72">
        <v>1537.9</v>
      </c>
      <c r="AB18" s="72">
        <v>232</v>
      </c>
      <c r="AC18" s="72">
        <v>2900</v>
      </c>
      <c r="AD18" s="72">
        <v>1050</v>
      </c>
      <c r="AE18" s="71">
        <v>45798</v>
      </c>
      <c r="AF18" s="70" t="s">
        <v>69</v>
      </c>
      <c r="AG18" s="70" t="s">
        <v>419</v>
      </c>
      <c r="AH18" s="70" t="s">
        <v>512</v>
      </c>
      <c r="AJ18" s="70" t="s">
        <v>89</v>
      </c>
      <c r="AK18" s="70" t="s">
        <v>90</v>
      </c>
      <c r="AN18" s="70" t="s">
        <v>922</v>
      </c>
      <c r="AO18" s="70" t="s">
        <v>1290</v>
      </c>
      <c r="AP18" s="70" t="s">
        <v>919</v>
      </c>
      <c r="AQ18" s="70" t="s">
        <v>920</v>
      </c>
      <c r="AR18" s="70" t="s">
        <v>921</v>
      </c>
      <c r="AS18" s="70" t="s">
        <v>1291</v>
      </c>
      <c r="AZ18" s="72">
        <v>9713.9</v>
      </c>
      <c r="BA18" s="72">
        <v>0</v>
      </c>
      <c r="BB18" s="70" t="s">
        <v>67</v>
      </c>
      <c r="BC18" s="70" t="s">
        <v>1044</v>
      </c>
      <c r="BD18" s="70" t="s">
        <v>3034</v>
      </c>
      <c r="BE18" s="70" t="s">
        <v>420</v>
      </c>
      <c r="BF18" s="70" t="s">
        <v>213</v>
      </c>
      <c r="BG18" s="70" t="s">
        <v>205</v>
      </c>
      <c r="BI18" s="60" t="str">
        <f t="shared" si="1"/>
        <v>Ver en Mapa</v>
      </c>
      <c r="BL18" s="70">
        <v>5</v>
      </c>
      <c r="BM18" s="70">
        <v>5</v>
      </c>
      <c r="BN18" s="70" t="s">
        <v>2847</v>
      </c>
    </row>
    <row r="19" spans="1:66" s="68" customFormat="1" ht="14.4" customHeight="1" x14ac:dyDescent="0.3">
      <c r="A19" s="70" t="str">
        <f>H19</f>
        <v>001270</v>
      </c>
      <c r="B19" s="70" t="s">
        <v>61</v>
      </c>
      <c r="C19" s="70" t="s">
        <v>205</v>
      </c>
      <c r="D19" s="70" t="s">
        <v>408</v>
      </c>
      <c r="E19" s="70" t="s">
        <v>409</v>
      </c>
      <c r="F19" s="70" t="s">
        <v>2802</v>
      </c>
      <c r="G19" s="70" t="s">
        <v>2803</v>
      </c>
      <c r="H19" s="70" t="s">
        <v>455</v>
      </c>
      <c r="I19" s="70" t="s">
        <v>67</v>
      </c>
      <c r="J19" s="70" t="s">
        <v>456</v>
      </c>
      <c r="K19" s="71">
        <v>45772</v>
      </c>
      <c r="L19" s="71">
        <v>45955</v>
      </c>
      <c r="M19" s="72">
        <v>7000</v>
      </c>
      <c r="N19" s="72">
        <v>7373.85</v>
      </c>
      <c r="O19" s="73">
        <v>141</v>
      </c>
      <c r="P19" s="61" t="str">
        <f t="shared" si="0"/>
        <v>&gt;90</v>
      </c>
      <c r="Q19" s="73">
        <v>6</v>
      </c>
      <c r="R19" s="70" t="s">
        <v>68</v>
      </c>
      <c r="S19" s="72">
        <v>1825.24</v>
      </c>
      <c r="T19" s="72">
        <v>348</v>
      </c>
      <c r="U19" s="72">
        <v>2900</v>
      </c>
      <c r="V19" s="72">
        <v>0</v>
      </c>
      <c r="W19" s="72">
        <v>5</v>
      </c>
      <c r="X19" s="72">
        <v>7373.85</v>
      </c>
      <c r="Y19" s="72">
        <v>12026.2073525</v>
      </c>
      <c r="Z19" s="72">
        <v>6144.88</v>
      </c>
      <c r="AA19" s="72">
        <v>2691.33</v>
      </c>
      <c r="AB19" s="72">
        <v>290</v>
      </c>
      <c r="AC19" s="72">
        <v>2900</v>
      </c>
      <c r="AF19" s="70" t="s">
        <v>69</v>
      </c>
      <c r="AG19" s="70" t="s">
        <v>457</v>
      </c>
      <c r="AH19" s="70" t="s">
        <v>513</v>
      </c>
      <c r="AJ19" s="70" t="s">
        <v>458</v>
      </c>
      <c r="AK19" s="70" t="s">
        <v>459</v>
      </c>
      <c r="AL19" s="70" t="s">
        <v>460</v>
      </c>
      <c r="AM19" s="70" t="s">
        <v>457</v>
      </c>
      <c r="AN19" s="70" t="s">
        <v>926</v>
      </c>
      <c r="AO19" s="70" t="s">
        <v>1292</v>
      </c>
      <c r="AP19" s="70" t="s">
        <v>923</v>
      </c>
      <c r="AQ19" s="70" t="s">
        <v>924</v>
      </c>
      <c r="AR19" s="70" t="s">
        <v>925</v>
      </c>
      <c r="AS19" s="70" t="s">
        <v>1293</v>
      </c>
      <c r="AZ19" s="72">
        <v>13793.45</v>
      </c>
      <c r="BA19" s="72">
        <v>0</v>
      </c>
      <c r="BB19" s="70" t="s">
        <v>67</v>
      </c>
      <c r="BC19" s="70" t="s">
        <v>1044</v>
      </c>
      <c r="BD19" s="70" t="s">
        <v>3036</v>
      </c>
      <c r="BE19" s="70" t="s">
        <v>267</v>
      </c>
      <c r="BF19" s="70" t="s">
        <v>213</v>
      </c>
      <c r="BG19" s="70" t="s">
        <v>205</v>
      </c>
      <c r="BI19" s="60" t="str">
        <f t="shared" si="1"/>
        <v>Ver en Mapa</v>
      </c>
      <c r="BL19" s="70">
        <v>5</v>
      </c>
      <c r="BM19" s="70">
        <v>5</v>
      </c>
      <c r="BN19" s="70" t="s">
        <v>2847</v>
      </c>
    </row>
    <row r="20" spans="1:66" s="68" customFormat="1" ht="14.4" customHeight="1" x14ac:dyDescent="0.3">
      <c r="A20" s="70" t="str">
        <f>H20</f>
        <v>001285</v>
      </c>
      <c r="B20" s="70" t="s">
        <v>61</v>
      </c>
      <c r="C20" s="70" t="s">
        <v>194</v>
      </c>
      <c r="D20" s="70" t="s">
        <v>408</v>
      </c>
      <c r="E20" s="70" t="s">
        <v>409</v>
      </c>
      <c r="F20" s="70" t="s">
        <v>2800</v>
      </c>
      <c r="G20" s="70" t="s">
        <v>2801</v>
      </c>
      <c r="H20" s="70" t="s">
        <v>489</v>
      </c>
      <c r="I20" s="70" t="s">
        <v>67</v>
      </c>
      <c r="J20" s="70" t="s">
        <v>490</v>
      </c>
      <c r="K20" s="71">
        <v>45777</v>
      </c>
      <c r="L20" s="71">
        <v>46142</v>
      </c>
      <c r="M20" s="72">
        <v>12000</v>
      </c>
      <c r="N20" s="72">
        <v>12640.89</v>
      </c>
      <c r="O20" s="73">
        <v>137</v>
      </c>
      <c r="P20" s="61" t="str">
        <f t="shared" si="0"/>
        <v>&gt;90</v>
      </c>
      <c r="Q20" s="73">
        <v>12</v>
      </c>
      <c r="R20" s="70" t="s">
        <v>68</v>
      </c>
      <c r="S20" s="72">
        <v>2031.63</v>
      </c>
      <c r="T20" s="72">
        <v>696</v>
      </c>
      <c r="U20" s="72">
        <v>2900</v>
      </c>
      <c r="V20" s="72">
        <v>0</v>
      </c>
      <c r="W20" s="72">
        <v>5</v>
      </c>
      <c r="X20" s="72">
        <v>12640.89</v>
      </c>
      <c r="Y20" s="72">
        <v>13058.147499999999</v>
      </c>
      <c r="Z20" s="72">
        <v>5267.04</v>
      </c>
      <c r="AA20" s="72">
        <v>4601.1099999999997</v>
      </c>
      <c r="AB20" s="72">
        <v>290</v>
      </c>
      <c r="AC20" s="72">
        <v>2900</v>
      </c>
      <c r="AF20" s="70" t="s">
        <v>69</v>
      </c>
      <c r="AG20" s="70" t="s">
        <v>491</v>
      </c>
      <c r="AH20" s="70" t="s">
        <v>492</v>
      </c>
      <c r="AJ20" s="70" t="s">
        <v>86</v>
      </c>
      <c r="AK20" s="70" t="s">
        <v>87</v>
      </c>
      <c r="AL20" s="70" t="s">
        <v>493</v>
      </c>
      <c r="AN20" s="70" t="s">
        <v>807</v>
      </c>
      <c r="AO20" s="70" t="s">
        <v>1264</v>
      </c>
      <c r="AP20" s="70" t="s">
        <v>804</v>
      </c>
      <c r="AQ20" s="70" t="s">
        <v>805</v>
      </c>
      <c r="AR20" s="70" t="s">
        <v>806</v>
      </c>
      <c r="AS20" s="70" t="s">
        <v>1265</v>
      </c>
      <c r="AZ20" s="72">
        <v>26873.55</v>
      </c>
      <c r="BA20" s="72">
        <v>0</v>
      </c>
      <c r="BB20" s="70" t="s">
        <v>67</v>
      </c>
      <c r="BC20" s="70" t="s">
        <v>1044</v>
      </c>
      <c r="BD20" s="70" t="s">
        <v>2890</v>
      </c>
      <c r="BE20" s="70" t="s">
        <v>494</v>
      </c>
      <c r="BF20" s="70" t="s">
        <v>74</v>
      </c>
      <c r="BG20" s="70" t="s">
        <v>194</v>
      </c>
      <c r="BI20" s="60" t="str">
        <f t="shared" si="1"/>
        <v>Ver en Mapa</v>
      </c>
      <c r="BL20" s="70">
        <v>5</v>
      </c>
      <c r="BM20" s="70">
        <v>5</v>
      </c>
      <c r="BN20" s="70" t="s">
        <v>2847</v>
      </c>
    </row>
    <row r="21" spans="1:66" s="68" customFormat="1" ht="14.4" customHeight="1" x14ac:dyDescent="0.3">
      <c r="A21" s="70" t="str">
        <f>H21</f>
        <v>001274</v>
      </c>
      <c r="B21" s="70" t="s">
        <v>61</v>
      </c>
      <c r="C21" s="70" t="s">
        <v>194</v>
      </c>
      <c r="D21" s="70" t="s">
        <v>408</v>
      </c>
      <c r="E21" s="70" t="s">
        <v>409</v>
      </c>
      <c r="F21" s="70" t="s">
        <v>2800</v>
      </c>
      <c r="G21" s="70" t="s">
        <v>2801</v>
      </c>
      <c r="H21" s="70" t="s">
        <v>498</v>
      </c>
      <c r="I21" s="70" t="s">
        <v>67</v>
      </c>
      <c r="J21" s="70" t="s">
        <v>499</v>
      </c>
      <c r="K21" s="71">
        <v>45777</v>
      </c>
      <c r="L21" s="71">
        <v>45960</v>
      </c>
      <c r="M21" s="72">
        <v>15000</v>
      </c>
      <c r="N21" s="72">
        <v>15801.12</v>
      </c>
      <c r="O21" s="73">
        <v>137</v>
      </c>
      <c r="P21" s="61" t="str">
        <f t="shared" si="0"/>
        <v>&gt;90</v>
      </c>
      <c r="Q21" s="73">
        <v>6</v>
      </c>
      <c r="R21" s="70" t="s">
        <v>68</v>
      </c>
      <c r="S21" s="72">
        <v>3844.9500000000003</v>
      </c>
      <c r="T21" s="72">
        <v>348</v>
      </c>
      <c r="U21" s="72">
        <v>2900</v>
      </c>
      <c r="V21" s="72">
        <v>0</v>
      </c>
      <c r="W21" s="72">
        <v>5</v>
      </c>
      <c r="X21" s="72">
        <v>15801.12</v>
      </c>
      <c r="Y21" s="72">
        <v>22124.75</v>
      </c>
      <c r="Z21" s="72">
        <v>13167.6</v>
      </c>
      <c r="AA21" s="72">
        <v>5767.1500000000005</v>
      </c>
      <c r="AB21" s="72">
        <v>290</v>
      </c>
      <c r="AC21" s="72">
        <v>2900</v>
      </c>
      <c r="AF21" s="70" t="s">
        <v>69</v>
      </c>
      <c r="AG21" s="70" t="s">
        <v>500</v>
      </c>
      <c r="AH21" s="70" t="s">
        <v>501</v>
      </c>
      <c r="AJ21" s="70" t="s">
        <v>393</v>
      </c>
      <c r="AK21" s="70" t="s">
        <v>394</v>
      </c>
      <c r="AL21" s="70" t="s">
        <v>502</v>
      </c>
      <c r="AN21" s="70" t="s">
        <v>814</v>
      </c>
      <c r="AO21" s="70" t="s">
        <v>1266</v>
      </c>
      <c r="AP21" s="70" t="s">
        <v>811</v>
      </c>
      <c r="AQ21" s="70" t="s">
        <v>812</v>
      </c>
      <c r="AR21" s="70" t="s">
        <v>813</v>
      </c>
      <c r="AS21" s="70" t="s">
        <v>1267</v>
      </c>
      <c r="AZ21" s="72">
        <v>25911.690000000002</v>
      </c>
      <c r="BA21" s="72">
        <v>0</v>
      </c>
      <c r="BB21" s="70" t="s">
        <v>67</v>
      </c>
      <c r="BC21" s="70" t="s">
        <v>1044</v>
      </c>
      <c r="BD21" s="70" t="s">
        <v>2868</v>
      </c>
      <c r="BE21" s="70" t="s">
        <v>503</v>
      </c>
      <c r="BF21" s="70" t="s">
        <v>74</v>
      </c>
      <c r="BG21" s="70" t="s">
        <v>503</v>
      </c>
      <c r="BI21" s="60" t="str">
        <f t="shared" si="1"/>
        <v>Ver en Mapa</v>
      </c>
      <c r="BL21" s="70">
        <v>5</v>
      </c>
      <c r="BM21" s="70">
        <v>5</v>
      </c>
      <c r="BN21" s="70" t="s">
        <v>2847</v>
      </c>
    </row>
    <row r="22" spans="1:66" s="68" customFormat="1" ht="14.4" customHeight="1" x14ac:dyDescent="0.3">
      <c r="A22" s="70" t="str">
        <f>H22</f>
        <v>001295</v>
      </c>
      <c r="B22" s="70" t="s">
        <v>61</v>
      </c>
      <c r="C22" s="70" t="s">
        <v>62</v>
      </c>
      <c r="D22" s="70" t="s">
        <v>408</v>
      </c>
      <c r="E22" s="70" t="s">
        <v>409</v>
      </c>
      <c r="F22" s="70" t="s">
        <v>2848</v>
      </c>
      <c r="G22" s="70" t="s">
        <v>2849</v>
      </c>
      <c r="H22" s="70" t="s">
        <v>516</v>
      </c>
      <c r="I22" s="70" t="s">
        <v>67</v>
      </c>
      <c r="J22" s="70" t="s">
        <v>517</v>
      </c>
      <c r="K22" s="71">
        <v>45784</v>
      </c>
      <c r="L22" s="71">
        <v>45968</v>
      </c>
      <c r="M22" s="72">
        <v>5000</v>
      </c>
      <c r="N22" s="72">
        <v>5267.04</v>
      </c>
      <c r="O22" s="73">
        <v>127</v>
      </c>
      <c r="P22" s="61" t="str">
        <f t="shared" si="0"/>
        <v>&gt;90</v>
      </c>
      <c r="Q22" s="73">
        <v>6</v>
      </c>
      <c r="R22" s="70" t="s">
        <v>68</v>
      </c>
      <c r="S22" s="72">
        <v>1322.42</v>
      </c>
      <c r="T22" s="72">
        <v>348</v>
      </c>
      <c r="U22" s="72">
        <v>2320</v>
      </c>
      <c r="V22" s="72">
        <v>0</v>
      </c>
      <c r="W22" s="72">
        <v>4.6000000000000014</v>
      </c>
      <c r="X22" s="72">
        <v>5091.62</v>
      </c>
      <c r="Y22" s="72">
        <v>8312.09</v>
      </c>
      <c r="Z22" s="72">
        <v>4213.78</v>
      </c>
      <c r="AA22" s="72">
        <v>1546.31</v>
      </c>
      <c r="AB22" s="72">
        <v>232</v>
      </c>
      <c r="AC22" s="72">
        <v>2320</v>
      </c>
      <c r="AD22" s="72">
        <v>1200</v>
      </c>
      <c r="AE22" s="71">
        <v>45826</v>
      </c>
      <c r="AF22" s="70" t="s">
        <v>69</v>
      </c>
      <c r="AG22" s="70" t="s">
        <v>518</v>
      </c>
      <c r="AH22" s="70" t="s">
        <v>519</v>
      </c>
      <c r="AJ22" s="70" t="s">
        <v>379</v>
      </c>
      <c r="AK22" s="70" t="s">
        <v>380</v>
      </c>
      <c r="AN22" s="70" t="s">
        <v>733</v>
      </c>
      <c r="AO22" s="70" t="s">
        <v>1251</v>
      </c>
      <c r="AP22" s="70" t="s">
        <v>730</v>
      </c>
      <c r="AQ22" s="70" t="s">
        <v>731</v>
      </c>
      <c r="AR22" s="70" t="s">
        <v>732</v>
      </c>
      <c r="AS22" s="70" t="s">
        <v>1252</v>
      </c>
      <c r="AZ22" s="72">
        <v>9576.5</v>
      </c>
      <c r="BA22" s="72">
        <v>0</v>
      </c>
      <c r="BB22" s="70" t="s">
        <v>67</v>
      </c>
      <c r="BC22" s="70" t="s">
        <v>1044</v>
      </c>
      <c r="BD22" s="70" t="s">
        <v>520</v>
      </c>
      <c r="BE22" s="70" t="s">
        <v>424</v>
      </c>
      <c r="BF22" s="70" t="s">
        <v>74</v>
      </c>
      <c r="BG22" s="70" t="s">
        <v>338</v>
      </c>
      <c r="BI22" s="60" t="str">
        <f t="shared" si="1"/>
        <v>Ver en Mapa</v>
      </c>
      <c r="BL22" s="70">
        <v>5</v>
      </c>
      <c r="BM22" s="70">
        <v>5</v>
      </c>
      <c r="BN22" s="70" t="s">
        <v>2847</v>
      </c>
    </row>
    <row r="23" spans="1:66" s="68" customFormat="1" ht="14.4" customHeight="1" x14ac:dyDescent="0.3">
      <c r="A23" s="70" t="str">
        <f>H23</f>
        <v>001324</v>
      </c>
      <c r="B23" s="70" t="s">
        <v>61</v>
      </c>
      <c r="C23" s="70" t="s">
        <v>194</v>
      </c>
      <c r="D23" s="70" t="s">
        <v>588</v>
      </c>
      <c r="E23" s="70" t="s">
        <v>589</v>
      </c>
      <c r="F23" s="70" t="s">
        <v>2800</v>
      </c>
      <c r="G23" s="70" t="s">
        <v>2801</v>
      </c>
      <c r="H23" s="70" t="s">
        <v>610</v>
      </c>
      <c r="I23" s="70" t="s">
        <v>67</v>
      </c>
      <c r="J23" s="70" t="s">
        <v>611</v>
      </c>
      <c r="K23" s="71">
        <v>45797</v>
      </c>
      <c r="L23" s="71">
        <v>45965</v>
      </c>
      <c r="M23" s="72">
        <v>5000</v>
      </c>
      <c r="N23" s="72">
        <v>5267.04</v>
      </c>
      <c r="O23" s="73">
        <v>126</v>
      </c>
      <c r="P23" s="61" t="str">
        <f t="shared" si="0"/>
        <v>&gt;90</v>
      </c>
      <c r="Q23" s="73">
        <v>24</v>
      </c>
      <c r="R23" s="70" t="s">
        <v>469</v>
      </c>
      <c r="S23" s="72">
        <v>365.7</v>
      </c>
      <c r="T23" s="72">
        <v>1392</v>
      </c>
      <c r="U23" s="72">
        <v>10440</v>
      </c>
      <c r="V23" s="72">
        <v>21</v>
      </c>
      <c r="W23" s="72">
        <v>18.8</v>
      </c>
      <c r="X23" s="72">
        <v>4828.12</v>
      </c>
      <c r="Y23" s="72">
        <v>17253.710012799998</v>
      </c>
      <c r="Z23" s="72">
        <v>4169.74</v>
      </c>
      <c r="AA23" s="72">
        <v>1599.97</v>
      </c>
      <c r="AB23" s="72">
        <v>1044</v>
      </c>
      <c r="AC23" s="72">
        <v>10440</v>
      </c>
      <c r="AD23" s="72">
        <v>500</v>
      </c>
      <c r="AE23" s="71">
        <v>45812</v>
      </c>
      <c r="AF23" s="70" t="s">
        <v>69</v>
      </c>
      <c r="AG23" s="70" t="s">
        <v>612</v>
      </c>
      <c r="AH23" s="70" t="s">
        <v>613</v>
      </c>
      <c r="AJ23" s="70" t="s">
        <v>324</v>
      </c>
      <c r="AK23" s="70" t="s">
        <v>325</v>
      </c>
      <c r="AN23" s="70" t="s">
        <v>830</v>
      </c>
      <c r="AO23" s="70" t="s">
        <v>1270</v>
      </c>
      <c r="AP23" s="70" t="s">
        <v>828</v>
      </c>
      <c r="AQ23" s="70" t="s">
        <v>1271</v>
      </c>
      <c r="AR23" s="70" t="s">
        <v>829</v>
      </c>
      <c r="AS23" s="70" t="s">
        <v>1271</v>
      </c>
      <c r="AZ23" s="72">
        <v>18176.810000000001</v>
      </c>
      <c r="BA23" s="72">
        <v>0</v>
      </c>
      <c r="BB23" s="70" t="s">
        <v>67</v>
      </c>
      <c r="BC23" s="70" t="s">
        <v>1044</v>
      </c>
      <c r="BD23" s="70" t="s">
        <v>2960</v>
      </c>
      <c r="BE23" s="70" t="s">
        <v>251</v>
      </c>
      <c r="BF23" s="70" t="s">
        <v>74</v>
      </c>
      <c r="BG23" s="70" t="s">
        <v>415</v>
      </c>
      <c r="BI23" s="60" t="str">
        <f t="shared" si="1"/>
        <v>Ver en Mapa</v>
      </c>
      <c r="BL23" s="70">
        <v>21</v>
      </c>
      <c r="BM23" s="70">
        <v>21</v>
      </c>
      <c r="BN23" s="70" t="s">
        <v>2847</v>
      </c>
    </row>
    <row r="24" spans="1:66" s="68" customFormat="1" ht="14.4" customHeight="1" x14ac:dyDescent="0.3">
      <c r="A24" s="70" t="str">
        <f>H24</f>
        <v>001076</v>
      </c>
      <c r="B24" s="70" t="s">
        <v>61</v>
      </c>
      <c r="C24" s="70" t="s">
        <v>205</v>
      </c>
      <c r="D24" s="70" t="s">
        <v>215</v>
      </c>
      <c r="E24" s="70" t="s">
        <v>216</v>
      </c>
      <c r="F24" s="70" t="s">
        <v>2802</v>
      </c>
      <c r="G24" s="70" t="s">
        <v>2803</v>
      </c>
      <c r="H24" s="70" t="s">
        <v>233</v>
      </c>
      <c r="I24" s="70" t="s">
        <v>67</v>
      </c>
      <c r="J24" s="70" t="s">
        <v>234</v>
      </c>
      <c r="K24" s="71">
        <v>45527</v>
      </c>
      <c r="L24" s="71">
        <v>45915</v>
      </c>
      <c r="M24" s="72">
        <v>30000</v>
      </c>
      <c r="N24" s="72">
        <v>31602.23</v>
      </c>
      <c r="O24" s="73">
        <v>120</v>
      </c>
      <c r="P24" s="61" t="str">
        <f t="shared" si="0"/>
        <v>&gt;90</v>
      </c>
      <c r="Q24" s="73">
        <v>12</v>
      </c>
      <c r="R24" s="70" t="s">
        <v>68</v>
      </c>
      <c r="S24" s="72">
        <v>5448.58</v>
      </c>
      <c r="T24" s="72">
        <v>696</v>
      </c>
      <c r="U24" s="72">
        <v>2320</v>
      </c>
      <c r="V24" s="72">
        <v>0</v>
      </c>
      <c r="W24" s="72">
        <v>3.4</v>
      </c>
      <c r="X24" s="72">
        <v>15454.08</v>
      </c>
      <c r="Y24" s="72">
        <v>21082.959999999999</v>
      </c>
      <c r="Z24" s="72">
        <v>15454.09</v>
      </c>
      <c r="AA24" s="72">
        <v>3134.87</v>
      </c>
      <c r="AB24" s="72">
        <v>174</v>
      </c>
      <c r="AC24" s="72">
        <v>2320</v>
      </c>
      <c r="AD24" s="72">
        <v>3000</v>
      </c>
      <c r="AE24" s="71">
        <v>45912</v>
      </c>
      <c r="AF24" s="70" t="s">
        <v>69</v>
      </c>
      <c r="AG24" s="70" t="s">
        <v>235</v>
      </c>
      <c r="AH24" s="70" t="s">
        <v>236</v>
      </c>
      <c r="AJ24" s="70" t="s">
        <v>100</v>
      </c>
      <c r="AK24" s="70" t="s">
        <v>101</v>
      </c>
      <c r="AL24" s="70" t="s">
        <v>237</v>
      </c>
      <c r="AN24" s="70" t="s">
        <v>887</v>
      </c>
      <c r="AO24" s="70" t="s">
        <v>1280</v>
      </c>
      <c r="AP24" s="70" t="s">
        <v>884</v>
      </c>
      <c r="AQ24" s="70" t="s">
        <v>885</v>
      </c>
      <c r="AR24" s="70" t="s">
        <v>886</v>
      </c>
      <c r="AS24" s="70" t="s">
        <v>1281</v>
      </c>
      <c r="AT24" s="70" t="s">
        <v>122</v>
      </c>
      <c r="AU24" s="68" t="s">
        <v>238</v>
      </c>
      <c r="AV24" s="70" t="s">
        <v>239</v>
      </c>
      <c r="AZ24" s="72">
        <v>21082.95</v>
      </c>
      <c r="BA24" s="72">
        <v>0</v>
      </c>
      <c r="BB24" s="70" t="s">
        <v>67</v>
      </c>
      <c r="BC24" s="70" t="s">
        <v>77</v>
      </c>
      <c r="BD24" s="70" t="s">
        <v>3029</v>
      </c>
      <c r="BE24" s="70" t="s">
        <v>240</v>
      </c>
      <c r="BF24" s="70" t="s">
        <v>213</v>
      </c>
      <c r="BG24" s="70" t="s">
        <v>205</v>
      </c>
      <c r="BI24" s="60" t="str">
        <f t="shared" si="1"/>
        <v>Ver en Mapa</v>
      </c>
      <c r="BL24" s="70">
        <v>7</v>
      </c>
      <c r="BM24" s="70">
        <v>6</v>
      </c>
      <c r="BN24" s="70" t="s">
        <v>2847</v>
      </c>
    </row>
    <row r="25" spans="1:66" s="68" customFormat="1" ht="14.4" customHeight="1" x14ac:dyDescent="0.3">
      <c r="A25" s="70" t="str">
        <f>H25</f>
        <v>001341</v>
      </c>
      <c r="B25" s="70" t="s">
        <v>61</v>
      </c>
      <c r="C25" s="70" t="s">
        <v>194</v>
      </c>
      <c r="D25" s="70" t="s">
        <v>588</v>
      </c>
      <c r="E25" s="70" t="s">
        <v>589</v>
      </c>
      <c r="F25" s="70" t="s">
        <v>2800</v>
      </c>
      <c r="G25" s="70" t="s">
        <v>2801</v>
      </c>
      <c r="H25" s="70" t="s">
        <v>652</v>
      </c>
      <c r="I25" s="70" t="s">
        <v>67</v>
      </c>
      <c r="J25" s="70" t="s">
        <v>653</v>
      </c>
      <c r="K25" s="71">
        <v>45803</v>
      </c>
      <c r="L25" s="71">
        <v>45971</v>
      </c>
      <c r="M25" s="72">
        <v>5000</v>
      </c>
      <c r="N25" s="72">
        <v>5267.04</v>
      </c>
      <c r="O25" s="73">
        <v>113</v>
      </c>
      <c r="P25" s="61" t="str">
        <f t="shared" si="0"/>
        <v>&gt;90</v>
      </c>
      <c r="Q25" s="73">
        <v>12</v>
      </c>
      <c r="R25" s="70" t="s">
        <v>496</v>
      </c>
      <c r="S25" s="72">
        <v>673.4</v>
      </c>
      <c r="T25" s="72">
        <v>696</v>
      </c>
      <c r="U25" s="72">
        <v>5220</v>
      </c>
      <c r="V25" s="72">
        <v>10</v>
      </c>
      <c r="W25" s="72">
        <v>9</v>
      </c>
      <c r="X25" s="72">
        <v>4828.12</v>
      </c>
      <c r="Y25" s="72">
        <v>11280.01</v>
      </c>
      <c r="Z25" s="72">
        <v>3950.28</v>
      </c>
      <c r="AA25" s="72">
        <v>1588.33</v>
      </c>
      <c r="AB25" s="72">
        <v>521.4</v>
      </c>
      <c r="AC25" s="72">
        <v>5220</v>
      </c>
      <c r="AD25" s="72">
        <v>674</v>
      </c>
      <c r="AE25" s="71">
        <v>45817</v>
      </c>
      <c r="AF25" s="70" t="s">
        <v>69</v>
      </c>
      <c r="AG25" s="70" t="s">
        <v>654</v>
      </c>
      <c r="AH25" s="70" t="s">
        <v>655</v>
      </c>
      <c r="AJ25" s="70" t="s">
        <v>481</v>
      </c>
      <c r="AK25" s="70" t="s">
        <v>482</v>
      </c>
      <c r="AN25" s="70" t="s">
        <v>848</v>
      </c>
      <c r="AO25" s="70" t="s">
        <v>1014</v>
      </c>
      <c r="AP25" s="70" t="s">
        <v>845</v>
      </c>
      <c r="AQ25" s="70" t="s">
        <v>846</v>
      </c>
      <c r="AR25" s="70" t="s">
        <v>847</v>
      </c>
      <c r="AS25" s="70" t="s">
        <v>1015</v>
      </c>
      <c r="AZ25" s="72">
        <v>12510.81</v>
      </c>
      <c r="BA25" s="72">
        <v>0</v>
      </c>
      <c r="BB25" s="70" t="s">
        <v>67</v>
      </c>
      <c r="BC25" s="70" t="s">
        <v>1044</v>
      </c>
      <c r="BD25" s="70" t="s">
        <v>2892</v>
      </c>
      <c r="BE25" s="70" t="s">
        <v>656</v>
      </c>
      <c r="BF25" s="70" t="s">
        <v>74</v>
      </c>
      <c r="BG25" s="70" t="s">
        <v>646</v>
      </c>
      <c r="BI25" s="60" t="str">
        <f t="shared" si="1"/>
        <v>Ver en Mapa</v>
      </c>
      <c r="BL25" s="70">
        <v>9</v>
      </c>
      <c r="BM25" s="70">
        <v>9</v>
      </c>
      <c r="BN25" s="70" t="s">
        <v>2847</v>
      </c>
    </row>
    <row r="26" spans="1:66" s="68" customFormat="1" ht="14.4" customHeight="1" x14ac:dyDescent="0.3">
      <c r="A26" s="70" t="str">
        <f>H26</f>
        <v>001342</v>
      </c>
      <c r="B26" s="70" t="s">
        <v>61</v>
      </c>
      <c r="C26" s="70" t="s">
        <v>194</v>
      </c>
      <c r="D26" s="70" t="s">
        <v>588</v>
      </c>
      <c r="E26" s="70" t="s">
        <v>589</v>
      </c>
      <c r="F26" s="70" t="s">
        <v>2800</v>
      </c>
      <c r="G26" s="70" t="s">
        <v>2801</v>
      </c>
      <c r="H26" s="70" t="s">
        <v>647</v>
      </c>
      <c r="I26" s="70" t="s">
        <v>67</v>
      </c>
      <c r="J26" s="70" t="s">
        <v>648</v>
      </c>
      <c r="K26" s="71">
        <v>45803</v>
      </c>
      <c r="L26" s="71">
        <v>45987</v>
      </c>
      <c r="M26" s="72">
        <v>5000</v>
      </c>
      <c r="N26" s="72">
        <v>5267.04</v>
      </c>
      <c r="O26" s="73">
        <v>110</v>
      </c>
      <c r="P26" s="61" t="str">
        <f t="shared" si="0"/>
        <v>&gt;90</v>
      </c>
      <c r="Q26" s="73">
        <v>6</v>
      </c>
      <c r="R26" s="70" t="s">
        <v>68</v>
      </c>
      <c r="S26" s="72">
        <v>1322.42</v>
      </c>
      <c r="T26" s="72">
        <v>348</v>
      </c>
      <c r="U26" s="72">
        <v>2320</v>
      </c>
      <c r="V26" s="72">
        <v>0</v>
      </c>
      <c r="W26" s="72">
        <v>4</v>
      </c>
      <c r="X26" s="72">
        <v>5267.04</v>
      </c>
      <c r="Y26" s="72">
        <v>7609.67</v>
      </c>
      <c r="Z26" s="72">
        <v>3511.36</v>
      </c>
      <c r="AA26" s="72">
        <v>1546.31</v>
      </c>
      <c r="AB26" s="72">
        <v>232</v>
      </c>
      <c r="AC26" s="72">
        <v>2320</v>
      </c>
      <c r="AF26" s="70" t="s">
        <v>69</v>
      </c>
      <c r="AG26" s="70" t="s">
        <v>649</v>
      </c>
      <c r="AH26" s="70" t="s">
        <v>650</v>
      </c>
      <c r="AJ26" s="70" t="s">
        <v>328</v>
      </c>
      <c r="AK26" s="70" t="s">
        <v>329</v>
      </c>
      <c r="AN26" s="70" t="s">
        <v>844</v>
      </c>
      <c r="AO26" s="70" t="s">
        <v>1012</v>
      </c>
      <c r="AP26" s="70" t="s">
        <v>841</v>
      </c>
      <c r="AQ26" s="70" t="s">
        <v>842</v>
      </c>
      <c r="AR26" s="70" t="s">
        <v>843</v>
      </c>
      <c r="AS26" s="70" t="s">
        <v>1013</v>
      </c>
      <c r="AZ26" s="72">
        <v>10138.5</v>
      </c>
      <c r="BA26" s="72">
        <v>0</v>
      </c>
      <c r="BB26" s="70" t="s">
        <v>67</v>
      </c>
      <c r="BC26" s="70" t="s">
        <v>1044</v>
      </c>
      <c r="BD26" s="70" t="s">
        <v>2957</v>
      </c>
      <c r="BE26" s="70" t="s">
        <v>651</v>
      </c>
      <c r="BF26" s="70" t="s">
        <v>74</v>
      </c>
      <c r="BG26" s="70" t="s">
        <v>646</v>
      </c>
      <c r="BI26" s="60" t="str">
        <f t="shared" si="1"/>
        <v>Ver en Mapa</v>
      </c>
      <c r="BL26" s="70">
        <v>4</v>
      </c>
      <c r="BM26" s="70">
        <v>4</v>
      </c>
      <c r="BN26" s="70" t="s">
        <v>2847</v>
      </c>
    </row>
    <row r="27" spans="1:66" s="68" customFormat="1" ht="14.4" customHeight="1" x14ac:dyDescent="0.3">
      <c r="A27" s="70" t="str">
        <f>H27</f>
        <v>001060</v>
      </c>
      <c r="B27" s="70" t="s">
        <v>61</v>
      </c>
      <c r="C27" s="70" t="s">
        <v>273</v>
      </c>
      <c r="D27" s="70" t="s">
        <v>286</v>
      </c>
      <c r="E27" s="70" t="s">
        <v>287</v>
      </c>
      <c r="F27" s="70" t="s">
        <v>2785</v>
      </c>
      <c r="G27" s="70" t="s">
        <v>2786</v>
      </c>
      <c r="H27" s="70" t="s">
        <v>313</v>
      </c>
      <c r="I27" s="70" t="s">
        <v>67</v>
      </c>
      <c r="J27" s="70" t="s">
        <v>314</v>
      </c>
      <c r="K27" s="71">
        <v>45443</v>
      </c>
      <c r="L27" s="71">
        <v>45992</v>
      </c>
      <c r="M27" s="72">
        <v>130000</v>
      </c>
      <c r="N27" s="72">
        <v>136943.01</v>
      </c>
      <c r="O27" s="73">
        <v>105</v>
      </c>
      <c r="P27" s="61" t="str">
        <f t="shared" si="0"/>
        <v>&gt;90</v>
      </c>
      <c r="Q27" s="73">
        <v>18</v>
      </c>
      <c r="R27" s="70" t="s">
        <v>68</v>
      </c>
      <c r="S27" s="72">
        <v>18565.189999999999</v>
      </c>
      <c r="T27" s="72">
        <v>1044</v>
      </c>
      <c r="U27" s="72">
        <v>2320</v>
      </c>
      <c r="V27" s="72">
        <v>0</v>
      </c>
      <c r="W27" s="72">
        <v>3.1</v>
      </c>
      <c r="X27" s="72">
        <v>68661.03</v>
      </c>
      <c r="Y27" s="72">
        <v>59296.05</v>
      </c>
      <c r="Z27" s="72">
        <v>37217.96</v>
      </c>
      <c r="AA27" s="72">
        <v>19584.09</v>
      </c>
      <c r="AB27" s="72">
        <v>174</v>
      </c>
      <c r="AC27" s="72">
        <v>2320</v>
      </c>
      <c r="AD27" s="72">
        <v>6000</v>
      </c>
      <c r="AE27" s="71">
        <v>45941</v>
      </c>
      <c r="AF27" s="70" t="s">
        <v>69</v>
      </c>
      <c r="AG27" s="70" t="s">
        <v>315</v>
      </c>
      <c r="AH27" s="70" t="s">
        <v>316</v>
      </c>
      <c r="AJ27" s="70" t="s">
        <v>98</v>
      </c>
      <c r="AK27" s="70" t="s">
        <v>99</v>
      </c>
      <c r="AN27" s="70" t="s">
        <v>942</v>
      </c>
      <c r="AO27" s="70" t="s">
        <v>941</v>
      </c>
      <c r="AP27" s="70" t="s">
        <v>1253</v>
      </c>
      <c r="AQ27" s="70" t="s">
        <v>1254</v>
      </c>
      <c r="AR27" s="70" t="s">
        <v>1255</v>
      </c>
      <c r="AS27" s="70" t="s">
        <v>1256</v>
      </c>
      <c r="AT27" s="70" t="s">
        <v>122</v>
      </c>
      <c r="AU27" s="68" t="s">
        <v>317</v>
      </c>
      <c r="AV27" s="70" t="s">
        <v>318</v>
      </c>
      <c r="AW27" s="70" t="s">
        <v>122</v>
      </c>
      <c r="AX27" s="68" t="s">
        <v>319</v>
      </c>
      <c r="AY27" s="70" t="s">
        <v>320</v>
      </c>
      <c r="AZ27" s="72">
        <v>90739.12</v>
      </c>
      <c r="BA27" s="72">
        <v>0</v>
      </c>
      <c r="BB27" s="70" t="s">
        <v>67</v>
      </c>
      <c r="BC27" s="70" t="s">
        <v>77</v>
      </c>
      <c r="BD27" s="70" t="s">
        <v>2874</v>
      </c>
      <c r="BE27" s="70" t="s">
        <v>322</v>
      </c>
      <c r="BF27" s="70" t="s">
        <v>74</v>
      </c>
      <c r="BG27" s="70" t="s">
        <v>323</v>
      </c>
      <c r="BI27" s="60" t="str">
        <f t="shared" si="1"/>
        <v>Ver en Mapa</v>
      </c>
      <c r="BL27" s="70">
        <v>11</v>
      </c>
      <c r="BM27" s="70">
        <v>7</v>
      </c>
      <c r="BN27" s="70" t="s">
        <v>2846</v>
      </c>
    </row>
    <row r="28" spans="1:66" s="68" customFormat="1" ht="14.4" customHeight="1" x14ac:dyDescent="0.3">
      <c r="A28" s="70" t="str">
        <f>H28</f>
        <v>001061</v>
      </c>
      <c r="B28" s="70" t="s">
        <v>61</v>
      </c>
      <c r="C28" s="70" t="s">
        <v>205</v>
      </c>
      <c r="D28" s="70" t="s">
        <v>215</v>
      </c>
      <c r="E28" s="70" t="s">
        <v>216</v>
      </c>
      <c r="F28" s="70" t="s">
        <v>2802</v>
      </c>
      <c r="G28" s="70" t="s">
        <v>2803</v>
      </c>
      <c r="H28" s="70" t="s">
        <v>1484</v>
      </c>
      <c r="I28" s="70" t="s">
        <v>67</v>
      </c>
      <c r="J28" s="70" t="s">
        <v>241</v>
      </c>
      <c r="K28" s="71">
        <v>45447</v>
      </c>
      <c r="L28" s="71">
        <v>45904</v>
      </c>
      <c r="M28" s="72">
        <v>80000</v>
      </c>
      <c r="N28" s="72">
        <v>84272.62</v>
      </c>
      <c r="O28" s="73">
        <v>102</v>
      </c>
      <c r="P28" s="61" t="str">
        <f t="shared" si="0"/>
        <v>&gt;90</v>
      </c>
      <c r="Q28" s="73">
        <v>15</v>
      </c>
      <c r="R28" s="70" t="s">
        <v>68</v>
      </c>
      <c r="S28" s="72">
        <v>12168.07</v>
      </c>
      <c r="T28" s="72">
        <v>870</v>
      </c>
      <c r="U28" s="72">
        <v>1740</v>
      </c>
      <c r="V28" s="72">
        <v>0</v>
      </c>
      <c r="W28" s="72">
        <v>3</v>
      </c>
      <c r="X28" s="72">
        <v>29287.440000000002</v>
      </c>
      <c r="Y28" s="72">
        <v>38161.06</v>
      </c>
      <c r="Z28" s="72">
        <v>29287.43</v>
      </c>
      <c r="AA28" s="72">
        <v>6959.63</v>
      </c>
      <c r="AB28" s="72">
        <v>174</v>
      </c>
      <c r="AC28" s="72">
        <v>1740</v>
      </c>
      <c r="AD28" s="72">
        <v>12170</v>
      </c>
      <c r="AE28" s="71">
        <v>45811</v>
      </c>
      <c r="AF28" s="70" t="s">
        <v>69</v>
      </c>
      <c r="AG28" s="70" t="s">
        <v>1485</v>
      </c>
      <c r="AH28" s="70" t="s">
        <v>242</v>
      </c>
      <c r="AJ28" s="70" t="s">
        <v>243</v>
      </c>
      <c r="AK28" s="70" t="s">
        <v>1486</v>
      </c>
      <c r="AN28" s="70" t="s">
        <v>888</v>
      </c>
      <c r="AO28" s="70" t="s">
        <v>1487</v>
      </c>
      <c r="AP28" s="70" t="s">
        <v>1282</v>
      </c>
      <c r="AQ28" s="70" t="s">
        <v>1488</v>
      </c>
      <c r="AR28" s="70" t="s">
        <v>1283</v>
      </c>
      <c r="AS28" s="70" t="s">
        <v>1489</v>
      </c>
      <c r="AT28" s="70" t="s">
        <v>122</v>
      </c>
      <c r="AU28" s="68" t="s">
        <v>244</v>
      </c>
      <c r="AV28" s="70" t="s">
        <v>245</v>
      </c>
      <c r="AZ28" s="72">
        <v>38161.07</v>
      </c>
      <c r="BA28" s="72">
        <v>0</v>
      </c>
      <c r="BB28" s="70" t="s">
        <v>67</v>
      </c>
      <c r="BC28" s="70" t="s">
        <v>77</v>
      </c>
      <c r="BD28" s="70" t="s">
        <v>3030</v>
      </c>
      <c r="BE28" s="70" t="s">
        <v>246</v>
      </c>
      <c r="BF28" s="70" t="s">
        <v>213</v>
      </c>
      <c r="BG28" s="70" t="s">
        <v>205</v>
      </c>
      <c r="BI28" s="60" t="str">
        <f t="shared" si="1"/>
        <v>Ver en Mapa</v>
      </c>
      <c r="BL28" s="70">
        <v>14</v>
      </c>
      <c r="BM28" s="70">
        <v>9</v>
      </c>
      <c r="BN28" s="70" t="s">
        <v>2847</v>
      </c>
    </row>
    <row r="29" spans="1:66" s="68" customFormat="1" ht="14.4" customHeight="1" x14ac:dyDescent="0.3">
      <c r="A29" s="70" t="str">
        <f>H29</f>
        <v>001378</v>
      </c>
      <c r="B29" s="70" t="s">
        <v>61</v>
      </c>
      <c r="C29" s="70" t="s">
        <v>62</v>
      </c>
      <c r="D29" s="70" t="s">
        <v>183</v>
      </c>
      <c r="E29" s="70" t="s">
        <v>184</v>
      </c>
      <c r="F29" s="70" t="s">
        <v>590</v>
      </c>
      <c r="G29" s="70" t="s">
        <v>2763</v>
      </c>
      <c r="H29" s="70" t="s">
        <v>1435</v>
      </c>
      <c r="I29" s="70" t="s">
        <v>67</v>
      </c>
      <c r="J29" s="70" t="s">
        <v>1089</v>
      </c>
      <c r="K29" s="71">
        <v>45814</v>
      </c>
      <c r="L29" s="71">
        <v>46179</v>
      </c>
      <c r="M29" s="72">
        <v>30000</v>
      </c>
      <c r="N29" s="72">
        <v>31602.23</v>
      </c>
      <c r="O29" s="73">
        <v>99</v>
      </c>
      <c r="P29" s="61" t="str">
        <f t="shared" si="0"/>
        <v>&gt;90</v>
      </c>
      <c r="Q29" s="73">
        <v>12</v>
      </c>
      <c r="R29" s="70" t="s">
        <v>68</v>
      </c>
      <c r="S29" s="72">
        <v>4992.07</v>
      </c>
      <c r="T29" s="72">
        <v>696</v>
      </c>
      <c r="U29" s="72">
        <v>2320</v>
      </c>
      <c r="V29" s="72">
        <v>0</v>
      </c>
      <c r="W29" s="72">
        <v>4</v>
      </c>
      <c r="X29" s="72">
        <v>31602.23</v>
      </c>
      <c r="Y29" s="72">
        <v>22288.296699999999</v>
      </c>
      <c r="Z29" s="72">
        <v>10534.08</v>
      </c>
      <c r="AA29" s="72">
        <v>9202.2199999999993</v>
      </c>
      <c r="AB29" s="72">
        <v>232</v>
      </c>
      <c r="AC29" s="72">
        <v>2320</v>
      </c>
      <c r="AF29" s="70" t="s">
        <v>69</v>
      </c>
      <c r="AG29" s="70" t="s">
        <v>1404</v>
      </c>
      <c r="AH29" s="70" t="s">
        <v>1404</v>
      </c>
      <c r="AJ29" s="70" t="s">
        <v>1090</v>
      </c>
      <c r="AK29" s="70" t="s">
        <v>1436</v>
      </c>
      <c r="AL29" s="70" t="s">
        <v>342</v>
      </c>
      <c r="AM29" s="70" t="s">
        <v>1403</v>
      </c>
      <c r="AN29" s="70" t="s">
        <v>1091</v>
      </c>
      <c r="AO29" s="70" t="s">
        <v>1437</v>
      </c>
      <c r="AP29" s="70" t="s">
        <v>1092</v>
      </c>
      <c r="AQ29" s="70" t="s">
        <v>1438</v>
      </c>
      <c r="AR29" s="70" t="s">
        <v>1093</v>
      </c>
      <c r="AS29" s="70" t="s">
        <v>1439</v>
      </c>
      <c r="AZ29" s="72">
        <v>61760.880000000005</v>
      </c>
      <c r="BA29" s="72">
        <v>0</v>
      </c>
      <c r="BB29" s="70" t="s">
        <v>67</v>
      </c>
      <c r="BC29" s="70" t="s">
        <v>1044</v>
      </c>
      <c r="BD29" s="70" t="s">
        <v>2963</v>
      </c>
      <c r="BE29" s="70" t="s">
        <v>452</v>
      </c>
      <c r="BF29" s="70" t="s">
        <v>74</v>
      </c>
      <c r="BG29" s="70" t="s">
        <v>75</v>
      </c>
      <c r="BH29" s="70" t="s">
        <v>1094</v>
      </c>
      <c r="BI29" s="60" t="str">
        <f t="shared" si="1"/>
        <v>Ver en Mapa</v>
      </c>
      <c r="BL29" s="70">
        <v>4</v>
      </c>
      <c r="BM29" s="70">
        <v>4</v>
      </c>
      <c r="BN29" s="70" t="s">
        <v>2847</v>
      </c>
    </row>
    <row r="30" spans="1:66" s="68" customFormat="1" ht="14.4" customHeight="1" x14ac:dyDescent="0.3">
      <c r="A30" s="70" t="str">
        <f>H30</f>
        <v>001297</v>
      </c>
      <c r="B30" s="70" t="s">
        <v>61</v>
      </c>
      <c r="C30" s="70" t="s">
        <v>194</v>
      </c>
      <c r="D30" s="70" t="s">
        <v>408</v>
      </c>
      <c r="E30" s="70" t="s">
        <v>409</v>
      </c>
      <c r="F30" s="70" t="s">
        <v>2800</v>
      </c>
      <c r="G30" s="70" t="s">
        <v>2801</v>
      </c>
      <c r="H30" s="70" t="s">
        <v>1458</v>
      </c>
      <c r="I30" s="70" t="s">
        <v>67</v>
      </c>
      <c r="J30" s="70" t="s">
        <v>509</v>
      </c>
      <c r="K30" s="71">
        <v>45782</v>
      </c>
      <c r="L30" s="71">
        <v>45966</v>
      </c>
      <c r="M30" s="72">
        <v>20000</v>
      </c>
      <c r="N30" s="72">
        <v>21068.16</v>
      </c>
      <c r="O30" s="73">
        <v>99</v>
      </c>
      <c r="P30" s="61" t="str">
        <f t="shared" si="0"/>
        <v>&gt;90</v>
      </c>
      <c r="Q30" s="73">
        <v>6</v>
      </c>
      <c r="R30" s="70" t="s">
        <v>68</v>
      </c>
      <c r="S30" s="72">
        <v>5115.67</v>
      </c>
      <c r="T30" s="72">
        <v>348</v>
      </c>
      <c r="U30" s="72">
        <v>2320</v>
      </c>
      <c r="V30" s="72">
        <v>0</v>
      </c>
      <c r="W30" s="72">
        <v>4</v>
      </c>
      <c r="X30" s="72">
        <v>17556.8</v>
      </c>
      <c r="Y30" s="72">
        <v>22782.350000000002</v>
      </c>
      <c r="Z30" s="72">
        <v>14045.44</v>
      </c>
      <c r="AA30" s="72">
        <v>6185.24</v>
      </c>
      <c r="AB30" s="72">
        <v>231.67000000000002</v>
      </c>
      <c r="AC30" s="72">
        <v>2320</v>
      </c>
      <c r="AD30" s="72">
        <v>5116</v>
      </c>
      <c r="AE30" s="71">
        <v>45813</v>
      </c>
      <c r="AF30" s="70" t="s">
        <v>69</v>
      </c>
      <c r="AG30" s="70" t="s">
        <v>1459</v>
      </c>
      <c r="AH30" s="70" t="s">
        <v>510</v>
      </c>
      <c r="AJ30" s="70" t="s">
        <v>563</v>
      </c>
      <c r="AK30" s="70" t="s">
        <v>1460</v>
      </c>
      <c r="AN30" s="70" t="s">
        <v>800</v>
      </c>
      <c r="AO30" s="70" t="s">
        <v>1461</v>
      </c>
      <c r="AP30" s="70" t="s">
        <v>798</v>
      </c>
      <c r="AQ30" s="70" t="s">
        <v>1462</v>
      </c>
      <c r="AR30" s="70" t="s">
        <v>799</v>
      </c>
      <c r="AS30" s="70" t="s">
        <v>1463</v>
      </c>
      <c r="AZ30" s="72">
        <v>27840.02</v>
      </c>
      <c r="BA30" s="72">
        <v>0</v>
      </c>
      <c r="BB30" s="70" t="s">
        <v>67</v>
      </c>
      <c r="BC30" s="70" t="s">
        <v>1044</v>
      </c>
      <c r="BD30" s="70" t="s">
        <v>2989</v>
      </c>
      <c r="BE30" s="70" t="s">
        <v>414</v>
      </c>
      <c r="BF30" s="70" t="s">
        <v>74</v>
      </c>
      <c r="BG30" s="70" t="s">
        <v>415</v>
      </c>
      <c r="BI30" s="60" t="str">
        <f t="shared" si="1"/>
        <v>Ver en Mapa</v>
      </c>
      <c r="BL30" s="70">
        <v>4</v>
      </c>
      <c r="BM30" s="70">
        <v>4</v>
      </c>
      <c r="BN30" s="70" t="s">
        <v>2847</v>
      </c>
    </row>
    <row r="31" spans="1:66" s="68" customFormat="1" ht="14.4" customHeight="1" x14ac:dyDescent="0.3">
      <c r="A31" s="70" t="str">
        <f>H31</f>
        <v>001304</v>
      </c>
      <c r="B31" s="70" t="s">
        <v>61</v>
      </c>
      <c r="C31" s="70" t="s">
        <v>62</v>
      </c>
      <c r="D31" s="70" t="s">
        <v>408</v>
      </c>
      <c r="E31" s="70" t="s">
        <v>409</v>
      </c>
      <c r="F31" s="70" t="s">
        <v>2848</v>
      </c>
      <c r="G31" s="70" t="s">
        <v>2849</v>
      </c>
      <c r="H31" s="70" t="s">
        <v>1418</v>
      </c>
      <c r="I31" s="70" t="s">
        <v>67</v>
      </c>
      <c r="J31" s="70" t="s">
        <v>551</v>
      </c>
      <c r="K31" s="71">
        <v>45786</v>
      </c>
      <c r="L31" s="71">
        <v>46151</v>
      </c>
      <c r="M31" s="72">
        <v>10000</v>
      </c>
      <c r="N31" s="72">
        <v>10534.08</v>
      </c>
      <c r="O31" s="73">
        <v>97</v>
      </c>
      <c r="P31" s="61" t="str">
        <f t="shared" si="0"/>
        <v>&gt;90</v>
      </c>
      <c r="Q31" s="73">
        <v>12</v>
      </c>
      <c r="R31" s="70" t="s">
        <v>68</v>
      </c>
      <c r="S31" s="72">
        <v>1702.69</v>
      </c>
      <c r="T31" s="72">
        <v>696</v>
      </c>
      <c r="U31" s="72">
        <v>2320</v>
      </c>
      <c r="V31" s="72">
        <v>0</v>
      </c>
      <c r="W31" s="72">
        <v>4</v>
      </c>
      <c r="X31" s="72">
        <v>9656.24</v>
      </c>
      <c r="Y31" s="72">
        <v>9130.4600000000009</v>
      </c>
      <c r="Z31" s="72">
        <v>3511.36</v>
      </c>
      <c r="AA31" s="72">
        <v>3067.41</v>
      </c>
      <c r="AB31" s="72">
        <v>231.69</v>
      </c>
      <c r="AC31" s="72">
        <v>2320</v>
      </c>
      <c r="AD31" s="72">
        <v>1703</v>
      </c>
      <c r="AE31" s="71">
        <v>45817</v>
      </c>
      <c r="AF31" s="70" t="s">
        <v>69</v>
      </c>
      <c r="AG31" s="70" t="s">
        <v>1419</v>
      </c>
      <c r="AH31" s="70" t="s">
        <v>552</v>
      </c>
      <c r="AJ31" s="70" t="s">
        <v>283</v>
      </c>
      <c r="AK31" s="70" t="s">
        <v>284</v>
      </c>
      <c r="AN31" s="70" t="s">
        <v>751</v>
      </c>
      <c r="AO31" s="70" t="s">
        <v>1420</v>
      </c>
      <c r="AP31" s="70" t="s">
        <v>749</v>
      </c>
      <c r="AQ31" s="70" t="s">
        <v>1421</v>
      </c>
      <c r="AR31" s="70" t="s">
        <v>750</v>
      </c>
      <c r="AS31" s="70" t="s">
        <v>1422</v>
      </c>
      <c r="AZ31" s="72">
        <v>20643.3</v>
      </c>
      <c r="BA31" s="72">
        <v>0</v>
      </c>
      <c r="BB31" s="70" t="s">
        <v>67</v>
      </c>
      <c r="BC31" s="70" t="s">
        <v>1044</v>
      </c>
      <c r="BD31" s="70" t="s">
        <v>2907</v>
      </c>
      <c r="BE31" s="70" t="s">
        <v>125</v>
      </c>
      <c r="BF31" s="70" t="s">
        <v>74</v>
      </c>
      <c r="BG31" s="70" t="s">
        <v>75</v>
      </c>
      <c r="BI31" s="60" t="str">
        <f t="shared" si="1"/>
        <v>Ver en Mapa</v>
      </c>
      <c r="BL31" s="70">
        <v>4</v>
      </c>
      <c r="BM31" s="70">
        <v>4</v>
      </c>
      <c r="BN31" s="70" t="s">
        <v>2847</v>
      </c>
    </row>
    <row r="32" spans="1:66" s="68" customFormat="1" ht="14.4" customHeight="1" x14ac:dyDescent="0.3">
      <c r="A32" s="70" t="str">
        <f>H32</f>
        <v>001352</v>
      </c>
      <c r="B32" s="70" t="s">
        <v>61</v>
      </c>
      <c r="C32" s="70" t="s">
        <v>194</v>
      </c>
      <c r="D32" s="70" t="s">
        <v>594</v>
      </c>
      <c r="E32" s="70" t="s">
        <v>595</v>
      </c>
      <c r="F32" s="70" t="s">
        <v>2800</v>
      </c>
      <c r="G32" s="70" t="s">
        <v>2801</v>
      </c>
      <c r="H32" s="70" t="s">
        <v>1469</v>
      </c>
      <c r="I32" s="70" t="s">
        <v>67</v>
      </c>
      <c r="J32" s="70" t="s">
        <v>682</v>
      </c>
      <c r="K32" s="71">
        <v>45805</v>
      </c>
      <c r="L32" s="71">
        <v>46141</v>
      </c>
      <c r="M32" s="72">
        <v>10000</v>
      </c>
      <c r="N32" s="72">
        <v>10534.08</v>
      </c>
      <c r="O32" s="73">
        <v>97</v>
      </c>
      <c r="P32" s="61" t="str">
        <f t="shared" si="0"/>
        <v>&gt;90</v>
      </c>
      <c r="Q32" s="73">
        <v>24</v>
      </c>
      <c r="R32" s="70" t="s">
        <v>496</v>
      </c>
      <c r="S32" s="72">
        <v>849.88</v>
      </c>
      <c r="T32" s="72">
        <v>1392</v>
      </c>
      <c r="U32" s="72">
        <v>4060</v>
      </c>
      <c r="V32" s="72">
        <v>9</v>
      </c>
      <c r="W32" s="72">
        <v>7</v>
      </c>
      <c r="X32" s="72">
        <v>9656.24</v>
      </c>
      <c r="Y32" s="72">
        <v>10008.94</v>
      </c>
      <c r="Z32" s="72">
        <v>3072.44</v>
      </c>
      <c r="AA32" s="72">
        <v>2470.7400000000002</v>
      </c>
      <c r="AB32" s="72">
        <v>405.76</v>
      </c>
      <c r="AC32" s="72">
        <v>4060</v>
      </c>
      <c r="AD32" s="72">
        <v>850</v>
      </c>
      <c r="AE32" s="71">
        <v>45833</v>
      </c>
      <c r="AF32" s="70" t="s">
        <v>69</v>
      </c>
      <c r="AG32" s="70" t="s">
        <v>1470</v>
      </c>
      <c r="AH32" s="70" t="s">
        <v>683</v>
      </c>
      <c r="AJ32" s="70" t="s">
        <v>684</v>
      </c>
      <c r="AK32" s="70" t="s">
        <v>1471</v>
      </c>
      <c r="AN32" s="70" t="s">
        <v>854</v>
      </c>
      <c r="AO32" s="70" t="s">
        <v>1472</v>
      </c>
      <c r="AP32" s="70" t="s">
        <v>852</v>
      </c>
      <c r="AQ32" s="70" t="s">
        <v>1473</v>
      </c>
      <c r="AR32" s="70" t="s">
        <v>853</v>
      </c>
      <c r="AS32" s="70" t="s">
        <v>1474</v>
      </c>
      <c r="AZ32" s="72">
        <v>21887.170000000002</v>
      </c>
      <c r="BA32" s="72">
        <v>0</v>
      </c>
      <c r="BB32" s="70" t="s">
        <v>67</v>
      </c>
      <c r="BC32" s="70" t="s">
        <v>1044</v>
      </c>
      <c r="BD32" s="70" t="s">
        <v>2893</v>
      </c>
      <c r="BE32" s="70" t="s">
        <v>681</v>
      </c>
      <c r="BF32" s="70" t="s">
        <v>74</v>
      </c>
      <c r="BG32" s="70" t="s">
        <v>194</v>
      </c>
      <c r="BI32" s="60" t="str">
        <f t="shared" si="1"/>
        <v>Ver en Mapa</v>
      </c>
      <c r="BL32" s="70">
        <v>7</v>
      </c>
      <c r="BM32" s="70">
        <v>7</v>
      </c>
      <c r="BN32" s="70" t="s">
        <v>2847</v>
      </c>
    </row>
    <row r="33" spans="1:66" s="68" customFormat="1" ht="14.4" customHeight="1" x14ac:dyDescent="0.3">
      <c r="A33" s="70" t="str">
        <f>H33</f>
        <v>001272</v>
      </c>
      <c r="B33" s="70" t="s">
        <v>61</v>
      </c>
      <c r="C33" s="70" t="s">
        <v>205</v>
      </c>
      <c r="D33" s="70" t="s">
        <v>408</v>
      </c>
      <c r="E33" s="70" t="s">
        <v>409</v>
      </c>
      <c r="F33" s="70" t="s">
        <v>2802</v>
      </c>
      <c r="G33" s="70" t="s">
        <v>2803</v>
      </c>
      <c r="H33" s="70" t="s">
        <v>461</v>
      </c>
      <c r="I33" s="70" t="s">
        <v>67</v>
      </c>
      <c r="J33" s="70" t="s">
        <v>462</v>
      </c>
      <c r="K33" s="71">
        <v>45772</v>
      </c>
      <c r="L33" s="71">
        <v>46137</v>
      </c>
      <c r="M33" s="72">
        <v>10000</v>
      </c>
      <c r="N33" s="72">
        <v>10534.08</v>
      </c>
      <c r="O33" s="73">
        <v>81</v>
      </c>
      <c r="P33" s="61">
        <f t="shared" si="0"/>
        <v>90</v>
      </c>
      <c r="Q33" s="73">
        <v>12</v>
      </c>
      <c r="R33" s="70" t="s">
        <v>68</v>
      </c>
      <c r="S33" s="72">
        <v>1702.69</v>
      </c>
      <c r="T33" s="72">
        <v>696</v>
      </c>
      <c r="U33" s="72">
        <v>1740</v>
      </c>
      <c r="V33" s="72">
        <v>0</v>
      </c>
      <c r="W33" s="72">
        <v>2.9</v>
      </c>
      <c r="X33" s="72">
        <v>8778.4</v>
      </c>
      <c r="Y33" s="72">
        <v>6630.77</v>
      </c>
      <c r="Z33" s="72">
        <v>2633.52</v>
      </c>
      <c r="AA33" s="72">
        <v>2141.25</v>
      </c>
      <c r="AB33" s="72">
        <v>116</v>
      </c>
      <c r="AC33" s="72">
        <v>1740</v>
      </c>
      <c r="AD33" s="72">
        <v>2000</v>
      </c>
      <c r="AE33" s="71">
        <v>45909</v>
      </c>
      <c r="AF33" s="70" t="s">
        <v>69</v>
      </c>
      <c r="AG33" s="70" t="s">
        <v>463</v>
      </c>
      <c r="AH33" s="70" t="s">
        <v>514</v>
      </c>
      <c r="AJ33" s="70" t="s">
        <v>464</v>
      </c>
      <c r="AK33" s="70" t="s">
        <v>465</v>
      </c>
      <c r="AL33" s="70" t="s">
        <v>466</v>
      </c>
      <c r="AN33" s="70" t="s">
        <v>929</v>
      </c>
      <c r="AO33" s="70" t="s">
        <v>1294</v>
      </c>
      <c r="AP33" s="70" t="s">
        <v>927</v>
      </c>
      <c r="AQ33" s="70" t="s">
        <v>472</v>
      </c>
      <c r="AR33" s="70" t="s">
        <v>928</v>
      </c>
      <c r="AS33" s="70" t="s">
        <v>928</v>
      </c>
      <c r="AZ33" s="72">
        <v>18143.61</v>
      </c>
      <c r="BA33" s="72">
        <v>0</v>
      </c>
      <c r="BB33" s="70" t="s">
        <v>67</v>
      </c>
      <c r="BC33" s="70" t="s">
        <v>1044</v>
      </c>
      <c r="BD33" s="70" t="s">
        <v>2947</v>
      </c>
      <c r="BE33" s="70" t="s">
        <v>467</v>
      </c>
      <c r="BF33" s="70" t="s">
        <v>213</v>
      </c>
      <c r="BG33" s="70" t="s">
        <v>205</v>
      </c>
      <c r="BI33" s="60" t="str">
        <f t="shared" si="1"/>
        <v>Ver en Mapa</v>
      </c>
      <c r="BL33" s="70">
        <v>4</v>
      </c>
      <c r="BM33" s="70">
        <v>4</v>
      </c>
      <c r="BN33" s="70" t="s">
        <v>2847</v>
      </c>
    </row>
    <row r="34" spans="1:66" s="68" customFormat="1" ht="14.4" customHeight="1" x14ac:dyDescent="0.3">
      <c r="A34" s="70" t="str">
        <f>H34</f>
        <v>001337</v>
      </c>
      <c r="B34" s="70" t="s">
        <v>61</v>
      </c>
      <c r="C34" s="70" t="s">
        <v>392</v>
      </c>
      <c r="D34" s="70" t="s">
        <v>1545</v>
      </c>
      <c r="E34" s="70" t="s">
        <v>665</v>
      </c>
      <c r="F34" s="70" t="s">
        <v>2802</v>
      </c>
      <c r="G34" s="70" t="s">
        <v>2803</v>
      </c>
      <c r="H34" s="70" t="s">
        <v>1546</v>
      </c>
      <c r="I34" s="70" t="s">
        <v>67</v>
      </c>
      <c r="J34" s="70" t="s">
        <v>666</v>
      </c>
      <c r="K34" s="71">
        <v>45804</v>
      </c>
      <c r="L34" s="71">
        <v>45988</v>
      </c>
      <c r="M34" s="72">
        <v>7000</v>
      </c>
      <c r="N34" s="72">
        <v>7373.85</v>
      </c>
      <c r="O34" s="73">
        <v>78</v>
      </c>
      <c r="P34" s="61">
        <f t="shared" si="0"/>
        <v>90</v>
      </c>
      <c r="Q34" s="73">
        <v>6</v>
      </c>
      <c r="R34" s="70" t="s">
        <v>68</v>
      </c>
      <c r="S34" s="72">
        <v>1828.18</v>
      </c>
      <c r="T34" s="72">
        <v>348</v>
      </c>
      <c r="U34" s="72">
        <v>1740</v>
      </c>
      <c r="V34" s="72">
        <v>0</v>
      </c>
      <c r="W34" s="72">
        <v>2</v>
      </c>
      <c r="X34" s="72">
        <v>4944.09</v>
      </c>
      <c r="Y34" s="72">
        <v>5424.551269333333</v>
      </c>
      <c r="Z34" s="72">
        <v>2486.14</v>
      </c>
      <c r="AA34" s="72">
        <v>1082.4100000000001</v>
      </c>
      <c r="AB34" s="72">
        <v>116</v>
      </c>
      <c r="AC34" s="72">
        <v>1740</v>
      </c>
      <c r="AD34" s="72">
        <v>1000</v>
      </c>
      <c r="AE34" s="71">
        <v>45943</v>
      </c>
      <c r="AF34" s="70" t="s">
        <v>69</v>
      </c>
      <c r="AG34" s="70" t="s">
        <v>1547</v>
      </c>
      <c r="AH34" s="70" t="s">
        <v>667</v>
      </c>
      <c r="AJ34" s="70" t="s">
        <v>481</v>
      </c>
      <c r="AK34" s="70" t="s">
        <v>482</v>
      </c>
      <c r="AN34" s="70" t="s">
        <v>1000</v>
      </c>
      <c r="AO34" s="70" t="s">
        <v>1548</v>
      </c>
      <c r="AP34" s="70" t="s">
        <v>998</v>
      </c>
      <c r="AQ34" s="70" t="s">
        <v>1549</v>
      </c>
      <c r="AR34" s="70" t="s">
        <v>999</v>
      </c>
      <c r="AS34" s="70" t="s">
        <v>1550</v>
      </c>
      <c r="AZ34" s="72">
        <v>8964.92</v>
      </c>
      <c r="BA34" s="72">
        <v>0</v>
      </c>
      <c r="BB34" s="70" t="s">
        <v>67</v>
      </c>
      <c r="BC34" s="70" t="s">
        <v>1044</v>
      </c>
      <c r="BD34" s="70" t="s">
        <v>2897</v>
      </c>
      <c r="BE34" s="70" t="s">
        <v>669</v>
      </c>
      <c r="BF34" s="70" t="s">
        <v>74</v>
      </c>
      <c r="BG34" s="70" t="s">
        <v>670</v>
      </c>
      <c r="BI34" s="60" t="str">
        <f t="shared" si="1"/>
        <v>Ver en Mapa</v>
      </c>
      <c r="BL34" s="70">
        <v>3</v>
      </c>
      <c r="BM34" s="70">
        <v>3</v>
      </c>
      <c r="BN34" s="70" t="s">
        <v>2847</v>
      </c>
    </row>
    <row r="35" spans="1:66" s="68" customFormat="1" ht="14.4" customHeight="1" x14ac:dyDescent="0.3">
      <c r="A35" s="70" t="str">
        <f>H35</f>
        <v>001451</v>
      </c>
      <c r="B35" s="70" t="s">
        <v>61</v>
      </c>
      <c r="C35" s="70" t="s">
        <v>62</v>
      </c>
      <c r="D35" s="70" t="s">
        <v>1429</v>
      </c>
      <c r="E35" s="70" t="s">
        <v>617</v>
      </c>
      <c r="F35" s="70" t="s">
        <v>2848</v>
      </c>
      <c r="G35" s="70" t="s">
        <v>2849</v>
      </c>
      <c r="H35" s="70" t="s">
        <v>1955</v>
      </c>
      <c r="I35" s="70" t="s">
        <v>67</v>
      </c>
      <c r="J35" s="70" t="s">
        <v>1358</v>
      </c>
      <c r="K35" s="71">
        <v>45834</v>
      </c>
      <c r="L35" s="71">
        <v>46204</v>
      </c>
      <c r="M35" s="72">
        <v>10000</v>
      </c>
      <c r="N35" s="72">
        <v>10534.08</v>
      </c>
      <c r="O35" s="73">
        <v>74</v>
      </c>
      <c r="P35" s="61">
        <f t="shared" si="0"/>
        <v>90</v>
      </c>
      <c r="Q35" s="73">
        <v>12</v>
      </c>
      <c r="R35" s="70" t="s">
        <v>68</v>
      </c>
      <c r="S35" s="72">
        <v>1713.2</v>
      </c>
      <c r="T35" s="72">
        <v>696</v>
      </c>
      <c r="U35" s="72">
        <v>1160</v>
      </c>
      <c r="V35" s="72">
        <v>0</v>
      </c>
      <c r="W35" s="72">
        <v>2.2999999999999998</v>
      </c>
      <c r="X35" s="72">
        <v>10199.44</v>
      </c>
      <c r="Y35" s="72">
        <v>5129.5902880000003</v>
      </c>
      <c r="Z35" s="72">
        <v>2298.88</v>
      </c>
      <c r="AA35" s="72">
        <v>1554.71</v>
      </c>
      <c r="AB35" s="72">
        <v>116</v>
      </c>
      <c r="AC35" s="72">
        <v>1160</v>
      </c>
      <c r="AD35" s="72">
        <v>1750</v>
      </c>
      <c r="AE35" s="71">
        <v>45873</v>
      </c>
      <c r="AF35" s="70" t="s">
        <v>69</v>
      </c>
      <c r="AG35" s="70" t="s">
        <v>1956</v>
      </c>
      <c r="AH35" s="70" t="s">
        <v>1359</v>
      </c>
      <c r="AJ35" s="70" t="s">
        <v>1360</v>
      </c>
      <c r="AK35" s="70" t="s">
        <v>1957</v>
      </c>
      <c r="AN35" s="70" t="s">
        <v>1361</v>
      </c>
      <c r="AO35" s="70" t="s">
        <v>1958</v>
      </c>
      <c r="AP35" s="70" t="s">
        <v>1362</v>
      </c>
      <c r="AQ35" s="70" t="s">
        <v>1959</v>
      </c>
      <c r="AR35" s="70" t="s">
        <v>1363</v>
      </c>
      <c r="AS35" s="70" t="s">
        <v>1960</v>
      </c>
      <c r="AZ35" s="72">
        <v>20026.36</v>
      </c>
      <c r="BA35" s="72">
        <v>0</v>
      </c>
      <c r="BB35" s="70" t="s">
        <v>67</v>
      </c>
      <c r="BC35" s="70" t="s">
        <v>1044</v>
      </c>
      <c r="BD35" s="70" t="s">
        <v>3016</v>
      </c>
      <c r="BE35" s="70" t="s">
        <v>125</v>
      </c>
      <c r="BF35" s="70" t="s">
        <v>74</v>
      </c>
      <c r="BG35" s="70" t="s">
        <v>75</v>
      </c>
      <c r="BH35" s="70" t="s">
        <v>1364</v>
      </c>
      <c r="BI35" s="60" t="str">
        <f t="shared" si="1"/>
        <v>Ver en Mapa</v>
      </c>
      <c r="BL35" s="70">
        <v>3</v>
      </c>
      <c r="BM35" s="70">
        <v>3</v>
      </c>
      <c r="BN35" s="70" t="s">
        <v>2847</v>
      </c>
    </row>
    <row r="36" spans="1:66" s="68" customFormat="1" ht="14.4" customHeight="1" x14ac:dyDescent="0.3">
      <c r="A36" s="70" t="str">
        <f>H36</f>
        <v>001299</v>
      </c>
      <c r="B36" s="70" t="s">
        <v>61</v>
      </c>
      <c r="C36" s="70" t="s">
        <v>273</v>
      </c>
      <c r="D36" s="70" t="s">
        <v>408</v>
      </c>
      <c r="E36" s="70" t="s">
        <v>409</v>
      </c>
      <c r="F36" s="70" t="s">
        <v>2785</v>
      </c>
      <c r="G36" s="70" t="s">
        <v>2786</v>
      </c>
      <c r="H36" s="70" t="s">
        <v>2371</v>
      </c>
      <c r="I36" s="70" t="s">
        <v>67</v>
      </c>
      <c r="J36" s="70" t="s">
        <v>538</v>
      </c>
      <c r="K36" s="71">
        <v>45783</v>
      </c>
      <c r="L36" s="71">
        <v>45967</v>
      </c>
      <c r="M36" s="72">
        <v>7000</v>
      </c>
      <c r="N36" s="72">
        <v>7373.85</v>
      </c>
      <c r="O36" s="73">
        <v>69</v>
      </c>
      <c r="P36" s="61">
        <f t="shared" si="0"/>
        <v>90</v>
      </c>
      <c r="Q36" s="73">
        <v>6</v>
      </c>
      <c r="R36" s="70" t="s">
        <v>68</v>
      </c>
      <c r="S36" s="72">
        <v>1828.18</v>
      </c>
      <c r="T36" s="72">
        <v>348</v>
      </c>
      <c r="U36" s="72">
        <v>1740</v>
      </c>
      <c r="V36" s="72">
        <v>0</v>
      </c>
      <c r="W36" s="72">
        <v>2.2000000000000002</v>
      </c>
      <c r="X36" s="72">
        <v>4014.29</v>
      </c>
      <c r="Y36" s="72">
        <v>5723.7350000000006</v>
      </c>
      <c r="Z36" s="72">
        <v>2785.32</v>
      </c>
      <c r="AA36" s="72">
        <v>1082.42</v>
      </c>
      <c r="AB36" s="72">
        <v>116</v>
      </c>
      <c r="AC36" s="72">
        <v>1740</v>
      </c>
      <c r="AD36" s="72">
        <v>1500</v>
      </c>
      <c r="AE36" s="71">
        <v>45933</v>
      </c>
      <c r="AF36" s="70" t="s">
        <v>69</v>
      </c>
      <c r="AG36" s="70" t="s">
        <v>2372</v>
      </c>
      <c r="AH36" s="70" t="s">
        <v>539</v>
      </c>
      <c r="AJ36" s="70" t="s">
        <v>187</v>
      </c>
      <c r="AK36" s="70" t="s">
        <v>1417</v>
      </c>
      <c r="AN36" s="70" t="s">
        <v>951</v>
      </c>
      <c r="AO36" s="70" t="s">
        <v>2373</v>
      </c>
      <c r="AP36" s="70" t="s">
        <v>949</v>
      </c>
      <c r="AQ36" s="70" t="s">
        <v>2374</v>
      </c>
      <c r="AR36" s="70" t="s">
        <v>950</v>
      </c>
      <c r="AS36" s="70" t="s">
        <v>2375</v>
      </c>
      <c r="AZ36" s="72">
        <v>7493.92</v>
      </c>
      <c r="BA36" s="72">
        <v>0</v>
      </c>
      <c r="BB36" s="70" t="s">
        <v>67</v>
      </c>
      <c r="BC36" s="70" t="s">
        <v>1044</v>
      </c>
      <c r="BD36" s="70" t="s">
        <v>540</v>
      </c>
      <c r="BE36" s="70" t="s">
        <v>541</v>
      </c>
      <c r="BF36" s="70" t="s">
        <v>74</v>
      </c>
      <c r="BG36" s="70" t="s">
        <v>296</v>
      </c>
      <c r="BI36" s="60" t="str">
        <f t="shared" si="1"/>
        <v>Ver en Mapa</v>
      </c>
      <c r="BL36" s="70">
        <v>3</v>
      </c>
      <c r="BM36" s="70">
        <v>3</v>
      </c>
      <c r="BN36" s="70" t="s">
        <v>2847</v>
      </c>
    </row>
    <row r="37" spans="1:66" s="68" customFormat="1" ht="14.4" customHeight="1" x14ac:dyDescent="0.3">
      <c r="A37" s="70" t="str">
        <f>H37</f>
        <v>001354</v>
      </c>
      <c r="B37" s="70" t="s">
        <v>61</v>
      </c>
      <c r="C37" s="70" t="s">
        <v>194</v>
      </c>
      <c r="D37" s="70" t="s">
        <v>588</v>
      </c>
      <c r="E37" s="70" t="s">
        <v>589</v>
      </c>
      <c r="F37" s="70" t="s">
        <v>2800</v>
      </c>
      <c r="G37" s="70" t="s">
        <v>2801</v>
      </c>
      <c r="H37" s="70" t="s">
        <v>2203</v>
      </c>
      <c r="I37" s="70" t="s">
        <v>67</v>
      </c>
      <c r="J37" s="70" t="s">
        <v>855</v>
      </c>
      <c r="K37" s="71">
        <v>45806</v>
      </c>
      <c r="L37" s="71">
        <v>45974</v>
      </c>
      <c r="M37" s="72">
        <v>10000</v>
      </c>
      <c r="N37" s="72">
        <v>10534.08</v>
      </c>
      <c r="O37" s="73">
        <v>68</v>
      </c>
      <c r="P37" s="61">
        <f t="shared" si="0"/>
        <v>90</v>
      </c>
      <c r="Q37" s="73">
        <v>12</v>
      </c>
      <c r="R37" s="70" t="s">
        <v>496</v>
      </c>
      <c r="S37" s="72">
        <v>1288.8</v>
      </c>
      <c r="T37" s="72">
        <v>696</v>
      </c>
      <c r="U37" s="72">
        <v>2900</v>
      </c>
      <c r="V37" s="72">
        <v>9</v>
      </c>
      <c r="W37" s="72">
        <v>5</v>
      </c>
      <c r="X37" s="72">
        <v>7022.7300000000005</v>
      </c>
      <c r="Y37" s="72">
        <v>9344.02</v>
      </c>
      <c r="Z37" s="72">
        <v>4389.21</v>
      </c>
      <c r="AA37" s="72">
        <v>1764.81</v>
      </c>
      <c r="AB37" s="72">
        <v>290</v>
      </c>
      <c r="AC37" s="72">
        <v>2900</v>
      </c>
      <c r="AD37" s="72">
        <v>1288.8</v>
      </c>
      <c r="AE37" s="71">
        <v>45862</v>
      </c>
      <c r="AF37" s="70" t="s">
        <v>69</v>
      </c>
      <c r="AG37" s="70" t="s">
        <v>2204</v>
      </c>
      <c r="AH37" s="70" t="s">
        <v>856</v>
      </c>
      <c r="AJ37" s="70" t="s">
        <v>86</v>
      </c>
      <c r="AK37" s="70" t="s">
        <v>87</v>
      </c>
      <c r="AN37" s="70" t="s">
        <v>859</v>
      </c>
      <c r="AO37" s="70" t="s">
        <v>2205</v>
      </c>
      <c r="AP37" s="70" t="s">
        <v>857</v>
      </c>
      <c r="AQ37" s="70" t="s">
        <v>2206</v>
      </c>
      <c r="AR37" s="70" t="s">
        <v>858</v>
      </c>
      <c r="AS37" s="70" t="s">
        <v>2207</v>
      </c>
      <c r="AZ37" s="72">
        <v>13036.42</v>
      </c>
      <c r="BA37" s="72">
        <v>0</v>
      </c>
      <c r="BB37" s="70" t="s">
        <v>67</v>
      </c>
      <c r="BC37" s="70" t="s">
        <v>1044</v>
      </c>
      <c r="BD37" s="70" t="s">
        <v>2887</v>
      </c>
      <c r="BE37" s="70" t="s">
        <v>651</v>
      </c>
      <c r="BF37" s="70" t="s">
        <v>74</v>
      </c>
      <c r="BG37" s="70" t="s">
        <v>646</v>
      </c>
      <c r="BI37" s="60" t="str">
        <f t="shared" si="1"/>
        <v>Ver en Mapa</v>
      </c>
      <c r="BL37" s="70">
        <v>5</v>
      </c>
      <c r="BM37" s="70">
        <v>5</v>
      </c>
      <c r="BN37" s="70" t="s">
        <v>2847</v>
      </c>
    </row>
    <row r="38" spans="1:66" s="68" customFormat="1" ht="14.4" customHeight="1" x14ac:dyDescent="0.3">
      <c r="A38" s="70" t="str">
        <f>H38</f>
        <v>001397</v>
      </c>
      <c r="B38" s="70" t="s">
        <v>61</v>
      </c>
      <c r="C38" s="70" t="s">
        <v>194</v>
      </c>
      <c r="D38" s="70" t="s">
        <v>588</v>
      </c>
      <c r="E38" s="70" t="s">
        <v>589</v>
      </c>
      <c r="F38" s="70" t="s">
        <v>2800</v>
      </c>
      <c r="G38" s="70" t="s">
        <v>2801</v>
      </c>
      <c r="H38" s="70" t="s">
        <v>1475</v>
      </c>
      <c r="I38" s="70" t="s">
        <v>67</v>
      </c>
      <c r="J38" s="70" t="s">
        <v>1143</v>
      </c>
      <c r="K38" s="71">
        <v>45820</v>
      </c>
      <c r="L38" s="71">
        <v>45988</v>
      </c>
      <c r="M38" s="72">
        <v>8000</v>
      </c>
      <c r="N38" s="72">
        <v>8427.26</v>
      </c>
      <c r="O38" s="73">
        <v>68</v>
      </c>
      <c r="P38" s="61">
        <f t="shared" si="0"/>
        <v>90</v>
      </c>
      <c r="Q38" s="73">
        <v>12</v>
      </c>
      <c r="R38" s="70" t="s">
        <v>496</v>
      </c>
      <c r="S38" s="72">
        <v>1042.6400000000001</v>
      </c>
      <c r="T38" s="72">
        <v>696</v>
      </c>
      <c r="U38" s="72">
        <v>2900</v>
      </c>
      <c r="V38" s="72">
        <v>8</v>
      </c>
      <c r="W38" s="72">
        <v>5</v>
      </c>
      <c r="X38" s="72">
        <v>6320.4400000000005</v>
      </c>
      <c r="Y38" s="72">
        <v>8111.7033000000001</v>
      </c>
      <c r="Z38" s="72">
        <v>3511.35</v>
      </c>
      <c r="AA38" s="72">
        <v>1411.8500000000001</v>
      </c>
      <c r="AB38" s="72">
        <v>288.5</v>
      </c>
      <c r="AC38" s="72">
        <v>2900</v>
      </c>
      <c r="AD38" s="72">
        <v>43</v>
      </c>
      <c r="AE38" s="71">
        <v>45866</v>
      </c>
      <c r="AF38" s="70" t="s">
        <v>69</v>
      </c>
      <c r="AG38" s="70" t="s">
        <v>1476</v>
      </c>
      <c r="AH38" s="70" t="s">
        <v>1144</v>
      </c>
      <c r="AJ38" s="70" t="s">
        <v>283</v>
      </c>
      <c r="AK38" s="70" t="s">
        <v>284</v>
      </c>
      <c r="AL38" s="70" t="s">
        <v>1145</v>
      </c>
      <c r="AN38" s="70" t="s">
        <v>1146</v>
      </c>
      <c r="AO38" s="70" t="s">
        <v>1477</v>
      </c>
      <c r="AP38" s="70" t="s">
        <v>1147</v>
      </c>
      <c r="AQ38" s="70" t="s">
        <v>1478</v>
      </c>
      <c r="AZ38" s="72">
        <v>12050.26</v>
      </c>
      <c r="BA38" s="72">
        <v>0</v>
      </c>
      <c r="BB38" s="70" t="s">
        <v>67</v>
      </c>
      <c r="BC38" s="70" t="s">
        <v>1044</v>
      </c>
      <c r="BD38" s="70" t="s">
        <v>2933</v>
      </c>
      <c r="BE38" s="70" t="s">
        <v>645</v>
      </c>
      <c r="BF38" s="70" t="s">
        <v>74</v>
      </c>
      <c r="BG38" s="70" t="s">
        <v>646</v>
      </c>
      <c r="BH38" s="70" t="s">
        <v>1148</v>
      </c>
      <c r="BI38" s="60" t="str">
        <f t="shared" si="1"/>
        <v>Ver en Mapa</v>
      </c>
      <c r="BL38" s="70">
        <v>7</v>
      </c>
      <c r="BM38" s="70">
        <v>7</v>
      </c>
      <c r="BN38" s="70" t="s">
        <v>2847</v>
      </c>
    </row>
    <row r="39" spans="1:66" s="68" customFormat="1" ht="14.4" customHeight="1" x14ac:dyDescent="0.3">
      <c r="A39" s="70" t="str">
        <f>H39</f>
        <v>001092</v>
      </c>
      <c r="B39" s="70" t="s">
        <v>61</v>
      </c>
      <c r="C39" s="70" t="s">
        <v>62</v>
      </c>
      <c r="D39" s="70" t="s">
        <v>113</v>
      </c>
      <c r="E39" s="70" t="s">
        <v>114</v>
      </c>
      <c r="F39" s="70" t="s">
        <v>2848</v>
      </c>
      <c r="G39" s="70" t="s">
        <v>2849</v>
      </c>
      <c r="H39" s="70" t="s">
        <v>126</v>
      </c>
      <c r="I39" s="70" t="s">
        <v>67</v>
      </c>
      <c r="J39" s="70" t="s">
        <v>127</v>
      </c>
      <c r="K39" s="71">
        <v>45544</v>
      </c>
      <c r="L39" s="71">
        <v>46090</v>
      </c>
      <c r="M39" s="72">
        <v>100000</v>
      </c>
      <c r="N39" s="72">
        <v>105340.78</v>
      </c>
      <c r="O39" s="73">
        <v>64</v>
      </c>
      <c r="P39" s="61">
        <f t="shared" si="0"/>
        <v>90</v>
      </c>
      <c r="Q39" s="73">
        <v>18</v>
      </c>
      <c r="R39" s="70" t="s">
        <v>68</v>
      </c>
      <c r="S39" s="72">
        <v>12169.550000000001</v>
      </c>
      <c r="T39" s="72">
        <v>1044</v>
      </c>
      <c r="U39" s="72">
        <v>1160</v>
      </c>
      <c r="V39" s="72">
        <v>0</v>
      </c>
      <c r="W39" s="72">
        <v>2.8</v>
      </c>
      <c r="X39" s="72">
        <v>66786.83</v>
      </c>
      <c r="Y39" s="72">
        <v>34749.96</v>
      </c>
      <c r="Z39" s="72">
        <v>19799.080000000002</v>
      </c>
      <c r="AA39" s="72">
        <v>13674.880000000001</v>
      </c>
      <c r="AB39" s="72">
        <v>116</v>
      </c>
      <c r="AC39" s="72">
        <v>1160</v>
      </c>
      <c r="AD39" s="72">
        <v>3500</v>
      </c>
      <c r="AE39" s="71">
        <v>45904</v>
      </c>
      <c r="AF39" s="70" t="s">
        <v>69</v>
      </c>
      <c r="AG39" s="70" t="s">
        <v>128</v>
      </c>
      <c r="AH39" s="70" t="s">
        <v>129</v>
      </c>
      <c r="AJ39" s="70" t="s">
        <v>130</v>
      </c>
      <c r="AK39" s="70" t="s">
        <v>131</v>
      </c>
      <c r="AL39" s="70" t="s">
        <v>132</v>
      </c>
      <c r="AN39" s="70" t="s">
        <v>699</v>
      </c>
      <c r="AO39" s="70" t="s">
        <v>1244</v>
      </c>
      <c r="AP39" s="70" t="s">
        <v>696</v>
      </c>
      <c r="AQ39" s="70" t="s">
        <v>697</v>
      </c>
      <c r="AR39" s="70" t="s">
        <v>698</v>
      </c>
      <c r="AS39" s="70" t="s">
        <v>1245</v>
      </c>
      <c r="AT39" s="70" t="s">
        <v>122</v>
      </c>
      <c r="AU39" s="68" t="s">
        <v>133</v>
      </c>
      <c r="AV39" s="70" t="s">
        <v>134</v>
      </c>
      <c r="AZ39" s="72">
        <v>81737.710000000006</v>
      </c>
      <c r="BA39" s="72">
        <v>0</v>
      </c>
      <c r="BB39" s="70" t="s">
        <v>135</v>
      </c>
      <c r="BC39" s="70" t="s">
        <v>136</v>
      </c>
      <c r="BD39" s="70" t="s">
        <v>2905</v>
      </c>
      <c r="BE39" s="70" t="s">
        <v>97</v>
      </c>
      <c r="BF39" s="70" t="s">
        <v>74</v>
      </c>
      <c r="BG39" s="70" t="s">
        <v>75</v>
      </c>
      <c r="BI39" s="60" t="str">
        <f t="shared" si="1"/>
        <v>Ver en Mapa</v>
      </c>
      <c r="BL39" s="70">
        <v>7</v>
      </c>
      <c r="BM39" s="70">
        <v>7</v>
      </c>
      <c r="BN39" s="70" t="s">
        <v>2847</v>
      </c>
    </row>
    <row r="40" spans="1:66" s="68" customFormat="1" ht="14.4" customHeight="1" x14ac:dyDescent="0.3">
      <c r="A40" s="70" t="str">
        <f>H40</f>
        <v>001490</v>
      </c>
      <c r="B40" s="70" t="s">
        <v>61</v>
      </c>
      <c r="C40" s="70" t="s">
        <v>194</v>
      </c>
      <c r="D40" s="70" t="s">
        <v>588</v>
      </c>
      <c r="E40" s="70" t="s">
        <v>589</v>
      </c>
      <c r="F40" s="70" t="s">
        <v>2800</v>
      </c>
      <c r="G40" s="70" t="s">
        <v>2801</v>
      </c>
      <c r="H40" s="70" t="s">
        <v>2158</v>
      </c>
      <c r="I40" s="70" t="s">
        <v>67</v>
      </c>
      <c r="J40" s="70" t="s">
        <v>1591</v>
      </c>
      <c r="K40" s="71">
        <v>45848</v>
      </c>
      <c r="L40" s="71">
        <v>46032</v>
      </c>
      <c r="M40" s="72">
        <v>5000</v>
      </c>
      <c r="N40" s="72">
        <v>5267.04</v>
      </c>
      <c r="O40" s="73">
        <v>64</v>
      </c>
      <c r="P40" s="61">
        <f t="shared" si="0"/>
        <v>90</v>
      </c>
      <c r="Q40" s="73">
        <v>6</v>
      </c>
      <c r="R40" s="70" t="s">
        <v>68</v>
      </c>
      <c r="S40" s="72">
        <v>1322.42</v>
      </c>
      <c r="T40" s="72">
        <v>348</v>
      </c>
      <c r="U40" s="72">
        <v>1740</v>
      </c>
      <c r="V40" s="72">
        <v>0</v>
      </c>
      <c r="W40" s="72">
        <v>3</v>
      </c>
      <c r="X40" s="72">
        <v>5267.04</v>
      </c>
      <c r="Y40" s="72">
        <v>5707.2519807999988</v>
      </c>
      <c r="Z40" s="72">
        <v>2633.52</v>
      </c>
      <c r="AA40" s="72">
        <v>1159.73</v>
      </c>
      <c r="AB40" s="72">
        <v>174</v>
      </c>
      <c r="AC40" s="72">
        <v>1740</v>
      </c>
      <c r="AF40" s="70" t="s">
        <v>69</v>
      </c>
      <c r="AG40" s="70" t="s">
        <v>2159</v>
      </c>
      <c r="AH40" s="70" t="s">
        <v>1592</v>
      </c>
      <c r="AJ40" s="70" t="s">
        <v>526</v>
      </c>
      <c r="AK40" s="70" t="s">
        <v>527</v>
      </c>
      <c r="AN40" s="70" t="s">
        <v>1593</v>
      </c>
      <c r="AO40" s="70" t="s">
        <v>2160</v>
      </c>
      <c r="AP40" s="70" t="s">
        <v>1594</v>
      </c>
      <c r="AQ40" s="70" t="s">
        <v>2161</v>
      </c>
      <c r="AR40" s="70" t="s">
        <v>1595</v>
      </c>
      <c r="AS40" s="70" t="s">
        <v>2162</v>
      </c>
      <c r="AZ40" s="72">
        <v>9500.5</v>
      </c>
      <c r="BA40" s="72">
        <v>0</v>
      </c>
      <c r="BB40" s="70" t="s">
        <v>67</v>
      </c>
      <c r="BC40" s="70" t="s">
        <v>1044</v>
      </c>
      <c r="BD40" s="70" t="s">
        <v>2988</v>
      </c>
      <c r="BE40" s="70" t="s">
        <v>687</v>
      </c>
      <c r="BF40" s="70" t="s">
        <v>74</v>
      </c>
      <c r="BG40" s="70" t="s">
        <v>503</v>
      </c>
      <c r="BH40" s="70" t="s">
        <v>1596</v>
      </c>
      <c r="BI40" s="60" t="str">
        <f t="shared" si="1"/>
        <v>Ver en Mapa</v>
      </c>
      <c r="BL40" s="70">
        <v>3</v>
      </c>
      <c r="BM40" s="70">
        <v>3</v>
      </c>
      <c r="BN40" s="70" t="s">
        <v>2847</v>
      </c>
    </row>
    <row r="41" spans="1:66" s="68" customFormat="1" ht="14.4" customHeight="1" x14ac:dyDescent="0.3">
      <c r="A41" s="70" t="str">
        <f>H41</f>
        <v>001312</v>
      </c>
      <c r="B41" s="70" t="s">
        <v>61</v>
      </c>
      <c r="C41" s="70" t="s">
        <v>62</v>
      </c>
      <c r="D41" s="70" t="s">
        <v>408</v>
      </c>
      <c r="E41" s="70" t="s">
        <v>409</v>
      </c>
      <c r="F41" s="70" t="s">
        <v>2848</v>
      </c>
      <c r="G41" s="70" t="s">
        <v>2849</v>
      </c>
      <c r="H41" s="70" t="s">
        <v>1888</v>
      </c>
      <c r="I41" s="70" t="s">
        <v>67</v>
      </c>
      <c r="J41" s="70" t="s">
        <v>560</v>
      </c>
      <c r="K41" s="71">
        <v>45790</v>
      </c>
      <c r="L41" s="71">
        <v>46155</v>
      </c>
      <c r="M41" s="72">
        <v>10000</v>
      </c>
      <c r="N41" s="72">
        <v>10534.08</v>
      </c>
      <c r="O41" s="73">
        <v>62</v>
      </c>
      <c r="P41" s="61">
        <f t="shared" si="0"/>
        <v>90</v>
      </c>
      <c r="Q41" s="73">
        <v>12</v>
      </c>
      <c r="R41" s="70" t="s">
        <v>68</v>
      </c>
      <c r="S41" s="72">
        <v>1702.69</v>
      </c>
      <c r="T41" s="72">
        <v>696</v>
      </c>
      <c r="U41" s="72">
        <v>1740</v>
      </c>
      <c r="V41" s="72">
        <v>0</v>
      </c>
      <c r="W41" s="72">
        <v>3</v>
      </c>
      <c r="X41" s="72">
        <v>8778.4</v>
      </c>
      <c r="Y41" s="72">
        <v>6840.77</v>
      </c>
      <c r="Z41" s="72">
        <v>2633.52</v>
      </c>
      <c r="AA41" s="72">
        <v>2300.56</v>
      </c>
      <c r="AB41" s="72">
        <v>166.69</v>
      </c>
      <c r="AC41" s="72">
        <v>1740</v>
      </c>
      <c r="AD41" s="72">
        <v>1702.69</v>
      </c>
      <c r="AE41" s="71">
        <v>45853</v>
      </c>
      <c r="AF41" s="70" t="s">
        <v>69</v>
      </c>
      <c r="AG41" s="70" t="s">
        <v>1889</v>
      </c>
      <c r="AH41" s="70" t="s">
        <v>561</v>
      </c>
      <c r="AJ41" s="70" t="s">
        <v>89</v>
      </c>
      <c r="AK41" s="70" t="s">
        <v>90</v>
      </c>
      <c r="AN41" s="70" t="s">
        <v>742</v>
      </c>
      <c r="AO41" s="70" t="s">
        <v>1890</v>
      </c>
      <c r="AP41" s="70" t="s">
        <v>740</v>
      </c>
      <c r="AQ41" s="70" t="s">
        <v>1891</v>
      </c>
      <c r="AR41" s="70" t="s">
        <v>741</v>
      </c>
      <c r="AS41" s="70" t="s">
        <v>1892</v>
      </c>
      <c r="AZ41" s="72">
        <v>18353.61</v>
      </c>
      <c r="BA41" s="72">
        <v>0</v>
      </c>
      <c r="BB41" s="70" t="s">
        <v>67</v>
      </c>
      <c r="BC41" s="70" t="s">
        <v>1044</v>
      </c>
      <c r="BD41" s="70" t="s">
        <v>2993</v>
      </c>
      <c r="BE41" s="70" t="s">
        <v>452</v>
      </c>
      <c r="BF41" s="70" t="s">
        <v>74</v>
      </c>
      <c r="BG41" s="70" t="s">
        <v>75</v>
      </c>
      <c r="BI41" s="60" t="str">
        <f t="shared" si="1"/>
        <v>Ver en Mapa</v>
      </c>
      <c r="BL41" s="70">
        <v>4</v>
      </c>
      <c r="BM41" s="70">
        <v>4</v>
      </c>
      <c r="BN41" s="70" t="s">
        <v>2847</v>
      </c>
    </row>
    <row r="42" spans="1:66" s="68" customFormat="1" ht="14.4" customHeight="1" x14ac:dyDescent="0.3">
      <c r="A42" s="70" t="str">
        <f>H42</f>
        <v>001317</v>
      </c>
      <c r="B42" s="70" t="s">
        <v>61</v>
      </c>
      <c r="C42" s="70" t="s">
        <v>194</v>
      </c>
      <c r="D42" s="70" t="s">
        <v>594</v>
      </c>
      <c r="E42" s="70" t="s">
        <v>595</v>
      </c>
      <c r="F42" s="70" t="s">
        <v>2800</v>
      </c>
      <c r="G42" s="70" t="s">
        <v>2801</v>
      </c>
      <c r="H42" s="70" t="s">
        <v>2255</v>
      </c>
      <c r="I42" s="70" t="s">
        <v>67</v>
      </c>
      <c r="J42" s="70" t="s">
        <v>571</v>
      </c>
      <c r="K42" s="71">
        <v>45791</v>
      </c>
      <c r="L42" s="71">
        <v>46156</v>
      </c>
      <c r="M42" s="72">
        <v>20000</v>
      </c>
      <c r="N42" s="72">
        <v>21068.16</v>
      </c>
      <c r="O42" s="73">
        <v>61</v>
      </c>
      <c r="P42" s="61">
        <f t="shared" si="0"/>
        <v>90</v>
      </c>
      <c r="Q42" s="73">
        <v>12</v>
      </c>
      <c r="R42" s="70" t="s">
        <v>68</v>
      </c>
      <c r="S42" s="72">
        <v>3347.38</v>
      </c>
      <c r="T42" s="72">
        <v>696</v>
      </c>
      <c r="U42" s="72">
        <v>1160</v>
      </c>
      <c r="V42" s="72">
        <v>0</v>
      </c>
      <c r="W42" s="72">
        <v>2.9</v>
      </c>
      <c r="X42" s="72">
        <v>17556.8</v>
      </c>
      <c r="Y42" s="72">
        <v>10702.16</v>
      </c>
      <c r="Z42" s="72">
        <v>5267.04</v>
      </c>
      <c r="AA42" s="72">
        <v>4159.12</v>
      </c>
      <c r="AB42" s="72">
        <v>116</v>
      </c>
      <c r="AC42" s="72">
        <v>1160</v>
      </c>
      <c r="AD42" s="72">
        <v>500</v>
      </c>
      <c r="AE42" s="71">
        <v>45922</v>
      </c>
      <c r="AF42" s="70" t="s">
        <v>69</v>
      </c>
      <c r="AG42" s="70" t="s">
        <v>2256</v>
      </c>
      <c r="AH42" s="70" t="s">
        <v>572</v>
      </c>
      <c r="AJ42" s="70" t="s">
        <v>283</v>
      </c>
      <c r="AK42" s="70" t="s">
        <v>284</v>
      </c>
      <c r="AN42" s="70" t="s">
        <v>866</v>
      </c>
      <c r="AO42" s="70" t="s">
        <v>2257</v>
      </c>
      <c r="AP42" s="70" t="s">
        <v>864</v>
      </c>
      <c r="AQ42" s="70" t="s">
        <v>2258</v>
      </c>
      <c r="AR42" s="70" t="s">
        <v>865</v>
      </c>
      <c r="AS42" s="70" t="s">
        <v>2259</v>
      </c>
      <c r="AZ42" s="72">
        <v>33727.840000000004</v>
      </c>
      <c r="BA42" s="72">
        <v>0</v>
      </c>
      <c r="BB42" s="70" t="s">
        <v>67</v>
      </c>
      <c r="BC42" s="70" t="s">
        <v>1044</v>
      </c>
      <c r="BD42" s="70" t="s">
        <v>2936</v>
      </c>
      <c r="BE42" s="70" t="s">
        <v>381</v>
      </c>
      <c r="BF42" s="70" t="s">
        <v>74</v>
      </c>
      <c r="BG42" s="70" t="s">
        <v>194</v>
      </c>
      <c r="BI42" s="60" t="str">
        <f t="shared" si="1"/>
        <v>Ver en Mapa</v>
      </c>
      <c r="BL42" s="70">
        <v>3</v>
      </c>
      <c r="BM42" s="70">
        <v>3</v>
      </c>
      <c r="BN42" s="70" t="s">
        <v>2847</v>
      </c>
    </row>
    <row r="43" spans="1:66" s="68" customFormat="1" ht="14.4" customHeight="1" x14ac:dyDescent="0.3">
      <c r="A43" s="70" t="str">
        <f>H43</f>
        <v>001256</v>
      </c>
      <c r="B43" s="70" t="s">
        <v>61</v>
      </c>
      <c r="C43" s="70" t="s">
        <v>205</v>
      </c>
      <c r="D43" s="70" t="s">
        <v>408</v>
      </c>
      <c r="E43" s="70" t="s">
        <v>409</v>
      </c>
      <c r="F43" s="70" t="s">
        <v>2802</v>
      </c>
      <c r="G43" s="70" t="s">
        <v>2803</v>
      </c>
      <c r="H43" s="70" t="s">
        <v>2316</v>
      </c>
      <c r="I43" s="70" t="s">
        <v>67</v>
      </c>
      <c r="J43" s="70" t="s">
        <v>410</v>
      </c>
      <c r="K43" s="71">
        <v>45763</v>
      </c>
      <c r="L43" s="71">
        <v>46128</v>
      </c>
      <c r="M43" s="72">
        <v>10000</v>
      </c>
      <c r="N43" s="72">
        <v>10534.08</v>
      </c>
      <c r="O43" s="73">
        <v>57</v>
      </c>
      <c r="P43" s="61">
        <f t="shared" si="0"/>
        <v>60</v>
      </c>
      <c r="Q43" s="73">
        <v>12</v>
      </c>
      <c r="R43" s="70" t="s">
        <v>68</v>
      </c>
      <c r="S43" s="72">
        <v>1702.69</v>
      </c>
      <c r="T43" s="72">
        <v>696</v>
      </c>
      <c r="U43" s="72">
        <v>580</v>
      </c>
      <c r="V43" s="72">
        <v>0</v>
      </c>
      <c r="W43" s="72">
        <v>1.4</v>
      </c>
      <c r="X43" s="72">
        <v>7604.49</v>
      </c>
      <c r="Y43" s="72">
        <v>2864.46</v>
      </c>
      <c r="Z43" s="72">
        <v>1459.6100000000001</v>
      </c>
      <c r="AA43" s="72">
        <v>766.85</v>
      </c>
      <c r="AB43" s="72">
        <v>58</v>
      </c>
      <c r="AC43" s="72">
        <v>580</v>
      </c>
      <c r="AD43" s="72">
        <v>1700</v>
      </c>
      <c r="AE43" s="71">
        <v>45893</v>
      </c>
      <c r="AF43" s="70" t="s">
        <v>69</v>
      </c>
      <c r="AG43" s="70" t="s">
        <v>2317</v>
      </c>
      <c r="AH43" s="70" t="s">
        <v>431</v>
      </c>
      <c r="AJ43" s="70" t="s">
        <v>283</v>
      </c>
      <c r="AK43" s="70" t="s">
        <v>284</v>
      </c>
      <c r="AN43" s="70" t="s">
        <v>912</v>
      </c>
      <c r="AO43" s="70" t="s">
        <v>2318</v>
      </c>
      <c r="AP43" s="70" t="s">
        <v>910</v>
      </c>
      <c r="AQ43" s="70" t="s">
        <v>1496</v>
      </c>
      <c r="AR43" s="70" t="s">
        <v>911</v>
      </c>
      <c r="AS43" s="70" t="s">
        <v>2319</v>
      </c>
      <c r="AZ43" s="72">
        <v>14377.300000000001</v>
      </c>
      <c r="BA43" s="72">
        <v>0</v>
      </c>
      <c r="BB43" s="70" t="s">
        <v>67</v>
      </c>
      <c r="BC43" s="70" t="s">
        <v>1044</v>
      </c>
      <c r="BD43" s="70" t="s">
        <v>2940</v>
      </c>
      <c r="BE43" s="70" t="s">
        <v>411</v>
      </c>
      <c r="BF43" s="70" t="s">
        <v>213</v>
      </c>
      <c r="BG43" s="70" t="s">
        <v>205</v>
      </c>
      <c r="BI43" s="60" t="str">
        <f t="shared" si="1"/>
        <v>Ver en Mapa</v>
      </c>
      <c r="BL43" s="70">
        <v>3</v>
      </c>
      <c r="BM43" s="70">
        <v>3</v>
      </c>
      <c r="BN43" s="70" t="s">
        <v>2847</v>
      </c>
    </row>
    <row r="44" spans="1:66" s="68" customFormat="1" ht="14.4" customHeight="1" x14ac:dyDescent="0.3">
      <c r="A44" s="70" t="str">
        <f>H44</f>
        <v>001408</v>
      </c>
      <c r="B44" s="70" t="s">
        <v>61</v>
      </c>
      <c r="C44" s="70" t="s">
        <v>273</v>
      </c>
      <c r="D44" s="70" t="s">
        <v>1522</v>
      </c>
      <c r="E44" s="70" t="s">
        <v>614</v>
      </c>
      <c r="F44" s="70" t="s">
        <v>2785</v>
      </c>
      <c r="G44" s="70" t="s">
        <v>2786</v>
      </c>
      <c r="H44" s="70" t="s">
        <v>2471</v>
      </c>
      <c r="I44" s="70" t="s">
        <v>67</v>
      </c>
      <c r="J44" s="70" t="s">
        <v>1199</v>
      </c>
      <c r="K44" s="71">
        <v>45825</v>
      </c>
      <c r="L44" s="71">
        <v>46008</v>
      </c>
      <c r="M44" s="72">
        <v>10000</v>
      </c>
      <c r="N44" s="72">
        <v>10534.08</v>
      </c>
      <c r="O44" s="73">
        <v>57</v>
      </c>
      <c r="P44" s="61">
        <f t="shared" si="0"/>
        <v>60</v>
      </c>
      <c r="Q44" s="73">
        <v>6</v>
      </c>
      <c r="R44" s="70" t="s">
        <v>68</v>
      </c>
      <c r="S44" s="72">
        <v>2582.63</v>
      </c>
      <c r="T44" s="72">
        <v>348</v>
      </c>
      <c r="U44" s="72">
        <v>1160</v>
      </c>
      <c r="V44" s="72">
        <v>0</v>
      </c>
      <c r="W44" s="72">
        <v>2</v>
      </c>
      <c r="X44" s="72">
        <v>8778.4</v>
      </c>
      <c r="Y44" s="72">
        <v>6324.27</v>
      </c>
      <c r="Z44" s="72">
        <v>3511.36</v>
      </c>
      <c r="AA44" s="72">
        <v>1537.91</v>
      </c>
      <c r="AB44" s="72">
        <v>115</v>
      </c>
      <c r="AC44" s="72">
        <v>1160</v>
      </c>
      <c r="AD44" s="72">
        <v>2583.63</v>
      </c>
      <c r="AE44" s="71">
        <v>45859</v>
      </c>
      <c r="AF44" s="70" t="s">
        <v>69</v>
      </c>
      <c r="AG44" s="70" t="s">
        <v>2472</v>
      </c>
      <c r="AH44" s="70" t="s">
        <v>1200</v>
      </c>
      <c r="AJ44" s="70" t="s">
        <v>1201</v>
      </c>
      <c r="AK44" s="70" t="s">
        <v>2049</v>
      </c>
      <c r="AN44" s="70" t="s">
        <v>1202</v>
      </c>
      <c r="AO44" s="70" t="s">
        <v>2473</v>
      </c>
      <c r="AP44" s="70" t="s">
        <v>1203</v>
      </c>
      <c r="AQ44" s="70" t="s">
        <v>2474</v>
      </c>
      <c r="AR44" s="70" t="s">
        <v>1204</v>
      </c>
      <c r="AS44" s="70" t="s">
        <v>2475</v>
      </c>
      <c r="AZ44" s="72">
        <v>13898.17</v>
      </c>
      <c r="BA44" s="72">
        <v>0</v>
      </c>
      <c r="BB44" s="70" t="s">
        <v>67</v>
      </c>
      <c r="BC44" s="70" t="s">
        <v>1044</v>
      </c>
      <c r="BD44" s="70" t="s">
        <v>2903</v>
      </c>
      <c r="BE44" s="70" t="s">
        <v>1206</v>
      </c>
      <c r="BF44" s="70" t="s">
        <v>74</v>
      </c>
      <c r="BG44" s="70" t="s">
        <v>285</v>
      </c>
      <c r="BH44" s="70" t="s">
        <v>1207</v>
      </c>
      <c r="BI44" s="60" t="str">
        <f t="shared" si="1"/>
        <v>Ver en Mapa</v>
      </c>
      <c r="BL44" s="70">
        <v>3</v>
      </c>
      <c r="BM44" s="70">
        <v>3</v>
      </c>
      <c r="BN44" s="70" t="s">
        <v>2847</v>
      </c>
    </row>
    <row r="45" spans="1:66" s="68" customFormat="1" ht="14.4" customHeight="1" x14ac:dyDescent="0.3">
      <c r="A45" s="70" t="str">
        <f>H45</f>
        <v>001332</v>
      </c>
      <c r="B45" s="70" t="s">
        <v>61</v>
      </c>
      <c r="C45" s="70" t="s">
        <v>194</v>
      </c>
      <c r="D45" s="70" t="s">
        <v>594</v>
      </c>
      <c r="E45" s="70" t="s">
        <v>595</v>
      </c>
      <c r="F45" s="70" t="s">
        <v>2800</v>
      </c>
      <c r="G45" s="70" t="s">
        <v>2801</v>
      </c>
      <c r="H45" s="70" t="s">
        <v>623</v>
      </c>
      <c r="I45" s="70" t="s">
        <v>67</v>
      </c>
      <c r="J45" s="70" t="s">
        <v>624</v>
      </c>
      <c r="K45" s="71">
        <v>45799</v>
      </c>
      <c r="L45" s="71">
        <v>45983</v>
      </c>
      <c r="M45" s="72">
        <v>30000</v>
      </c>
      <c r="N45" s="72">
        <v>31602.23</v>
      </c>
      <c r="O45" s="73">
        <v>53</v>
      </c>
      <c r="P45" s="61">
        <f t="shared" si="0"/>
        <v>60</v>
      </c>
      <c r="Q45" s="73">
        <v>6</v>
      </c>
      <c r="R45" s="70" t="s">
        <v>68</v>
      </c>
      <c r="S45" s="72">
        <v>7059.79</v>
      </c>
      <c r="T45" s="72">
        <v>348</v>
      </c>
      <c r="U45" s="72">
        <v>1160</v>
      </c>
      <c r="V45" s="72">
        <v>0</v>
      </c>
      <c r="W45" s="72">
        <v>2</v>
      </c>
      <c r="X45" s="72">
        <v>21068.15</v>
      </c>
      <c r="Y45" s="72">
        <v>15269.1633</v>
      </c>
      <c r="Z45" s="72">
        <v>10534.07</v>
      </c>
      <c r="AA45" s="72">
        <v>3469.51</v>
      </c>
      <c r="AB45" s="72">
        <v>105.58</v>
      </c>
      <c r="AC45" s="72">
        <v>1160</v>
      </c>
      <c r="AD45" s="72">
        <v>7650</v>
      </c>
      <c r="AE45" s="71">
        <v>45868</v>
      </c>
      <c r="AF45" s="70" t="s">
        <v>69</v>
      </c>
      <c r="AG45" s="70" t="s">
        <v>625</v>
      </c>
      <c r="AH45" s="70" t="s">
        <v>626</v>
      </c>
      <c r="AJ45" s="70" t="s">
        <v>89</v>
      </c>
      <c r="AK45" s="70" t="s">
        <v>90</v>
      </c>
      <c r="AN45" s="70" t="s">
        <v>837</v>
      </c>
      <c r="AO45" s="70" t="s">
        <v>1272</v>
      </c>
      <c r="AP45" s="70" t="s">
        <v>834</v>
      </c>
      <c r="AQ45" s="70" t="s">
        <v>835</v>
      </c>
      <c r="AR45" s="70" t="s">
        <v>836</v>
      </c>
      <c r="AS45" s="70" t="s">
        <v>1273</v>
      </c>
      <c r="AZ45" s="72">
        <v>29272.74</v>
      </c>
      <c r="BA45" s="72">
        <v>0</v>
      </c>
      <c r="BB45" s="70" t="s">
        <v>67</v>
      </c>
      <c r="BC45" s="70" t="s">
        <v>1044</v>
      </c>
      <c r="BD45" s="70" t="s">
        <v>2995</v>
      </c>
      <c r="BE45" s="70" t="s">
        <v>251</v>
      </c>
      <c r="BF45" s="70" t="s">
        <v>74</v>
      </c>
      <c r="BG45" s="70" t="s">
        <v>194</v>
      </c>
      <c r="BI45" s="60" t="str">
        <f t="shared" si="1"/>
        <v>Ver en Mapa</v>
      </c>
      <c r="BL45" s="70">
        <v>4</v>
      </c>
      <c r="BM45" s="70">
        <v>4</v>
      </c>
      <c r="BN45" s="70" t="s">
        <v>2847</v>
      </c>
    </row>
    <row r="46" spans="1:66" s="68" customFormat="1" ht="14.4" customHeight="1" x14ac:dyDescent="0.3">
      <c r="A46" s="70" t="str">
        <f>H46</f>
        <v>001431</v>
      </c>
      <c r="B46" s="70" t="s">
        <v>61</v>
      </c>
      <c r="C46" s="70" t="s">
        <v>62</v>
      </c>
      <c r="D46" s="70" t="s">
        <v>1429</v>
      </c>
      <c r="E46" s="70" t="s">
        <v>617</v>
      </c>
      <c r="F46" s="70" t="s">
        <v>2848</v>
      </c>
      <c r="G46" s="70" t="s">
        <v>2849</v>
      </c>
      <c r="H46" s="70" t="s">
        <v>1430</v>
      </c>
      <c r="I46" s="70" t="s">
        <v>67</v>
      </c>
      <c r="J46" s="70" t="s">
        <v>1329</v>
      </c>
      <c r="K46" s="71">
        <v>45832</v>
      </c>
      <c r="L46" s="71">
        <v>46015</v>
      </c>
      <c r="M46" s="72">
        <v>5000</v>
      </c>
      <c r="N46" s="72">
        <v>5267.04</v>
      </c>
      <c r="O46" s="73">
        <v>50</v>
      </c>
      <c r="P46" s="61">
        <f t="shared" si="0"/>
        <v>60</v>
      </c>
      <c r="Q46" s="73">
        <v>6</v>
      </c>
      <c r="R46" s="70" t="s">
        <v>68</v>
      </c>
      <c r="S46" s="72">
        <v>1320.32</v>
      </c>
      <c r="T46" s="72">
        <v>348</v>
      </c>
      <c r="U46" s="72">
        <v>1160</v>
      </c>
      <c r="V46" s="72">
        <v>0</v>
      </c>
      <c r="W46" s="72">
        <v>1.5</v>
      </c>
      <c r="X46" s="72">
        <v>4111.67</v>
      </c>
      <c r="Y46" s="72">
        <v>3080.63</v>
      </c>
      <c r="Z46" s="72">
        <v>1478.15</v>
      </c>
      <c r="AA46" s="72">
        <v>384.48</v>
      </c>
      <c r="AB46" s="72">
        <v>58</v>
      </c>
      <c r="AC46" s="72">
        <v>1160</v>
      </c>
      <c r="AD46" s="72">
        <v>1300</v>
      </c>
      <c r="AE46" s="71">
        <v>45929</v>
      </c>
      <c r="AF46" s="70" t="s">
        <v>69</v>
      </c>
      <c r="AG46" s="70" t="s">
        <v>1431</v>
      </c>
      <c r="AH46" s="70" t="s">
        <v>1330</v>
      </c>
      <c r="AJ46" s="70" t="s">
        <v>526</v>
      </c>
      <c r="AK46" s="70" t="s">
        <v>527</v>
      </c>
      <c r="AL46" s="70" t="s">
        <v>1331</v>
      </c>
      <c r="AM46" s="70" t="s">
        <v>1431</v>
      </c>
      <c r="AN46" s="70" t="s">
        <v>752</v>
      </c>
      <c r="AO46" s="70" t="s">
        <v>1432</v>
      </c>
      <c r="AP46" s="70" t="s">
        <v>1332</v>
      </c>
      <c r="AQ46" s="70" t="s">
        <v>1433</v>
      </c>
      <c r="AR46" s="70" t="s">
        <v>1333</v>
      </c>
      <c r="AS46" s="70" t="s">
        <v>1434</v>
      </c>
      <c r="AZ46" s="72">
        <v>6867.58</v>
      </c>
      <c r="BA46" s="72">
        <v>0</v>
      </c>
      <c r="BB46" s="70" t="s">
        <v>67</v>
      </c>
      <c r="BC46" s="70" t="s">
        <v>1044</v>
      </c>
      <c r="BD46" s="70" t="s">
        <v>2984</v>
      </c>
      <c r="BE46" s="70" t="s">
        <v>337</v>
      </c>
      <c r="BF46" s="70" t="s">
        <v>74</v>
      </c>
      <c r="BG46" s="70" t="s">
        <v>338</v>
      </c>
      <c r="BH46" s="70" t="s">
        <v>1334</v>
      </c>
      <c r="BI46" s="60" t="str">
        <f t="shared" si="1"/>
        <v>Ver en Mapa</v>
      </c>
      <c r="BL46" s="70">
        <v>3</v>
      </c>
      <c r="BM46" s="70">
        <v>3</v>
      </c>
      <c r="BN46" s="70" t="s">
        <v>2847</v>
      </c>
    </row>
    <row r="47" spans="1:66" s="68" customFormat="1" ht="14.4" customHeight="1" x14ac:dyDescent="0.3">
      <c r="A47" s="70" t="str">
        <f>H47</f>
        <v>001263</v>
      </c>
      <c r="B47" s="70" t="s">
        <v>61</v>
      </c>
      <c r="C47" s="70" t="s">
        <v>273</v>
      </c>
      <c r="D47" s="70" t="s">
        <v>408</v>
      </c>
      <c r="E47" s="70" t="s">
        <v>409</v>
      </c>
      <c r="F47" s="70" t="s">
        <v>2785</v>
      </c>
      <c r="G47" s="70" t="s">
        <v>2786</v>
      </c>
      <c r="H47" s="70" t="s">
        <v>439</v>
      </c>
      <c r="I47" s="70" t="s">
        <v>67</v>
      </c>
      <c r="J47" s="70" t="s">
        <v>440</v>
      </c>
      <c r="K47" s="71">
        <v>45770</v>
      </c>
      <c r="L47" s="71">
        <v>46135</v>
      </c>
      <c r="M47" s="72">
        <v>15000</v>
      </c>
      <c r="N47" s="72">
        <v>15801.12</v>
      </c>
      <c r="O47" s="73">
        <v>50</v>
      </c>
      <c r="P47" s="61">
        <f t="shared" si="0"/>
        <v>60</v>
      </c>
      <c r="Q47" s="73">
        <v>12</v>
      </c>
      <c r="R47" s="70" t="s">
        <v>68</v>
      </c>
      <c r="S47" s="72">
        <v>2525.04</v>
      </c>
      <c r="T47" s="72">
        <v>696</v>
      </c>
      <c r="U47" s="72">
        <v>1160</v>
      </c>
      <c r="V47" s="72">
        <v>0</v>
      </c>
      <c r="W47" s="72">
        <v>1.1000000000000001</v>
      </c>
      <c r="X47" s="72">
        <v>10759.23</v>
      </c>
      <c r="Y47" s="72">
        <v>3910.19</v>
      </c>
      <c r="Z47" s="72">
        <v>1541.91</v>
      </c>
      <c r="AA47" s="72">
        <v>1150.28</v>
      </c>
      <c r="AB47" s="72">
        <v>58</v>
      </c>
      <c r="AC47" s="72">
        <v>1160</v>
      </c>
      <c r="AD47" s="72">
        <v>2000</v>
      </c>
      <c r="AE47" s="71">
        <v>45938</v>
      </c>
      <c r="AF47" s="70" t="s">
        <v>69</v>
      </c>
      <c r="AG47" s="70" t="s">
        <v>441</v>
      </c>
      <c r="AH47" s="70" t="s">
        <v>442</v>
      </c>
      <c r="AJ47" s="70" t="s">
        <v>86</v>
      </c>
      <c r="AK47" s="70" t="s">
        <v>87</v>
      </c>
      <c r="AN47" s="70" t="s">
        <v>973</v>
      </c>
      <c r="AO47" s="70" t="s">
        <v>1295</v>
      </c>
      <c r="AP47" s="70" t="s">
        <v>970</v>
      </c>
      <c r="AQ47" s="70" t="s">
        <v>971</v>
      </c>
      <c r="AR47" s="70" t="s">
        <v>972</v>
      </c>
      <c r="AS47" s="70" t="s">
        <v>1296</v>
      </c>
      <c r="AZ47" s="72">
        <v>21179.45</v>
      </c>
      <c r="BA47" s="72">
        <v>0</v>
      </c>
      <c r="BB47" s="70" t="s">
        <v>67</v>
      </c>
      <c r="BC47" s="70" t="s">
        <v>1044</v>
      </c>
      <c r="BD47" s="70" t="s">
        <v>2881</v>
      </c>
      <c r="BE47" s="70" t="s">
        <v>444</v>
      </c>
      <c r="BF47" s="70" t="s">
        <v>74</v>
      </c>
      <c r="BG47" s="70" t="s">
        <v>445</v>
      </c>
      <c r="BI47" s="60" t="str">
        <f t="shared" si="1"/>
        <v>Ver en Mapa</v>
      </c>
      <c r="BL47" s="70">
        <v>4</v>
      </c>
      <c r="BM47" s="70">
        <v>4</v>
      </c>
      <c r="BN47" s="70" t="s">
        <v>2847</v>
      </c>
    </row>
    <row r="48" spans="1:66" s="68" customFormat="1" ht="14.4" customHeight="1" x14ac:dyDescent="0.3">
      <c r="A48" s="70" t="str">
        <f>H48</f>
        <v>001336</v>
      </c>
      <c r="B48" s="70" t="s">
        <v>61</v>
      </c>
      <c r="C48" s="70" t="s">
        <v>392</v>
      </c>
      <c r="D48" s="70" t="s">
        <v>633</v>
      </c>
      <c r="E48" s="70" t="s">
        <v>634</v>
      </c>
      <c r="F48" s="70" t="s">
        <v>2802</v>
      </c>
      <c r="G48" s="70" t="s">
        <v>2803</v>
      </c>
      <c r="H48" s="70" t="s">
        <v>635</v>
      </c>
      <c r="I48" s="70" t="s">
        <v>67</v>
      </c>
      <c r="J48" s="70" t="s">
        <v>636</v>
      </c>
      <c r="K48" s="71">
        <v>45800</v>
      </c>
      <c r="L48" s="71">
        <v>46165</v>
      </c>
      <c r="M48" s="72">
        <v>20000</v>
      </c>
      <c r="N48" s="72">
        <v>21068.16</v>
      </c>
      <c r="O48" s="73">
        <v>50</v>
      </c>
      <c r="P48" s="61">
        <f t="shared" si="0"/>
        <v>60</v>
      </c>
      <c r="Q48" s="73">
        <v>12</v>
      </c>
      <c r="R48" s="70" t="s">
        <v>68</v>
      </c>
      <c r="S48" s="72">
        <v>3347.38</v>
      </c>
      <c r="T48" s="72">
        <v>696</v>
      </c>
      <c r="U48" s="72">
        <v>1160</v>
      </c>
      <c r="V48" s="72">
        <v>0</v>
      </c>
      <c r="W48" s="72">
        <v>2</v>
      </c>
      <c r="X48" s="72">
        <v>17556.8</v>
      </c>
      <c r="Y48" s="72">
        <v>7709.5341013333336</v>
      </c>
      <c r="Z48" s="72">
        <v>3511.36</v>
      </c>
      <c r="AA48" s="72">
        <v>2980.17</v>
      </c>
      <c r="AB48" s="72">
        <v>58</v>
      </c>
      <c r="AC48" s="72">
        <v>1160</v>
      </c>
      <c r="AD48" s="72">
        <v>6000</v>
      </c>
      <c r="AE48" s="71">
        <v>45883</v>
      </c>
      <c r="AF48" s="70" t="s">
        <v>69</v>
      </c>
      <c r="AG48" s="70" t="s">
        <v>637</v>
      </c>
      <c r="AH48" s="70" t="s">
        <v>671</v>
      </c>
      <c r="AJ48" s="70" t="s">
        <v>638</v>
      </c>
      <c r="AK48" s="70" t="s">
        <v>639</v>
      </c>
      <c r="AN48" s="70" t="s">
        <v>1004</v>
      </c>
      <c r="AO48" s="70" t="s">
        <v>1086</v>
      </c>
      <c r="AP48" s="70" t="s">
        <v>1001</v>
      </c>
      <c r="AQ48" s="70" t="s">
        <v>1002</v>
      </c>
      <c r="AR48" s="70" t="s">
        <v>1003</v>
      </c>
      <c r="AS48" s="70" t="s">
        <v>1087</v>
      </c>
      <c r="AZ48" s="72">
        <v>34024.6</v>
      </c>
      <c r="BA48" s="72">
        <v>0</v>
      </c>
      <c r="BB48" s="70" t="s">
        <v>67</v>
      </c>
      <c r="BC48" s="70" t="s">
        <v>1044</v>
      </c>
      <c r="BD48" s="70" t="s">
        <v>640</v>
      </c>
      <c r="BE48" s="70" t="s">
        <v>641</v>
      </c>
      <c r="BF48" s="70" t="s">
        <v>74</v>
      </c>
      <c r="BG48" s="70" t="s">
        <v>392</v>
      </c>
      <c r="BI48" s="60" t="str">
        <f t="shared" si="1"/>
        <v>Ver en Mapa</v>
      </c>
      <c r="BL48" s="70">
        <v>4</v>
      </c>
      <c r="BM48" s="70">
        <v>4</v>
      </c>
      <c r="BN48" s="70" t="s">
        <v>2847</v>
      </c>
    </row>
    <row r="49" spans="1:66" s="68" customFormat="1" ht="14.4" customHeight="1" x14ac:dyDescent="0.3">
      <c r="A49" s="70" t="str">
        <f>H49</f>
        <v>001194</v>
      </c>
      <c r="B49" s="70" t="s">
        <v>61</v>
      </c>
      <c r="C49" s="70" t="s">
        <v>62</v>
      </c>
      <c r="D49" s="70" t="s">
        <v>183</v>
      </c>
      <c r="E49" s="70" t="s">
        <v>184</v>
      </c>
      <c r="F49" s="70" t="s">
        <v>2848</v>
      </c>
      <c r="G49" s="70" t="s">
        <v>2849</v>
      </c>
      <c r="H49" s="70" t="s">
        <v>138</v>
      </c>
      <c r="I49" s="70" t="s">
        <v>67</v>
      </c>
      <c r="J49" s="70" t="s">
        <v>139</v>
      </c>
      <c r="K49" s="71">
        <v>45714</v>
      </c>
      <c r="L49" s="71">
        <v>46079</v>
      </c>
      <c r="M49" s="72">
        <v>35000</v>
      </c>
      <c r="N49" s="72">
        <v>36869.270000000004</v>
      </c>
      <c r="O49" s="73">
        <v>49</v>
      </c>
      <c r="P49" s="61">
        <f t="shared" si="0"/>
        <v>60</v>
      </c>
      <c r="Q49" s="73">
        <v>12</v>
      </c>
      <c r="R49" s="70" t="s">
        <v>68</v>
      </c>
      <c r="S49" s="72">
        <v>6532.14</v>
      </c>
      <c r="T49" s="72">
        <v>696</v>
      </c>
      <c r="U49" s="72">
        <v>580</v>
      </c>
      <c r="V49" s="72">
        <v>0</v>
      </c>
      <c r="W49" s="72">
        <v>2</v>
      </c>
      <c r="X49" s="72">
        <v>21507.07</v>
      </c>
      <c r="Y49" s="72">
        <v>13416.4342</v>
      </c>
      <c r="Z49" s="72">
        <v>6144.87</v>
      </c>
      <c r="AA49" s="72">
        <v>6633.56</v>
      </c>
      <c r="AB49" s="72">
        <v>58</v>
      </c>
      <c r="AC49" s="72">
        <v>580</v>
      </c>
      <c r="AD49" s="72">
        <v>3500</v>
      </c>
      <c r="AE49" s="71">
        <v>45926</v>
      </c>
      <c r="AF49" s="70" t="s">
        <v>69</v>
      </c>
      <c r="AG49" s="70" t="s">
        <v>140</v>
      </c>
      <c r="AH49" s="70" t="s">
        <v>141</v>
      </c>
      <c r="AJ49" s="70" t="s">
        <v>142</v>
      </c>
      <c r="AK49" s="70" t="s">
        <v>143</v>
      </c>
      <c r="AL49" s="70" t="s">
        <v>144</v>
      </c>
      <c r="AN49" s="70" t="s">
        <v>706</v>
      </c>
      <c r="AO49" s="70" t="s">
        <v>1246</v>
      </c>
      <c r="AP49" s="70" t="s">
        <v>703</v>
      </c>
      <c r="AQ49" s="70" t="s">
        <v>704</v>
      </c>
      <c r="AR49" s="70" t="s">
        <v>705</v>
      </c>
      <c r="AS49" s="70" t="s">
        <v>705</v>
      </c>
      <c r="AT49" s="70" t="s">
        <v>122</v>
      </c>
      <c r="AU49" s="68" t="s">
        <v>145</v>
      </c>
      <c r="AV49" s="70" t="s">
        <v>146</v>
      </c>
      <c r="AW49" s="70" t="s">
        <v>122</v>
      </c>
      <c r="AX49" s="68" t="s">
        <v>147</v>
      </c>
      <c r="AY49" s="70" t="s">
        <v>148</v>
      </c>
      <c r="AZ49" s="72">
        <v>45787.14</v>
      </c>
      <c r="BA49" s="72">
        <v>0</v>
      </c>
      <c r="BB49" s="70" t="s">
        <v>67</v>
      </c>
      <c r="BC49" s="70" t="s">
        <v>1044</v>
      </c>
      <c r="BD49" s="70" t="s">
        <v>3005</v>
      </c>
      <c r="BE49" s="70" t="s">
        <v>97</v>
      </c>
      <c r="BF49" s="70" t="s">
        <v>74</v>
      </c>
      <c r="BG49" s="70" t="s">
        <v>75</v>
      </c>
      <c r="BI49" s="60" t="str">
        <f t="shared" si="1"/>
        <v>Ver en Mapa</v>
      </c>
      <c r="BL49" s="70">
        <v>5</v>
      </c>
      <c r="BM49" s="70">
        <v>5</v>
      </c>
      <c r="BN49" s="70" t="s">
        <v>2847</v>
      </c>
    </row>
    <row r="50" spans="1:66" s="68" customFormat="1" ht="14.4" customHeight="1" x14ac:dyDescent="0.3">
      <c r="A50" s="70" t="str">
        <f>H50</f>
        <v>001362</v>
      </c>
      <c r="B50" s="70" t="s">
        <v>61</v>
      </c>
      <c r="C50" s="70" t="s">
        <v>62</v>
      </c>
      <c r="D50" s="70" t="s">
        <v>183</v>
      </c>
      <c r="E50" s="70" t="s">
        <v>184</v>
      </c>
      <c r="F50" s="70" t="s">
        <v>2848</v>
      </c>
      <c r="G50" s="70" t="s">
        <v>2849</v>
      </c>
      <c r="H50" s="70" t="s">
        <v>1440</v>
      </c>
      <c r="I50" s="70" t="s">
        <v>67</v>
      </c>
      <c r="J50" s="70" t="s">
        <v>1045</v>
      </c>
      <c r="K50" s="71">
        <v>45811</v>
      </c>
      <c r="L50" s="71">
        <v>46147</v>
      </c>
      <c r="M50" s="72">
        <v>25000</v>
      </c>
      <c r="N50" s="72">
        <v>26335.190000000002</v>
      </c>
      <c r="O50" s="73">
        <v>49</v>
      </c>
      <c r="P50" s="61">
        <f t="shared" si="0"/>
        <v>60</v>
      </c>
      <c r="Q50" s="73">
        <v>24</v>
      </c>
      <c r="R50" s="70" t="s">
        <v>496</v>
      </c>
      <c r="S50" s="72">
        <v>2037.7</v>
      </c>
      <c r="T50" s="72">
        <v>1392</v>
      </c>
      <c r="U50" s="72">
        <v>2320</v>
      </c>
      <c r="V50" s="72">
        <v>9</v>
      </c>
      <c r="W50" s="72">
        <v>3.3</v>
      </c>
      <c r="X50" s="72">
        <v>20326.82</v>
      </c>
      <c r="Y50" s="72">
        <v>9008.5362000000005</v>
      </c>
      <c r="Z50" s="72">
        <v>3867.33</v>
      </c>
      <c r="AA50" s="72">
        <v>2647.21</v>
      </c>
      <c r="AB50" s="72">
        <v>174</v>
      </c>
      <c r="AC50" s="72">
        <v>2320</v>
      </c>
      <c r="AD50" s="72">
        <v>1000</v>
      </c>
      <c r="AE50" s="71">
        <v>45938</v>
      </c>
      <c r="AF50" s="70" t="s">
        <v>69</v>
      </c>
      <c r="AG50" s="70" t="s">
        <v>1441</v>
      </c>
      <c r="AH50" s="70" t="s">
        <v>1046</v>
      </c>
      <c r="AJ50" s="70" t="s">
        <v>89</v>
      </c>
      <c r="AK50" s="70" t="s">
        <v>90</v>
      </c>
      <c r="AL50" s="70" t="s">
        <v>1047</v>
      </c>
      <c r="AM50" s="70" t="s">
        <v>1441</v>
      </c>
      <c r="AN50" s="70" t="s">
        <v>1048</v>
      </c>
      <c r="AO50" s="70" t="s">
        <v>1442</v>
      </c>
      <c r="AP50" s="70" t="s">
        <v>1049</v>
      </c>
      <c r="AQ50" s="70" t="s">
        <v>1443</v>
      </c>
      <c r="AR50" s="70" t="s">
        <v>1050</v>
      </c>
      <c r="AS50" s="70" t="s">
        <v>1444</v>
      </c>
      <c r="AZ50" s="72">
        <v>38704.1</v>
      </c>
      <c r="BA50" s="72">
        <v>0</v>
      </c>
      <c r="BB50" s="70" t="s">
        <v>67</v>
      </c>
      <c r="BC50" s="70" t="s">
        <v>1044</v>
      </c>
      <c r="BD50" s="70" t="s">
        <v>2994</v>
      </c>
      <c r="BE50" s="70" t="s">
        <v>1051</v>
      </c>
      <c r="BF50" s="70" t="s">
        <v>74</v>
      </c>
      <c r="BG50" s="70" t="s">
        <v>75</v>
      </c>
      <c r="BH50" s="70" t="s">
        <v>1052</v>
      </c>
      <c r="BI50" s="60" t="str">
        <f t="shared" si="1"/>
        <v>Ver en Mapa</v>
      </c>
      <c r="BL50" s="70">
        <v>6</v>
      </c>
      <c r="BM50" s="70">
        <v>5</v>
      </c>
      <c r="BN50" s="70" t="s">
        <v>2847</v>
      </c>
    </row>
    <row r="51" spans="1:66" s="68" customFormat="1" ht="14.4" customHeight="1" x14ac:dyDescent="0.3">
      <c r="A51" s="70" t="str">
        <f>H51</f>
        <v>001280</v>
      </c>
      <c r="B51" s="70" t="s">
        <v>61</v>
      </c>
      <c r="C51" s="70" t="s">
        <v>205</v>
      </c>
      <c r="D51" s="70" t="s">
        <v>408</v>
      </c>
      <c r="E51" s="70" t="s">
        <v>409</v>
      </c>
      <c r="F51" s="70" t="s">
        <v>2802</v>
      </c>
      <c r="G51" s="70" t="s">
        <v>2803</v>
      </c>
      <c r="H51" s="70" t="s">
        <v>1490</v>
      </c>
      <c r="I51" s="70" t="s">
        <v>67</v>
      </c>
      <c r="J51" s="70" t="s">
        <v>475</v>
      </c>
      <c r="K51" s="71">
        <v>45775</v>
      </c>
      <c r="L51" s="71">
        <v>46140</v>
      </c>
      <c r="M51" s="72">
        <v>10000</v>
      </c>
      <c r="N51" s="72">
        <v>10534.08</v>
      </c>
      <c r="O51" s="73">
        <v>47</v>
      </c>
      <c r="P51" s="61">
        <f t="shared" si="0"/>
        <v>60</v>
      </c>
      <c r="Q51" s="73">
        <v>12</v>
      </c>
      <c r="R51" s="70" t="s">
        <v>68</v>
      </c>
      <c r="S51" s="72">
        <v>1702.69</v>
      </c>
      <c r="T51" s="72">
        <v>696</v>
      </c>
      <c r="U51" s="72">
        <v>1160</v>
      </c>
      <c r="V51" s="72">
        <v>0</v>
      </c>
      <c r="W51" s="72">
        <v>1.9</v>
      </c>
      <c r="X51" s="72">
        <v>7900.56</v>
      </c>
      <c r="Y51" s="72">
        <v>4364.7700000000004</v>
      </c>
      <c r="Z51" s="72">
        <v>1755.68</v>
      </c>
      <c r="AA51" s="72">
        <v>1391.09</v>
      </c>
      <c r="AB51" s="72">
        <v>58</v>
      </c>
      <c r="AC51" s="72">
        <v>1160</v>
      </c>
      <c r="AD51" s="72">
        <v>2483</v>
      </c>
      <c r="AE51" s="71">
        <v>45889</v>
      </c>
      <c r="AF51" s="70" t="s">
        <v>69</v>
      </c>
      <c r="AG51" s="70" t="s">
        <v>1491</v>
      </c>
      <c r="AH51" s="70" t="s">
        <v>574</v>
      </c>
      <c r="AJ51" s="70" t="s">
        <v>187</v>
      </c>
      <c r="AK51" s="70" t="s">
        <v>1417</v>
      </c>
      <c r="AL51" s="70" t="s">
        <v>476</v>
      </c>
      <c r="AM51" s="70" t="s">
        <v>1492</v>
      </c>
      <c r="AN51" s="70" t="s">
        <v>906</v>
      </c>
      <c r="AO51" s="70" t="s">
        <v>1493</v>
      </c>
      <c r="AP51" s="70" t="s">
        <v>904</v>
      </c>
      <c r="AQ51" s="70" t="s">
        <v>1494</v>
      </c>
      <c r="AR51" s="70" t="s">
        <v>905</v>
      </c>
      <c r="AS51" s="70" t="s">
        <v>1495</v>
      </c>
      <c r="AZ51" s="72">
        <v>15877.61</v>
      </c>
      <c r="BA51" s="72">
        <v>0</v>
      </c>
      <c r="BB51" s="70" t="s">
        <v>67</v>
      </c>
      <c r="BC51" s="70" t="s">
        <v>1044</v>
      </c>
      <c r="BD51" s="70" t="s">
        <v>3031</v>
      </c>
      <c r="BE51" s="70" t="s">
        <v>232</v>
      </c>
      <c r="BF51" s="70" t="s">
        <v>213</v>
      </c>
      <c r="BG51" s="70" t="s">
        <v>205</v>
      </c>
      <c r="BI51" s="60" t="str">
        <f t="shared" si="1"/>
        <v>Ver en Mapa</v>
      </c>
      <c r="BL51" s="70">
        <v>3</v>
      </c>
      <c r="BM51" s="70">
        <v>3</v>
      </c>
      <c r="BN51" s="70" t="s">
        <v>2847</v>
      </c>
    </row>
    <row r="52" spans="1:66" s="68" customFormat="1" ht="14.4" customHeight="1" x14ac:dyDescent="0.3">
      <c r="A52" s="70" t="str">
        <f>H52</f>
        <v>001166</v>
      </c>
      <c r="B52" s="70" t="s">
        <v>61</v>
      </c>
      <c r="C52" s="70" t="s">
        <v>273</v>
      </c>
      <c r="D52" s="70" t="s">
        <v>408</v>
      </c>
      <c r="E52" s="70" t="s">
        <v>409</v>
      </c>
      <c r="F52" s="70" t="s">
        <v>2785</v>
      </c>
      <c r="G52" s="70" t="s">
        <v>2786</v>
      </c>
      <c r="H52" s="70" t="s">
        <v>1513</v>
      </c>
      <c r="I52" s="70" t="s">
        <v>67</v>
      </c>
      <c r="J52" s="70" t="s">
        <v>479</v>
      </c>
      <c r="K52" s="71">
        <v>45775</v>
      </c>
      <c r="L52" s="71">
        <v>46140</v>
      </c>
      <c r="M52" s="72">
        <v>15000</v>
      </c>
      <c r="N52" s="72">
        <v>15801.12</v>
      </c>
      <c r="O52" s="73">
        <v>47</v>
      </c>
      <c r="P52" s="61">
        <f t="shared" si="0"/>
        <v>60</v>
      </c>
      <c r="Q52" s="73">
        <v>12</v>
      </c>
      <c r="R52" s="70" t="s">
        <v>68</v>
      </c>
      <c r="S52" s="72">
        <v>2525.04</v>
      </c>
      <c r="T52" s="72">
        <v>696</v>
      </c>
      <c r="U52" s="72">
        <v>1160</v>
      </c>
      <c r="V52" s="72">
        <v>0</v>
      </c>
      <c r="W52" s="72">
        <v>1.5</v>
      </c>
      <c r="X52" s="72">
        <v>11738.23</v>
      </c>
      <c r="Y52" s="72">
        <v>4889.1900000000005</v>
      </c>
      <c r="Z52" s="72">
        <v>2520.91</v>
      </c>
      <c r="AA52" s="72">
        <v>1150.28</v>
      </c>
      <c r="AB52" s="72">
        <v>58</v>
      </c>
      <c r="AC52" s="72">
        <v>1160</v>
      </c>
      <c r="AD52" s="72">
        <v>1000</v>
      </c>
      <c r="AE52" s="71">
        <v>45940</v>
      </c>
      <c r="AF52" s="70" t="s">
        <v>69</v>
      </c>
      <c r="AG52" s="70" t="s">
        <v>1514</v>
      </c>
      <c r="AH52" s="70" t="s">
        <v>480</v>
      </c>
      <c r="AJ52" s="70" t="s">
        <v>481</v>
      </c>
      <c r="AK52" s="70" t="s">
        <v>482</v>
      </c>
      <c r="AN52" s="70" t="s">
        <v>957</v>
      </c>
      <c r="AO52" s="70" t="s">
        <v>1515</v>
      </c>
      <c r="AP52" s="70" t="s">
        <v>955</v>
      </c>
      <c r="AQ52" s="70" t="s">
        <v>1516</v>
      </c>
      <c r="AR52" s="70" t="s">
        <v>956</v>
      </c>
      <c r="AS52" s="70" t="s">
        <v>1517</v>
      </c>
      <c r="AZ52" s="72">
        <v>22158.45</v>
      </c>
      <c r="BA52" s="72">
        <v>0</v>
      </c>
      <c r="BB52" s="70" t="s">
        <v>67</v>
      </c>
      <c r="BC52" s="70" t="s">
        <v>1044</v>
      </c>
      <c r="BD52" s="70" t="s">
        <v>2891</v>
      </c>
      <c r="BE52" s="70" t="s">
        <v>484</v>
      </c>
      <c r="BF52" s="70" t="s">
        <v>74</v>
      </c>
      <c r="BG52" s="70" t="s">
        <v>296</v>
      </c>
      <c r="BI52" s="60" t="str">
        <f t="shared" si="1"/>
        <v>Ver en Mapa</v>
      </c>
      <c r="BL52" s="70">
        <v>4</v>
      </c>
      <c r="BM52" s="70">
        <v>4</v>
      </c>
      <c r="BN52" s="70" t="s">
        <v>2847</v>
      </c>
    </row>
    <row r="53" spans="1:66" s="68" customFormat="1" ht="14.4" customHeight="1" x14ac:dyDescent="0.3">
      <c r="A53" s="70" t="str">
        <f>H53</f>
        <v>001276</v>
      </c>
      <c r="B53" s="70" t="s">
        <v>61</v>
      </c>
      <c r="C53" s="70" t="s">
        <v>273</v>
      </c>
      <c r="D53" s="70" t="s">
        <v>408</v>
      </c>
      <c r="E53" s="70" t="s">
        <v>409</v>
      </c>
      <c r="F53" s="70" t="s">
        <v>2785</v>
      </c>
      <c r="G53" s="70" t="s">
        <v>2786</v>
      </c>
      <c r="H53" s="70" t="s">
        <v>1518</v>
      </c>
      <c r="I53" s="70" t="s">
        <v>67</v>
      </c>
      <c r="J53" s="70" t="s">
        <v>485</v>
      </c>
      <c r="K53" s="71">
        <v>45775</v>
      </c>
      <c r="L53" s="71">
        <v>46140</v>
      </c>
      <c r="M53" s="72">
        <v>20000</v>
      </c>
      <c r="N53" s="72">
        <v>21068.16</v>
      </c>
      <c r="O53" s="73">
        <v>47</v>
      </c>
      <c r="P53" s="61">
        <f t="shared" si="0"/>
        <v>60</v>
      </c>
      <c r="Q53" s="73">
        <v>12</v>
      </c>
      <c r="R53" s="70" t="s">
        <v>68</v>
      </c>
      <c r="S53" s="72">
        <v>3347.38</v>
      </c>
      <c r="T53" s="72">
        <v>696</v>
      </c>
      <c r="U53" s="72">
        <v>1740</v>
      </c>
      <c r="V53" s="72">
        <v>0</v>
      </c>
      <c r="W53" s="72">
        <v>2</v>
      </c>
      <c r="X53" s="72">
        <v>15801.12</v>
      </c>
      <c r="Y53" s="72">
        <v>8404.92</v>
      </c>
      <c r="Z53" s="72">
        <v>3511.36</v>
      </c>
      <c r="AA53" s="72">
        <v>3067.41</v>
      </c>
      <c r="AB53" s="72">
        <v>86.15</v>
      </c>
      <c r="AC53" s="72">
        <v>1740</v>
      </c>
      <c r="AD53" s="72">
        <v>2804</v>
      </c>
      <c r="AE53" s="71">
        <v>45937</v>
      </c>
      <c r="AF53" s="70" t="s">
        <v>69</v>
      </c>
      <c r="AG53" s="70" t="s">
        <v>1515</v>
      </c>
      <c r="AH53" s="70" t="s">
        <v>486</v>
      </c>
      <c r="AJ53" s="70" t="s">
        <v>487</v>
      </c>
      <c r="AK53" s="70" t="s">
        <v>1519</v>
      </c>
      <c r="AN53" s="70" t="s">
        <v>960</v>
      </c>
      <c r="AO53" s="70" t="s">
        <v>1520</v>
      </c>
      <c r="AP53" s="70" t="s">
        <v>958</v>
      </c>
      <c r="AQ53" s="70" t="s">
        <v>1521</v>
      </c>
      <c r="AR53" s="70" t="s">
        <v>959</v>
      </c>
      <c r="AS53" s="70" t="s">
        <v>1514</v>
      </c>
      <c r="AZ53" s="72">
        <v>31430.600000000002</v>
      </c>
      <c r="BA53" s="72">
        <v>0</v>
      </c>
      <c r="BB53" s="70" t="s">
        <v>67</v>
      </c>
      <c r="BC53" s="70" t="s">
        <v>1044</v>
      </c>
      <c r="BD53" s="70" t="s">
        <v>3009</v>
      </c>
      <c r="BE53" s="70" t="s">
        <v>484</v>
      </c>
      <c r="BF53" s="70" t="s">
        <v>74</v>
      </c>
      <c r="BG53" s="70" t="s">
        <v>296</v>
      </c>
      <c r="BI53" s="60" t="str">
        <f t="shared" si="1"/>
        <v>Ver en Mapa</v>
      </c>
      <c r="BL53" s="70">
        <v>4</v>
      </c>
      <c r="BM53" s="70">
        <v>4</v>
      </c>
      <c r="BN53" s="70" t="s">
        <v>2847</v>
      </c>
    </row>
    <row r="54" spans="1:66" s="68" customFormat="1" ht="14.4" customHeight="1" x14ac:dyDescent="0.3">
      <c r="A54" s="70" t="str">
        <f>H54</f>
        <v>001331</v>
      </c>
      <c r="B54" s="70" t="s">
        <v>61</v>
      </c>
      <c r="C54" s="70" t="s">
        <v>62</v>
      </c>
      <c r="D54" s="70" t="s">
        <v>1429</v>
      </c>
      <c r="E54" s="70" t="s">
        <v>617</v>
      </c>
      <c r="F54" s="70" t="s">
        <v>590</v>
      </c>
      <c r="G54" s="70" t="s">
        <v>2763</v>
      </c>
      <c r="H54" s="70" t="s">
        <v>2037</v>
      </c>
      <c r="I54" s="70" t="s">
        <v>67</v>
      </c>
      <c r="J54" s="70" t="s">
        <v>629</v>
      </c>
      <c r="K54" s="71">
        <v>45800</v>
      </c>
      <c r="L54" s="71">
        <v>45968</v>
      </c>
      <c r="M54" s="72">
        <v>5000</v>
      </c>
      <c r="N54" s="72">
        <v>5267.04</v>
      </c>
      <c r="O54" s="73">
        <v>46</v>
      </c>
      <c r="P54" s="61">
        <f t="shared" si="0"/>
        <v>60</v>
      </c>
      <c r="Q54" s="73">
        <v>12</v>
      </c>
      <c r="R54" s="70" t="s">
        <v>496</v>
      </c>
      <c r="S54" s="72">
        <v>673.4</v>
      </c>
      <c r="T54" s="72">
        <v>696</v>
      </c>
      <c r="U54" s="72">
        <v>2320</v>
      </c>
      <c r="V54" s="72">
        <v>10</v>
      </c>
      <c r="W54" s="72">
        <v>4</v>
      </c>
      <c r="X54" s="72">
        <v>2633.52</v>
      </c>
      <c r="Y54" s="72">
        <v>4980.01</v>
      </c>
      <c r="Z54" s="72">
        <v>1755.68</v>
      </c>
      <c r="AA54" s="72">
        <v>705.92</v>
      </c>
      <c r="AB54" s="72">
        <v>198.41</v>
      </c>
      <c r="AC54" s="72">
        <v>2320</v>
      </c>
      <c r="AD54" s="72">
        <v>680</v>
      </c>
      <c r="AE54" s="71">
        <v>45884</v>
      </c>
      <c r="AF54" s="70" t="s">
        <v>69</v>
      </c>
      <c r="AG54" s="70" t="s">
        <v>2038</v>
      </c>
      <c r="AH54" s="70" t="s">
        <v>630</v>
      </c>
      <c r="AJ54" s="70" t="s">
        <v>283</v>
      </c>
      <c r="AK54" s="70" t="s">
        <v>284</v>
      </c>
      <c r="AN54" s="70" t="s">
        <v>783</v>
      </c>
      <c r="AO54" s="70" t="s">
        <v>2039</v>
      </c>
      <c r="AP54" s="70" t="s">
        <v>781</v>
      </c>
      <c r="AQ54" s="70" t="s">
        <v>2040</v>
      </c>
      <c r="AR54" s="70" t="s">
        <v>782</v>
      </c>
      <c r="AS54" s="70" t="s">
        <v>2041</v>
      </c>
      <c r="AZ54" s="72">
        <v>6210.81</v>
      </c>
      <c r="BA54" s="72">
        <v>0</v>
      </c>
      <c r="BB54" s="70" t="s">
        <v>67</v>
      </c>
      <c r="BC54" s="70" t="s">
        <v>1044</v>
      </c>
      <c r="BD54" s="70" t="s">
        <v>2908</v>
      </c>
      <c r="BE54" s="70" t="s">
        <v>88</v>
      </c>
      <c r="BF54" s="70" t="s">
        <v>74</v>
      </c>
      <c r="BG54" s="70" t="s">
        <v>75</v>
      </c>
      <c r="BI54" s="60" t="str">
        <f t="shared" si="1"/>
        <v>Ver en Mapa</v>
      </c>
      <c r="BL54" s="70">
        <v>5</v>
      </c>
      <c r="BM54" s="70">
        <v>4</v>
      </c>
      <c r="BN54" s="70" t="s">
        <v>2847</v>
      </c>
    </row>
    <row r="55" spans="1:66" s="68" customFormat="1" ht="14.4" customHeight="1" x14ac:dyDescent="0.3">
      <c r="A55" s="70" t="str">
        <f>H55</f>
        <v>001571</v>
      </c>
      <c r="B55" s="70" t="s">
        <v>61</v>
      </c>
      <c r="C55" s="70" t="s">
        <v>194</v>
      </c>
      <c r="D55" s="70" t="s">
        <v>594</v>
      </c>
      <c r="E55" s="70" t="s">
        <v>595</v>
      </c>
      <c r="F55" s="70" t="s">
        <v>590</v>
      </c>
      <c r="G55" s="70" t="s">
        <v>2763</v>
      </c>
      <c r="H55" s="70" t="s">
        <v>2123</v>
      </c>
      <c r="I55" s="70" t="s">
        <v>67</v>
      </c>
      <c r="J55" s="70" t="s">
        <v>1829</v>
      </c>
      <c r="K55" s="71">
        <v>45867</v>
      </c>
      <c r="L55" s="71">
        <v>46054</v>
      </c>
      <c r="M55" s="72">
        <v>5000</v>
      </c>
      <c r="N55" s="72">
        <v>5267.04</v>
      </c>
      <c r="O55" s="73">
        <v>43</v>
      </c>
      <c r="P55" s="61">
        <f t="shared" si="0"/>
        <v>60</v>
      </c>
      <c r="Q55" s="73">
        <v>6</v>
      </c>
      <c r="R55" s="70" t="s">
        <v>68</v>
      </c>
      <c r="S55" s="72">
        <v>1328.72</v>
      </c>
      <c r="T55" s="72">
        <v>348</v>
      </c>
      <c r="U55" s="72">
        <v>580</v>
      </c>
      <c r="V55" s="72">
        <v>0</v>
      </c>
      <c r="W55" s="72">
        <v>1.5</v>
      </c>
      <c r="X55" s="72">
        <v>4969.2</v>
      </c>
      <c r="Y55" s="72">
        <v>2488.7213205333333</v>
      </c>
      <c r="Z55" s="72">
        <v>1457.84</v>
      </c>
      <c r="AA55" s="72">
        <v>392.88</v>
      </c>
      <c r="AB55" s="72">
        <v>58</v>
      </c>
      <c r="AC55" s="72">
        <v>580</v>
      </c>
      <c r="AD55" s="72">
        <v>1328.72</v>
      </c>
      <c r="AE55" s="71">
        <v>45911</v>
      </c>
      <c r="AF55" s="70" t="s">
        <v>69</v>
      </c>
      <c r="AG55" s="70" t="s">
        <v>2124</v>
      </c>
      <c r="AH55" s="70" t="s">
        <v>1830</v>
      </c>
      <c r="AJ55" s="70" t="s">
        <v>1831</v>
      </c>
      <c r="AK55" s="70" t="s">
        <v>2125</v>
      </c>
      <c r="AL55" s="70" t="s">
        <v>1832</v>
      </c>
      <c r="AN55" s="70" t="s">
        <v>1833</v>
      </c>
      <c r="AO55" s="70" t="s">
        <v>2126</v>
      </c>
      <c r="AP55" s="70" t="s">
        <v>1834</v>
      </c>
      <c r="AQ55" s="70" t="s">
        <v>2127</v>
      </c>
      <c r="AR55" s="70" t="s">
        <v>1835</v>
      </c>
      <c r="AS55" s="70" t="s">
        <v>2128</v>
      </c>
      <c r="AZ55" s="72">
        <v>7571.6</v>
      </c>
      <c r="BA55" s="72">
        <v>0</v>
      </c>
      <c r="BB55" s="70" t="s">
        <v>67</v>
      </c>
      <c r="BC55" s="70" t="s">
        <v>1044</v>
      </c>
      <c r="BD55" s="70" t="s">
        <v>3018</v>
      </c>
      <c r="BE55" s="70" t="s">
        <v>1718</v>
      </c>
      <c r="BF55" s="70" t="s">
        <v>74</v>
      </c>
      <c r="BG55" s="70" t="s">
        <v>194</v>
      </c>
      <c r="BH55" s="70" t="s">
        <v>1836</v>
      </c>
      <c r="BI55" s="60" t="str">
        <f t="shared" si="1"/>
        <v>Ver en Mapa</v>
      </c>
      <c r="BL55" s="70">
        <v>2</v>
      </c>
      <c r="BM55" s="70">
        <v>2</v>
      </c>
      <c r="BN55" s="70" t="s">
        <v>2847</v>
      </c>
    </row>
    <row r="56" spans="1:66" s="68" customFormat="1" ht="14.4" customHeight="1" x14ac:dyDescent="0.3">
      <c r="A56" s="70" t="str">
        <f>H56</f>
        <v>001447</v>
      </c>
      <c r="B56" s="70" t="s">
        <v>61</v>
      </c>
      <c r="C56" s="70" t="s">
        <v>392</v>
      </c>
      <c r="D56" s="70" t="s">
        <v>1544</v>
      </c>
      <c r="E56" s="70" t="s">
        <v>1068</v>
      </c>
      <c r="F56" s="70" t="s">
        <v>590</v>
      </c>
      <c r="G56" s="70" t="s">
        <v>2763</v>
      </c>
      <c r="H56" s="70" t="s">
        <v>2502</v>
      </c>
      <c r="I56" s="70" t="s">
        <v>67</v>
      </c>
      <c r="J56" s="70" t="s">
        <v>1370</v>
      </c>
      <c r="K56" s="71">
        <v>45835</v>
      </c>
      <c r="L56" s="71">
        <v>46023</v>
      </c>
      <c r="M56" s="72">
        <v>20000</v>
      </c>
      <c r="N56" s="72">
        <v>21068.16</v>
      </c>
      <c r="O56" s="73">
        <v>43</v>
      </c>
      <c r="P56" s="61">
        <f t="shared" si="0"/>
        <v>60</v>
      </c>
      <c r="Q56" s="73">
        <v>6</v>
      </c>
      <c r="R56" s="70" t="s">
        <v>68</v>
      </c>
      <c r="S56" s="72">
        <v>5149.28</v>
      </c>
      <c r="T56" s="72">
        <v>348</v>
      </c>
      <c r="U56" s="72">
        <v>580</v>
      </c>
      <c r="V56" s="72">
        <v>0</v>
      </c>
      <c r="W56" s="72">
        <v>1.2</v>
      </c>
      <c r="X56" s="72">
        <v>15044.01</v>
      </c>
      <c r="Y56" s="72">
        <v>6727.8529232000001</v>
      </c>
      <c r="Z56" s="72">
        <v>4509.93</v>
      </c>
      <c r="AA56" s="72">
        <v>1579.92</v>
      </c>
      <c r="AB56" s="72">
        <v>58</v>
      </c>
      <c r="AC56" s="72">
        <v>580</v>
      </c>
      <c r="AD56" s="72">
        <v>1730</v>
      </c>
      <c r="AE56" s="71">
        <v>45909</v>
      </c>
      <c r="AF56" s="70" t="s">
        <v>69</v>
      </c>
      <c r="AG56" s="70" t="s">
        <v>2503</v>
      </c>
      <c r="AH56" s="70" t="s">
        <v>1371</v>
      </c>
      <c r="AJ56" s="70" t="s">
        <v>1372</v>
      </c>
      <c r="AK56" s="70" t="s">
        <v>2504</v>
      </c>
      <c r="AL56" s="70" t="s">
        <v>1373</v>
      </c>
      <c r="AM56" s="70" t="s">
        <v>2505</v>
      </c>
      <c r="AN56" s="70" t="s">
        <v>1374</v>
      </c>
      <c r="AO56" s="70" t="s">
        <v>2506</v>
      </c>
      <c r="AP56" s="70" t="s">
        <v>1375</v>
      </c>
      <c r="AQ56" s="70" t="s">
        <v>2507</v>
      </c>
      <c r="AR56" s="70" t="s">
        <v>1376</v>
      </c>
      <c r="AS56" s="70" t="s">
        <v>2508</v>
      </c>
      <c r="AZ56" s="72">
        <v>22001.71</v>
      </c>
      <c r="BA56" s="72">
        <v>0</v>
      </c>
      <c r="BB56" s="70" t="s">
        <v>67</v>
      </c>
      <c r="BC56" s="70" t="s">
        <v>1044</v>
      </c>
      <c r="BD56" s="70" t="s">
        <v>2899</v>
      </c>
      <c r="BE56" s="70" t="s">
        <v>641</v>
      </c>
      <c r="BF56" s="70" t="s">
        <v>74</v>
      </c>
      <c r="BG56" s="70" t="s">
        <v>392</v>
      </c>
      <c r="BH56" s="70" t="s">
        <v>1378</v>
      </c>
      <c r="BI56" s="60" t="str">
        <f t="shared" si="1"/>
        <v>Ver en Mapa</v>
      </c>
      <c r="BL56" s="70">
        <v>2</v>
      </c>
      <c r="BM56" s="70">
        <v>2</v>
      </c>
      <c r="BN56" s="70" t="s">
        <v>2847</v>
      </c>
    </row>
    <row r="57" spans="1:66" s="68" customFormat="1" ht="14.4" customHeight="1" x14ac:dyDescent="0.3">
      <c r="A57" s="70" t="str">
        <f>H57</f>
        <v>001609</v>
      </c>
      <c r="B57" s="70" t="s">
        <v>61</v>
      </c>
      <c r="C57" s="70" t="s">
        <v>392</v>
      </c>
      <c r="D57" s="70" t="s">
        <v>633</v>
      </c>
      <c r="E57" s="70" t="s">
        <v>634</v>
      </c>
      <c r="F57" s="70" t="s">
        <v>590</v>
      </c>
      <c r="G57" s="70" t="s">
        <v>2763</v>
      </c>
      <c r="H57" s="70" t="s">
        <v>2699</v>
      </c>
      <c r="I57" s="70" t="s">
        <v>67</v>
      </c>
      <c r="J57" s="70" t="s">
        <v>2700</v>
      </c>
      <c r="K57" s="71">
        <v>45873</v>
      </c>
      <c r="L57" s="71">
        <v>46238</v>
      </c>
      <c r="M57" s="72">
        <v>20000</v>
      </c>
      <c r="N57" s="72">
        <v>21068.16</v>
      </c>
      <c r="O57" s="73">
        <v>40</v>
      </c>
      <c r="P57" s="61">
        <f t="shared" si="0"/>
        <v>60</v>
      </c>
      <c r="Q57" s="73">
        <v>12</v>
      </c>
      <c r="R57" s="70" t="s">
        <v>68</v>
      </c>
      <c r="S57" s="72">
        <v>3347.38</v>
      </c>
      <c r="T57" s="72">
        <v>696</v>
      </c>
      <c r="U57" s="72">
        <v>1160</v>
      </c>
      <c r="V57" s="72">
        <v>0</v>
      </c>
      <c r="W57" s="72">
        <v>2</v>
      </c>
      <c r="X57" s="72">
        <v>21068.16</v>
      </c>
      <c r="Y57" s="72">
        <v>7854.77</v>
      </c>
      <c r="Z57" s="72">
        <v>3511.36</v>
      </c>
      <c r="AA57" s="72">
        <v>3067.41</v>
      </c>
      <c r="AB57" s="72">
        <v>116</v>
      </c>
      <c r="AC57" s="72">
        <v>1160</v>
      </c>
      <c r="AF57" s="70" t="s">
        <v>69</v>
      </c>
      <c r="AG57" s="70" t="s">
        <v>2701</v>
      </c>
      <c r="AH57" s="70" t="s">
        <v>2702</v>
      </c>
      <c r="AJ57" s="70" t="s">
        <v>2703</v>
      </c>
      <c r="AK57" s="70" t="s">
        <v>2704</v>
      </c>
      <c r="AL57" s="70" t="s">
        <v>2705</v>
      </c>
      <c r="AN57" s="70" t="s">
        <v>2706</v>
      </c>
      <c r="AO57" s="70" t="s">
        <v>2707</v>
      </c>
      <c r="AP57" s="70" t="s">
        <v>2708</v>
      </c>
      <c r="AQ57" s="70" t="s">
        <v>2709</v>
      </c>
      <c r="AR57" s="70" t="s">
        <v>2710</v>
      </c>
      <c r="AS57" s="70" t="s">
        <v>2711</v>
      </c>
      <c r="AZ57" s="72">
        <v>40748.6</v>
      </c>
      <c r="BA57" s="72">
        <v>0</v>
      </c>
      <c r="BB57" s="70" t="s">
        <v>67</v>
      </c>
      <c r="BC57" s="70" t="s">
        <v>1044</v>
      </c>
      <c r="BD57" s="70" t="s">
        <v>2966</v>
      </c>
      <c r="BE57" s="70" t="s">
        <v>2713</v>
      </c>
      <c r="BF57" s="70" t="s">
        <v>74</v>
      </c>
      <c r="BG57" s="70" t="s">
        <v>392</v>
      </c>
      <c r="BH57" s="70" t="s">
        <v>2714</v>
      </c>
      <c r="BI57" s="60" t="str">
        <f t="shared" si="1"/>
        <v>Ver en Mapa</v>
      </c>
      <c r="BL57" s="70">
        <v>2</v>
      </c>
      <c r="BM57" s="70">
        <v>2</v>
      </c>
      <c r="BN57" s="70" t="s">
        <v>2847</v>
      </c>
    </row>
    <row r="58" spans="1:66" s="68" customFormat="1" ht="14.4" customHeight="1" x14ac:dyDescent="0.3">
      <c r="A58" s="70" t="str">
        <f>H58</f>
        <v>001357</v>
      </c>
      <c r="B58" s="70" t="s">
        <v>61</v>
      </c>
      <c r="C58" s="70" t="s">
        <v>194</v>
      </c>
      <c r="D58" s="70" t="s">
        <v>588</v>
      </c>
      <c r="E58" s="70" t="s">
        <v>589</v>
      </c>
      <c r="F58" s="70" t="s">
        <v>2800</v>
      </c>
      <c r="G58" s="70" t="s">
        <v>2801</v>
      </c>
      <c r="H58" s="70" t="s">
        <v>2220</v>
      </c>
      <c r="I58" s="70" t="s">
        <v>67</v>
      </c>
      <c r="J58" s="70" t="s">
        <v>1016</v>
      </c>
      <c r="K58" s="71">
        <v>45807</v>
      </c>
      <c r="L58" s="71">
        <v>46031</v>
      </c>
      <c r="M58" s="72">
        <v>10000</v>
      </c>
      <c r="N58" s="72">
        <v>10534.08</v>
      </c>
      <c r="O58" s="73">
        <v>39</v>
      </c>
      <c r="P58" s="61">
        <f t="shared" si="0"/>
        <v>60</v>
      </c>
      <c r="Q58" s="73">
        <v>16</v>
      </c>
      <c r="R58" s="70" t="s">
        <v>496</v>
      </c>
      <c r="S58" s="72">
        <v>1069.3399999999999</v>
      </c>
      <c r="T58" s="72">
        <v>928</v>
      </c>
      <c r="U58" s="72">
        <v>1740</v>
      </c>
      <c r="V58" s="72">
        <v>9</v>
      </c>
      <c r="W58" s="72">
        <v>3</v>
      </c>
      <c r="X58" s="72">
        <v>6583.8</v>
      </c>
      <c r="Y58" s="72">
        <v>4944.08</v>
      </c>
      <c r="Z58" s="72">
        <v>1975.14</v>
      </c>
      <c r="AA58" s="72">
        <v>1058.8900000000001</v>
      </c>
      <c r="AB58" s="72">
        <v>170.05</v>
      </c>
      <c r="AC58" s="72">
        <v>1740</v>
      </c>
      <c r="AD58" s="72">
        <v>1070</v>
      </c>
      <c r="AE58" s="71">
        <v>45891</v>
      </c>
      <c r="AF58" s="70" t="s">
        <v>69</v>
      </c>
      <c r="AG58" s="70" t="s">
        <v>2221</v>
      </c>
      <c r="AH58" s="70" t="s">
        <v>1017</v>
      </c>
      <c r="AJ58" s="70" t="s">
        <v>283</v>
      </c>
      <c r="AK58" s="70" t="s">
        <v>284</v>
      </c>
      <c r="AN58" s="70" t="s">
        <v>1018</v>
      </c>
      <c r="AO58" s="70" t="s">
        <v>2222</v>
      </c>
      <c r="AP58" s="70" t="s">
        <v>1019</v>
      </c>
      <c r="AQ58" s="70" t="s">
        <v>2223</v>
      </c>
      <c r="AR58" s="70" t="s">
        <v>1020</v>
      </c>
      <c r="AS58" s="70" t="s">
        <v>2224</v>
      </c>
      <c r="AZ58" s="72">
        <v>12023.47</v>
      </c>
      <c r="BA58" s="72">
        <v>0</v>
      </c>
      <c r="BB58" s="70" t="s">
        <v>67</v>
      </c>
      <c r="BC58" s="70" t="s">
        <v>1044</v>
      </c>
      <c r="BD58" s="70" t="s">
        <v>2935</v>
      </c>
      <c r="BE58" s="70" t="s">
        <v>1021</v>
      </c>
      <c r="BF58" s="70" t="s">
        <v>74</v>
      </c>
      <c r="BG58" s="70" t="s">
        <v>204</v>
      </c>
      <c r="BI58" s="60" t="str">
        <f t="shared" si="1"/>
        <v>Ver en Mapa</v>
      </c>
      <c r="BL58" s="70">
        <v>3</v>
      </c>
      <c r="BM58" s="70">
        <v>3</v>
      </c>
      <c r="BN58" s="70" t="s">
        <v>2847</v>
      </c>
    </row>
    <row r="59" spans="1:66" s="68" customFormat="1" ht="14.4" customHeight="1" x14ac:dyDescent="0.3">
      <c r="A59" s="70" t="str">
        <f>H59</f>
        <v>001084</v>
      </c>
      <c r="B59" s="70" t="s">
        <v>61</v>
      </c>
      <c r="C59" s="70" t="s">
        <v>205</v>
      </c>
      <c r="D59" s="70" t="s">
        <v>215</v>
      </c>
      <c r="E59" s="70" t="s">
        <v>216</v>
      </c>
      <c r="F59" s="70" t="s">
        <v>590</v>
      </c>
      <c r="G59" s="70" t="s">
        <v>2763</v>
      </c>
      <c r="H59" s="70" t="s">
        <v>2297</v>
      </c>
      <c r="I59" s="70" t="s">
        <v>67</v>
      </c>
      <c r="J59" s="70" t="s">
        <v>217</v>
      </c>
      <c r="K59" s="71">
        <v>45537</v>
      </c>
      <c r="L59" s="71">
        <v>45905</v>
      </c>
      <c r="M59" s="72">
        <v>25000</v>
      </c>
      <c r="N59" s="72">
        <v>26335.190000000002</v>
      </c>
      <c r="O59" s="73">
        <v>39</v>
      </c>
      <c r="P59" s="61">
        <f t="shared" si="0"/>
        <v>60</v>
      </c>
      <c r="Q59" s="73">
        <v>12</v>
      </c>
      <c r="R59" s="70" t="s">
        <v>68</v>
      </c>
      <c r="S59" s="72">
        <v>4274.34</v>
      </c>
      <c r="T59" s="72">
        <v>696</v>
      </c>
      <c r="U59" s="72">
        <v>580</v>
      </c>
      <c r="V59" s="72">
        <v>0</v>
      </c>
      <c r="W59" s="72">
        <v>0.5</v>
      </c>
      <c r="X59" s="72">
        <v>2275.06</v>
      </c>
      <c r="Y59" s="72">
        <v>2913.08</v>
      </c>
      <c r="Z59" s="72">
        <v>2275.08</v>
      </c>
      <c r="AA59" s="72">
        <v>0</v>
      </c>
      <c r="AB59" s="72">
        <v>58</v>
      </c>
      <c r="AC59" s="72">
        <v>580</v>
      </c>
      <c r="AD59" s="72">
        <v>2000</v>
      </c>
      <c r="AE59" s="71">
        <v>45924</v>
      </c>
      <c r="AF59" s="70" t="s">
        <v>69</v>
      </c>
      <c r="AG59" s="70" t="s">
        <v>2298</v>
      </c>
      <c r="AH59" s="70" t="s">
        <v>218</v>
      </c>
      <c r="AJ59" s="70" t="s">
        <v>102</v>
      </c>
      <c r="AK59" s="70" t="s">
        <v>1852</v>
      </c>
      <c r="AL59" s="70" t="s">
        <v>219</v>
      </c>
      <c r="AN59" s="70" t="s">
        <v>881</v>
      </c>
      <c r="AO59" s="70" t="s">
        <v>2299</v>
      </c>
      <c r="AP59" s="70" t="s">
        <v>879</v>
      </c>
      <c r="AQ59" s="70" t="s">
        <v>2300</v>
      </c>
      <c r="AR59" s="70" t="s">
        <v>880</v>
      </c>
      <c r="AS59" s="70" t="s">
        <v>2301</v>
      </c>
      <c r="AT59" s="70" t="s">
        <v>122</v>
      </c>
      <c r="AU59" s="68" t="s">
        <v>220</v>
      </c>
      <c r="AV59" s="70" t="s">
        <v>221</v>
      </c>
      <c r="AZ59" s="72">
        <v>2913.06</v>
      </c>
      <c r="BA59" s="72">
        <v>0</v>
      </c>
      <c r="BB59" s="70" t="s">
        <v>67</v>
      </c>
      <c r="BC59" s="70" t="s">
        <v>77</v>
      </c>
      <c r="BD59" s="70" t="s">
        <v>222</v>
      </c>
      <c r="BE59" s="70" t="s">
        <v>223</v>
      </c>
      <c r="BF59" s="70" t="s">
        <v>213</v>
      </c>
      <c r="BG59" s="70" t="s">
        <v>205</v>
      </c>
      <c r="BI59" s="60" t="str">
        <f t="shared" si="1"/>
        <v>Ver en Mapa</v>
      </c>
      <c r="BL59" s="70">
        <v>7</v>
      </c>
      <c r="BM59" s="70">
        <v>4</v>
      </c>
      <c r="BN59" s="70" t="s">
        <v>2847</v>
      </c>
    </row>
    <row r="60" spans="1:66" s="68" customFormat="1" ht="14.4" customHeight="1" x14ac:dyDescent="0.3">
      <c r="A60" s="70" t="str">
        <f>H60</f>
        <v>001423</v>
      </c>
      <c r="B60" s="70" t="s">
        <v>61</v>
      </c>
      <c r="C60" s="70" t="s">
        <v>273</v>
      </c>
      <c r="D60" s="70" t="s">
        <v>408</v>
      </c>
      <c r="E60" s="70" t="s">
        <v>409</v>
      </c>
      <c r="F60" s="70" t="s">
        <v>590</v>
      </c>
      <c r="G60" s="70" t="s">
        <v>2763</v>
      </c>
      <c r="H60" s="70" t="s">
        <v>1523</v>
      </c>
      <c r="I60" s="70" t="s">
        <v>67</v>
      </c>
      <c r="J60" s="70" t="s">
        <v>1216</v>
      </c>
      <c r="K60" s="71">
        <v>45874</v>
      </c>
      <c r="L60" s="71">
        <v>45966</v>
      </c>
      <c r="M60" s="72">
        <v>210000</v>
      </c>
      <c r="N60" s="72">
        <v>210000</v>
      </c>
      <c r="O60" s="73">
        <v>39</v>
      </c>
      <c r="P60" s="61">
        <f t="shared" si="0"/>
        <v>60</v>
      </c>
      <c r="Q60" s="73">
        <v>3</v>
      </c>
      <c r="R60" s="70" t="s">
        <v>68</v>
      </c>
      <c r="S60" s="72">
        <v>18403</v>
      </c>
      <c r="T60" s="72">
        <v>17409</v>
      </c>
      <c r="U60" s="72">
        <v>0</v>
      </c>
      <c r="V60" s="72">
        <v>0</v>
      </c>
      <c r="W60" s="72">
        <v>3</v>
      </c>
      <c r="X60" s="72">
        <v>210000</v>
      </c>
      <c r="Y60" s="72">
        <v>36806</v>
      </c>
      <c r="Z60" s="72">
        <v>0</v>
      </c>
      <c r="AA60" s="72">
        <v>25200</v>
      </c>
      <c r="AB60" s="72">
        <v>11606</v>
      </c>
      <c r="AC60" s="72">
        <v>0</v>
      </c>
      <c r="AF60" s="70" t="s">
        <v>69</v>
      </c>
      <c r="AG60" s="70" t="s">
        <v>1524</v>
      </c>
      <c r="AH60" s="70" t="s">
        <v>1217</v>
      </c>
      <c r="AJ60" s="70" t="s">
        <v>1218</v>
      </c>
      <c r="AK60" s="70" t="s">
        <v>1525</v>
      </c>
      <c r="AL60" s="70" t="s">
        <v>1219</v>
      </c>
      <c r="AM60" s="70" t="s">
        <v>1526</v>
      </c>
      <c r="AN60" s="70" t="s">
        <v>1220</v>
      </c>
      <c r="AO60" s="70" t="s">
        <v>1527</v>
      </c>
      <c r="AZ60" s="72">
        <v>246806</v>
      </c>
      <c r="BA60" s="72">
        <v>0</v>
      </c>
      <c r="BB60" s="70" t="s">
        <v>2549</v>
      </c>
      <c r="BC60" s="70" t="s">
        <v>2550</v>
      </c>
      <c r="BD60" s="70" t="s">
        <v>3052</v>
      </c>
      <c r="BE60" s="70" t="s">
        <v>1221</v>
      </c>
      <c r="BF60" s="70" t="s">
        <v>74</v>
      </c>
      <c r="BG60" s="70" t="s">
        <v>391</v>
      </c>
      <c r="BI60" s="60" t="str">
        <f t="shared" si="1"/>
        <v>Ver en Mapa</v>
      </c>
      <c r="BL60" s="70">
        <v>2</v>
      </c>
      <c r="BM60" s="70">
        <v>2</v>
      </c>
      <c r="BN60" s="70" t="s">
        <v>2847</v>
      </c>
    </row>
    <row r="61" spans="1:66" s="68" customFormat="1" ht="14.4" customHeight="1" x14ac:dyDescent="0.3">
      <c r="A61" s="70" t="str">
        <f>H61</f>
        <v>001340</v>
      </c>
      <c r="B61" s="70" t="s">
        <v>61</v>
      </c>
      <c r="C61" s="70" t="s">
        <v>194</v>
      </c>
      <c r="D61" s="70" t="s">
        <v>588</v>
      </c>
      <c r="E61" s="70" t="s">
        <v>589</v>
      </c>
      <c r="F61" s="70" t="s">
        <v>2800</v>
      </c>
      <c r="G61" s="70" t="s">
        <v>2801</v>
      </c>
      <c r="H61" s="70" t="s">
        <v>2140</v>
      </c>
      <c r="I61" s="70" t="s">
        <v>67</v>
      </c>
      <c r="J61" s="70" t="s">
        <v>642</v>
      </c>
      <c r="K61" s="71">
        <v>45803</v>
      </c>
      <c r="L61" s="71">
        <v>45915</v>
      </c>
      <c r="M61" s="72">
        <v>5000</v>
      </c>
      <c r="N61" s="72">
        <v>5267.04</v>
      </c>
      <c r="O61" s="73">
        <v>36</v>
      </c>
      <c r="P61" s="61">
        <f t="shared" si="0"/>
        <v>60</v>
      </c>
      <c r="Q61" s="73">
        <v>16</v>
      </c>
      <c r="R61" s="70" t="s">
        <v>469</v>
      </c>
      <c r="S61" s="72">
        <v>475.43</v>
      </c>
      <c r="T61" s="72">
        <v>928</v>
      </c>
      <c r="U61" s="72">
        <v>1160</v>
      </c>
      <c r="V61" s="72">
        <v>16</v>
      </c>
      <c r="W61" s="72">
        <v>1.1000000000000001</v>
      </c>
      <c r="X61" s="72">
        <v>358.65000000000003</v>
      </c>
      <c r="Y61" s="72">
        <v>1896.89</v>
      </c>
      <c r="Z61" s="72">
        <v>358.65000000000003</v>
      </c>
      <c r="AA61" s="72">
        <v>88.24</v>
      </c>
      <c r="AB61" s="72">
        <v>290</v>
      </c>
      <c r="AC61" s="72">
        <v>1160</v>
      </c>
      <c r="AD61" s="72">
        <v>438</v>
      </c>
      <c r="AE61" s="71">
        <v>45938</v>
      </c>
      <c r="AF61" s="70" t="s">
        <v>69</v>
      </c>
      <c r="AG61" s="70" t="s">
        <v>2812</v>
      </c>
      <c r="AH61" s="70" t="s">
        <v>643</v>
      </c>
      <c r="AJ61" s="70" t="s">
        <v>644</v>
      </c>
      <c r="AK61" s="70" t="s">
        <v>2141</v>
      </c>
      <c r="AN61" s="70" t="s">
        <v>831</v>
      </c>
      <c r="AO61" s="70" t="s">
        <v>654</v>
      </c>
      <c r="AP61" s="70" t="s">
        <v>832</v>
      </c>
      <c r="AQ61" s="70" t="s">
        <v>654</v>
      </c>
      <c r="AR61" s="70" t="s">
        <v>833</v>
      </c>
      <c r="AS61" s="70" t="s">
        <v>2142</v>
      </c>
      <c r="AZ61" s="72">
        <v>1896.89</v>
      </c>
      <c r="BA61" s="72">
        <v>0</v>
      </c>
      <c r="BB61" s="70" t="s">
        <v>67</v>
      </c>
      <c r="BC61" s="70" t="s">
        <v>1044</v>
      </c>
      <c r="BD61" s="70" t="s">
        <v>2999</v>
      </c>
      <c r="BE61" s="70" t="s">
        <v>645</v>
      </c>
      <c r="BF61" s="70" t="s">
        <v>74</v>
      </c>
      <c r="BG61" s="70" t="s">
        <v>646</v>
      </c>
      <c r="BI61" s="60" t="str">
        <f t="shared" si="1"/>
        <v>Ver en Mapa</v>
      </c>
      <c r="BL61" s="70">
        <v>7</v>
      </c>
      <c r="BM61" s="70">
        <v>6</v>
      </c>
      <c r="BN61" s="70" t="s">
        <v>2847</v>
      </c>
    </row>
    <row r="62" spans="1:66" s="68" customFormat="1" ht="14.4" customHeight="1" x14ac:dyDescent="0.3">
      <c r="A62" s="70" t="str">
        <f>H62</f>
        <v>001473</v>
      </c>
      <c r="B62" s="70" t="s">
        <v>61</v>
      </c>
      <c r="C62" s="70" t="s">
        <v>194</v>
      </c>
      <c r="D62" s="70" t="s">
        <v>588</v>
      </c>
      <c r="E62" s="70" t="s">
        <v>589</v>
      </c>
      <c r="F62" s="70" t="s">
        <v>2800</v>
      </c>
      <c r="G62" s="70" t="s">
        <v>2801</v>
      </c>
      <c r="H62" s="70" t="s">
        <v>2280</v>
      </c>
      <c r="I62" s="70" t="s">
        <v>67</v>
      </c>
      <c r="J62" s="70" t="s">
        <v>1585</v>
      </c>
      <c r="K62" s="71">
        <v>45846</v>
      </c>
      <c r="L62" s="71">
        <v>46211</v>
      </c>
      <c r="M62" s="72">
        <v>10000</v>
      </c>
      <c r="N62" s="72">
        <v>10534.08</v>
      </c>
      <c r="O62" s="73">
        <v>36</v>
      </c>
      <c r="P62" s="61">
        <f t="shared" si="0"/>
        <v>60</v>
      </c>
      <c r="Q62" s="73">
        <v>12</v>
      </c>
      <c r="R62" s="70" t="s">
        <v>68</v>
      </c>
      <c r="S62" s="72">
        <v>1702.69</v>
      </c>
      <c r="T62" s="72">
        <v>696</v>
      </c>
      <c r="U62" s="72">
        <v>1160</v>
      </c>
      <c r="V62" s="72">
        <v>0</v>
      </c>
      <c r="W62" s="72">
        <v>2</v>
      </c>
      <c r="X62" s="72">
        <v>9656.24</v>
      </c>
      <c r="Y62" s="72">
        <v>4564.08</v>
      </c>
      <c r="Z62" s="72">
        <v>1755.68</v>
      </c>
      <c r="AA62" s="72">
        <v>1533.71</v>
      </c>
      <c r="AB62" s="72">
        <v>114.69</v>
      </c>
      <c r="AC62" s="72">
        <v>1160</v>
      </c>
      <c r="AD62" s="72">
        <v>2284</v>
      </c>
      <c r="AE62" s="71">
        <v>45890</v>
      </c>
      <c r="AF62" s="70" t="s">
        <v>69</v>
      </c>
      <c r="AG62" s="70" t="s">
        <v>2281</v>
      </c>
      <c r="AH62" s="70" t="s">
        <v>1586</v>
      </c>
      <c r="AJ62" s="70" t="s">
        <v>1360</v>
      </c>
      <c r="AK62" s="70" t="s">
        <v>1957</v>
      </c>
      <c r="AN62" s="70" t="s">
        <v>1587</v>
      </c>
      <c r="AO62" s="70" t="s">
        <v>2282</v>
      </c>
      <c r="AP62" s="70" t="s">
        <v>1588</v>
      </c>
      <c r="AQ62" s="70" t="s">
        <v>2283</v>
      </c>
      <c r="AR62" s="70" t="s">
        <v>1589</v>
      </c>
      <c r="AS62" s="70" t="s">
        <v>2284</v>
      </c>
      <c r="AZ62" s="72">
        <v>19366.3</v>
      </c>
      <c r="BA62" s="72">
        <v>0</v>
      </c>
      <c r="BB62" s="70" t="s">
        <v>67</v>
      </c>
      <c r="BC62" s="70" t="s">
        <v>1044</v>
      </c>
      <c r="BD62" s="70" t="s">
        <v>3017</v>
      </c>
      <c r="BE62" s="70" t="s">
        <v>550</v>
      </c>
      <c r="BF62" s="70" t="s">
        <v>74</v>
      </c>
      <c r="BG62" s="70" t="s">
        <v>503</v>
      </c>
      <c r="BH62" s="70" t="s">
        <v>1590</v>
      </c>
      <c r="BI62" s="60" t="str">
        <f t="shared" si="1"/>
        <v>Ver en Mapa</v>
      </c>
      <c r="BL62" s="70">
        <v>3</v>
      </c>
      <c r="BM62" s="70">
        <v>3</v>
      </c>
      <c r="BN62" s="70" t="s">
        <v>2847</v>
      </c>
    </row>
    <row r="63" spans="1:66" s="68" customFormat="1" ht="14.4" customHeight="1" x14ac:dyDescent="0.3">
      <c r="A63" s="70" t="str">
        <f>H63</f>
        <v>001300</v>
      </c>
      <c r="B63" s="70" t="s">
        <v>61</v>
      </c>
      <c r="C63" s="70" t="s">
        <v>273</v>
      </c>
      <c r="D63" s="70" t="s">
        <v>408</v>
      </c>
      <c r="E63" s="70" t="s">
        <v>409</v>
      </c>
      <c r="F63" s="70" t="s">
        <v>2785</v>
      </c>
      <c r="G63" s="70" t="s">
        <v>2786</v>
      </c>
      <c r="H63" s="70" t="s">
        <v>1508</v>
      </c>
      <c r="I63" s="70" t="s">
        <v>67</v>
      </c>
      <c r="J63" s="70" t="s">
        <v>542</v>
      </c>
      <c r="K63" s="71">
        <v>45783</v>
      </c>
      <c r="L63" s="71">
        <v>46148</v>
      </c>
      <c r="M63" s="72">
        <v>10000</v>
      </c>
      <c r="N63" s="72">
        <v>10534.08</v>
      </c>
      <c r="O63" s="73">
        <v>36</v>
      </c>
      <c r="P63" s="61">
        <f t="shared" si="0"/>
        <v>60</v>
      </c>
      <c r="Q63" s="73">
        <v>12</v>
      </c>
      <c r="R63" s="70" t="s">
        <v>68</v>
      </c>
      <c r="S63" s="72">
        <v>1702.69</v>
      </c>
      <c r="T63" s="72">
        <v>696</v>
      </c>
      <c r="U63" s="72">
        <v>1160</v>
      </c>
      <c r="V63" s="72">
        <v>0</v>
      </c>
      <c r="W63" s="72">
        <v>1.3</v>
      </c>
      <c r="X63" s="72">
        <v>7490.49</v>
      </c>
      <c r="Y63" s="72">
        <v>3330.46</v>
      </c>
      <c r="Z63" s="72">
        <v>1345.6100000000001</v>
      </c>
      <c r="AA63" s="72">
        <v>766.85</v>
      </c>
      <c r="AB63" s="72">
        <v>58</v>
      </c>
      <c r="AC63" s="72">
        <v>1160</v>
      </c>
      <c r="AD63" s="72">
        <v>1300</v>
      </c>
      <c r="AE63" s="71">
        <v>45937</v>
      </c>
      <c r="AF63" s="70" t="s">
        <v>69</v>
      </c>
      <c r="AG63" s="70" t="s">
        <v>1509</v>
      </c>
      <c r="AH63" s="70" t="s">
        <v>543</v>
      </c>
      <c r="AJ63" s="70" t="s">
        <v>324</v>
      </c>
      <c r="AK63" s="70" t="s">
        <v>325</v>
      </c>
      <c r="AN63" s="70" t="s">
        <v>954</v>
      </c>
      <c r="AO63" s="70" t="s">
        <v>1510</v>
      </c>
      <c r="AP63" s="70" t="s">
        <v>952</v>
      </c>
      <c r="AQ63" s="70" t="s">
        <v>1511</v>
      </c>
      <c r="AR63" s="70" t="s">
        <v>953</v>
      </c>
      <c r="AS63" s="70" t="s">
        <v>1512</v>
      </c>
      <c r="AZ63" s="72">
        <v>14843.300000000001</v>
      </c>
      <c r="BA63" s="72">
        <v>0</v>
      </c>
      <c r="BB63" s="70" t="s">
        <v>67</v>
      </c>
      <c r="BC63" s="70" t="s">
        <v>1044</v>
      </c>
      <c r="BD63" s="70" t="s">
        <v>544</v>
      </c>
      <c r="BE63" s="70" t="s">
        <v>403</v>
      </c>
      <c r="BF63" s="70" t="s">
        <v>74</v>
      </c>
      <c r="BG63" s="70" t="s">
        <v>545</v>
      </c>
      <c r="BI63" s="60" t="str">
        <f t="shared" si="1"/>
        <v>Ver en Mapa</v>
      </c>
      <c r="BL63" s="70">
        <v>5</v>
      </c>
      <c r="BM63" s="70">
        <v>5</v>
      </c>
      <c r="BN63" s="70" t="s">
        <v>2847</v>
      </c>
    </row>
    <row r="64" spans="1:66" s="68" customFormat="1" ht="14.4" customHeight="1" x14ac:dyDescent="0.3">
      <c r="A64" s="70" t="str">
        <f>H64</f>
        <v>001360</v>
      </c>
      <c r="B64" s="70" t="s">
        <v>61</v>
      </c>
      <c r="C64" s="70" t="s">
        <v>62</v>
      </c>
      <c r="D64" s="70" t="s">
        <v>183</v>
      </c>
      <c r="E64" s="70" t="s">
        <v>184</v>
      </c>
      <c r="F64" s="70" t="s">
        <v>2848</v>
      </c>
      <c r="G64" s="70" t="s">
        <v>2849</v>
      </c>
      <c r="H64" s="70" t="s">
        <v>1445</v>
      </c>
      <c r="I64" s="70" t="s">
        <v>67</v>
      </c>
      <c r="J64" s="70" t="s">
        <v>1053</v>
      </c>
      <c r="K64" s="71">
        <v>45811</v>
      </c>
      <c r="L64" s="71">
        <v>45979</v>
      </c>
      <c r="M64" s="72">
        <v>7000</v>
      </c>
      <c r="N64" s="72">
        <v>7373.85</v>
      </c>
      <c r="O64" s="73">
        <v>35</v>
      </c>
      <c r="P64" s="61">
        <f t="shared" si="0"/>
        <v>60</v>
      </c>
      <c r="Q64" s="73">
        <v>12</v>
      </c>
      <c r="R64" s="70" t="s">
        <v>496</v>
      </c>
      <c r="S64" s="72">
        <v>919.56000000000006</v>
      </c>
      <c r="T64" s="72">
        <v>696</v>
      </c>
      <c r="U64" s="72">
        <v>1740.01</v>
      </c>
      <c r="V64" s="72">
        <v>9</v>
      </c>
      <c r="W64" s="72">
        <v>3</v>
      </c>
      <c r="X64" s="72">
        <v>3686.92</v>
      </c>
      <c r="Y64" s="72">
        <v>4498.0475000000006</v>
      </c>
      <c r="Z64" s="72">
        <v>1843.46</v>
      </c>
      <c r="AA64" s="72">
        <v>741.22</v>
      </c>
      <c r="AB64" s="72">
        <v>173.36</v>
      </c>
      <c r="AC64" s="72">
        <v>1740.01</v>
      </c>
      <c r="AD64" s="72">
        <v>1498</v>
      </c>
      <c r="AE64" s="71">
        <v>45908</v>
      </c>
      <c r="AF64" s="70" t="s">
        <v>69</v>
      </c>
      <c r="AG64" s="70" t="s">
        <v>1446</v>
      </c>
      <c r="AH64" s="70" t="s">
        <v>1054</v>
      </c>
      <c r="AJ64" s="70" t="s">
        <v>400</v>
      </c>
      <c r="AK64" s="70" t="s">
        <v>1447</v>
      </c>
      <c r="AN64" s="70" t="s">
        <v>1055</v>
      </c>
      <c r="AO64" s="70" t="s">
        <v>1448</v>
      </c>
      <c r="AP64" s="70" t="s">
        <v>1056</v>
      </c>
      <c r="AQ64" s="70" t="s">
        <v>1449</v>
      </c>
      <c r="AR64" s="70" t="s">
        <v>1057</v>
      </c>
      <c r="AS64" s="70" t="s">
        <v>1450</v>
      </c>
      <c r="AZ64" s="72">
        <v>7082.7300000000005</v>
      </c>
      <c r="BA64" s="72">
        <v>0</v>
      </c>
      <c r="BB64" s="70" t="s">
        <v>67</v>
      </c>
      <c r="BC64" s="70" t="s">
        <v>1044</v>
      </c>
      <c r="BD64" s="70" t="s">
        <v>3019</v>
      </c>
      <c r="BE64" s="70" t="s">
        <v>73</v>
      </c>
      <c r="BF64" s="70" t="s">
        <v>74</v>
      </c>
      <c r="BG64" s="70" t="s">
        <v>75</v>
      </c>
      <c r="BI64" s="60" t="str">
        <f t="shared" si="1"/>
        <v>Ver en Mapa</v>
      </c>
      <c r="BL64" s="70">
        <v>8</v>
      </c>
      <c r="BM64" s="70">
        <v>8</v>
      </c>
      <c r="BN64" s="70" t="s">
        <v>2847</v>
      </c>
    </row>
    <row r="65" spans="1:66" s="68" customFormat="1" ht="14.4" customHeight="1" x14ac:dyDescent="0.3">
      <c r="A65" s="70" t="str">
        <f>H65</f>
        <v>001238</v>
      </c>
      <c r="B65" s="70" t="s">
        <v>61</v>
      </c>
      <c r="C65" s="70" t="s">
        <v>62</v>
      </c>
      <c r="D65" s="70" t="s">
        <v>408</v>
      </c>
      <c r="E65" s="70" t="s">
        <v>409</v>
      </c>
      <c r="F65" s="70" t="s">
        <v>590</v>
      </c>
      <c r="G65" s="70" t="s">
        <v>2763</v>
      </c>
      <c r="H65" s="70" t="s">
        <v>1934</v>
      </c>
      <c r="I65" s="70" t="s">
        <v>67</v>
      </c>
      <c r="J65" s="70" t="s">
        <v>370</v>
      </c>
      <c r="K65" s="71">
        <v>45757</v>
      </c>
      <c r="L65" s="71">
        <v>46122</v>
      </c>
      <c r="M65" s="72">
        <v>15000</v>
      </c>
      <c r="N65" s="72">
        <v>15801.12</v>
      </c>
      <c r="O65" s="73">
        <v>34</v>
      </c>
      <c r="P65" s="61">
        <f t="shared" si="0"/>
        <v>60</v>
      </c>
      <c r="Q65" s="73">
        <v>12</v>
      </c>
      <c r="R65" s="70" t="s">
        <v>68</v>
      </c>
      <c r="S65" s="72">
        <v>2235.0700000000002</v>
      </c>
      <c r="T65" s="72">
        <v>696</v>
      </c>
      <c r="U65" s="72">
        <v>580</v>
      </c>
      <c r="V65" s="72">
        <v>0</v>
      </c>
      <c r="W65" s="72">
        <v>1.3</v>
      </c>
      <c r="X65" s="72">
        <v>9797.3000000000011</v>
      </c>
      <c r="Y65" s="72">
        <v>3395.040876</v>
      </c>
      <c r="Z65" s="72">
        <v>1896.74</v>
      </c>
      <c r="AA65" s="72">
        <v>860.30000000000007</v>
      </c>
      <c r="AB65" s="72">
        <v>58</v>
      </c>
      <c r="AC65" s="72">
        <v>580</v>
      </c>
      <c r="AD65" s="72">
        <v>2235.0700000000002</v>
      </c>
      <c r="AE65" s="71">
        <v>45911</v>
      </c>
      <c r="AF65" s="70" t="s">
        <v>69</v>
      </c>
      <c r="AG65" s="70" t="s">
        <v>1935</v>
      </c>
      <c r="AH65" s="70" t="s">
        <v>371</v>
      </c>
      <c r="AJ65" s="70" t="s">
        <v>100</v>
      </c>
      <c r="AK65" s="70" t="s">
        <v>101</v>
      </c>
      <c r="AL65" s="70" t="s">
        <v>372</v>
      </c>
      <c r="AM65" s="70" t="s">
        <v>1936</v>
      </c>
      <c r="AN65" s="70" t="s">
        <v>772</v>
      </c>
      <c r="AO65" s="70" t="s">
        <v>1937</v>
      </c>
      <c r="AP65" s="70" t="s">
        <v>770</v>
      </c>
      <c r="AQ65" s="70" t="s">
        <v>1938</v>
      </c>
      <c r="AR65" s="70" t="s">
        <v>771</v>
      </c>
      <c r="AS65" s="70" t="s">
        <v>1938</v>
      </c>
      <c r="AT65" s="70" t="s">
        <v>122</v>
      </c>
      <c r="AU65" s="68" t="s">
        <v>373</v>
      </c>
      <c r="AV65" s="70" t="s">
        <v>374</v>
      </c>
      <c r="AZ65" s="72">
        <v>16457.43</v>
      </c>
      <c r="BA65" s="72">
        <v>0</v>
      </c>
      <c r="BB65" s="70" t="s">
        <v>67</v>
      </c>
      <c r="BC65" s="70" t="s">
        <v>1044</v>
      </c>
      <c r="BD65" s="70" t="s">
        <v>2968</v>
      </c>
      <c r="BE65" s="70" t="s">
        <v>172</v>
      </c>
      <c r="BF65" s="70" t="s">
        <v>74</v>
      </c>
      <c r="BG65" s="70" t="s">
        <v>75</v>
      </c>
      <c r="BI65" s="60" t="str">
        <f t="shared" si="1"/>
        <v>Ver en Mapa</v>
      </c>
      <c r="BL65" s="70">
        <v>2</v>
      </c>
      <c r="BM65" s="70">
        <v>2</v>
      </c>
      <c r="BN65" s="70" t="s">
        <v>2847</v>
      </c>
    </row>
    <row r="66" spans="1:66" s="68" customFormat="1" ht="14.4" customHeight="1" x14ac:dyDescent="0.3">
      <c r="A66" s="70" t="str">
        <f>H66</f>
        <v>001333</v>
      </c>
      <c r="B66" s="70" t="s">
        <v>61</v>
      </c>
      <c r="C66" s="70" t="s">
        <v>194</v>
      </c>
      <c r="D66" s="70" t="s">
        <v>594</v>
      </c>
      <c r="E66" s="70" t="s">
        <v>595</v>
      </c>
      <c r="F66" s="70" t="s">
        <v>590</v>
      </c>
      <c r="G66" s="70" t="s">
        <v>2763</v>
      </c>
      <c r="H66" s="70" t="s">
        <v>2153</v>
      </c>
      <c r="I66" s="70" t="s">
        <v>67</v>
      </c>
      <c r="J66" s="70" t="s">
        <v>627</v>
      </c>
      <c r="K66" s="71">
        <v>45799</v>
      </c>
      <c r="L66" s="71">
        <v>45967</v>
      </c>
      <c r="M66" s="72">
        <v>5000</v>
      </c>
      <c r="N66" s="72">
        <v>5267.04</v>
      </c>
      <c r="O66" s="73">
        <v>33</v>
      </c>
      <c r="P66" s="61">
        <f t="shared" si="0"/>
        <v>60</v>
      </c>
      <c r="Q66" s="73">
        <v>12</v>
      </c>
      <c r="R66" s="70" t="s">
        <v>496</v>
      </c>
      <c r="S66" s="72">
        <v>673.4</v>
      </c>
      <c r="T66" s="72">
        <v>696</v>
      </c>
      <c r="U66" s="72">
        <v>1740</v>
      </c>
      <c r="V66" s="72">
        <v>10</v>
      </c>
      <c r="W66" s="72">
        <v>3</v>
      </c>
      <c r="X66" s="72">
        <v>2194.6</v>
      </c>
      <c r="Y66" s="72">
        <v>3750.01</v>
      </c>
      <c r="Z66" s="72">
        <v>1316.76</v>
      </c>
      <c r="AA66" s="72">
        <v>529.44000000000005</v>
      </c>
      <c r="AB66" s="72">
        <v>163.81</v>
      </c>
      <c r="AC66" s="72">
        <v>1740</v>
      </c>
      <c r="AD66" s="72">
        <v>675</v>
      </c>
      <c r="AE66" s="71">
        <v>45897</v>
      </c>
      <c r="AF66" s="70" t="s">
        <v>69</v>
      </c>
      <c r="AG66" s="70" t="s">
        <v>2154</v>
      </c>
      <c r="AH66" s="70" t="s">
        <v>628</v>
      </c>
      <c r="AJ66" s="70" t="s">
        <v>86</v>
      </c>
      <c r="AK66" s="70" t="s">
        <v>87</v>
      </c>
      <c r="AN66" s="70" t="s">
        <v>840</v>
      </c>
      <c r="AO66" s="70" t="s">
        <v>2155</v>
      </c>
      <c r="AP66" s="70" t="s">
        <v>838</v>
      </c>
      <c r="AQ66" s="70" t="s">
        <v>2156</v>
      </c>
      <c r="AR66" s="70" t="s">
        <v>839</v>
      </c>
      <c r="AS66" s="70" t="s">
        <v>2157</v>
      </c>
      <c r="AZ66" s="72">
        <v>4980.8100000000004</v>
      </c>
      <c r="BA66" s="72">
        <v>0</v>
      </c>
      <c r="BB66" s="70" t="s">
        <v>67</v>
      </c>
      <c r="BC66" s="70" t="s">
        <v>1044</v>
      </c>
      <c r="BD66" s="70" t="s">
        <v>2885</v>
      </c>
      <c r="BE66" s="70" t="s">
        <v>251</v>
      </c>
      <c r="BF66" s="70" t="s">
        <v>74</v>
      </c>
      <c r="BG66" s="70" t="s">
        <v>194</v>
      </c>
      <c r="BI66" s="60" t="str">
        <f t="shared" si="1"/>
        <v>Ver en Mapa</v>
      </c>
      <c r="BL66" s="70">
        <v>3</v>
      </c>
      <c r="BM66" s="70">
        <v>3</v>
      </c>
      <c r="BN66" s="70" t="s">
        <v>2847</v>
      </c>
    </row>
    <row r="67" spans="1:66" s="68" customFormat="1" ht="14.4" customHeight="1" x14ac:dyDescent="0.3">
      <c r="A67" s="70" t="str">
        <f>H67</f>
        <v>001482</v>
      </c>
      <c r="B67" s="70" t="s">
        <v>61</v>
      </c>
      <c r="C67" s="70" t="s">
        <v>194</v>
      </c>
      <c r="D67" s="70" t="s">
        <v>588</v>
      </c>
      <c r="E67" s="70" t="s">
        <v>589</v>
      </c>
      <c r="F67" s="70" t="s">
        <v>2800</v>
      </c>
      <c r="G67" s="70" t="s">
        <v>2801</v>
      </c>
      <c r="H67" s="70" t="s">
        <v>2249</v>
      </c>
      <c r="I67" s="70" t="s">
        <v>67</v>
      </c>
      <c r="J67" s="70" t="s">
        <v>1682</v>
      </c>
      <c r="K67" s="71">
        <v>45855</v>
      </c>
      <c r="L67" s="71">
        <v>46023</v>
      </c>
      <c r="M67" s="72">
        <v>5000</v>
      </c>
      <c r="N67" s="72">
        <v>5267.04</v>
      </c>
      <c r="O67" s="73">
        <v>33</v>
      </c>
      <c r="P67" s="61">
        <f t="shared" si="0"/>
        <v>60</v>
      </c>
      <c r="Q67" s="73">
        <v>24</v>
      </c>
      <c r="R67" s="70" t="s">
        <v>469</v>
      </c>
      <c r="S67" s="72">
        <v>365.7</v>
      </c>
      <c r="T67" s="72">
        <v>1392</v>
      </c>
      <c r="U67" s="72">
        <v>2421.2600000000002</v>
      </c>
      <c r="V67" s="72">
        <v>12</v>
      </c>
      <c r="W67" s="72">
        <v>5</v>
      </c>
      <c r="X67" s="72">
        <v>3730.82</v>
      </c>
      <c r="Y67" s="72">
        <v>4191.7700000000004</v>
      </c>
      <c r="Z67" s="72">
        <v>1097.3</v>
      </c>
      <c r="AA67" s="72">
        <v>441.21000000000004</v>
      </c>
      <c r="AB67" s="72">
        <v>232</v>
      </c>
      <c r="AC67" s="72">
        <v>2421.2600000000002</v>
      </c>
      <c r="AD67" s="72">
        <v>370</v>
      </c>
      <c r="AE67" s="71">
        <v>45939</v>
      </c>
      <c r="AF67" s="70" t="s">
        <v>69</v>
      </c>
      <c r="AG67" s="70" t="s">
        <v>2250</v>
      </c>
      <c r="AH67" s="70" t="s">
        <v>1683</v>
      </c>
      <c r="AJ67" s="70" t="s">
        <v>1684</v>
      </c>
      <c r="AK67" s="70" t="s">
        <v>2251</v>
      </c>
      <c r="AL67" s="70" t="s">
        <v>1685</v>
      </c>
      <c r="AN67" s="70" t="s">
        <v>1686</v>
      </c>
      <c r="AO67" s="70" t="s">
        <v>2252</v>
      </c>
      <c r="AP67" s="70" t="s">
        <v>1687</v>
      </c>
      <c r="AQ67" s="70" t="s">
        <v>2253</v>
      </c>
      <c r="AR67" s="70" t="s">
        <v>1688</v>
      </c>
      <c r="AS67" s="70" t="s">
        <v>2254</v>
      </c>
      <c r="AZ67" s="72">
        <v>7884.17</v>
      </c>
      <c r="BA67" s="72">
        <v>0</v>
      </c>
      <c r="BB67" s="70" t="s">
        <v>67</v>
      </c>
      <c r="BC67" s="70" t="s">
        <v>1044</v>
      </c>
      <c r="BD67" s="70" t="s">
        <v>2962</v>
      </c>
      <c r="BE67" s="70" t="s">
        <v>503</v>
      </c>
      <c r="BF67" s="70" t="s">
        <v>74</v>
      </c>
      <c r="BG67" s="70" t="s">
        <v>503</v>
      </c>
      <c r="BH67" s="70" t="s">
        <v>1689</v>
      </c>
      <c r="BI67" s="60" t="str">
        <f t="shared" si="1"/>
        <v>Ver en Mapa</v>
      </c>
      <c r="BL67" s="70">
        <v>11</v>
      </c>
      <c r="BM67" s="70">
        <v>9</v>
      </c>
      <c r="BN67" s="70" t="s">
        <v>2847</v>
      </c>
    </row>
    <row r="68" spans="1:66" s="68" customFormat="1" ht="14.4" customHeight="1" x14ac:dyDescent="0.3">
      <c r="A68" s="70" t="str">
        <f>H68</f>
        <v>001247</v>
      </c>
      <c r="B68" s="70" t="s">
        <v>61</v>
      </c>
      <c r="C68" s="70" t="s">
        <v>62</v>
      </c>
      <c r="D68" s="70" t="s">
        <v>408</v>
      </c>
      <c r="E68" s="70" t="s">
        <v>409</v>
      </c>
      <c r="F68" s="70" t="s">
        <v>590</v>
      </c>
      <c r="G68" s="70" t="s">
        <v>2763</v>
      </c>
      <c r="H68" s="70" t="s">
        <v>1921</v>
      </c>
      <c r="I68" s="70" t="s">
        <v>67</v>
      </c>
      <c r="J68" s="70" t="s">
        <v>366</v>
      </c>
      <c r="K68" s="71">
        <v>45761</v>
      </c>
      <c r="L68" s="71">
        <v>46126</v>
      </c>
      <c r="M68" s="72">
        <v>35000</v>
      </c>
      <c r="N68" s="72">
        <v>36869.270000000004</v>
      </c>
      <c r="O68" s="73">
        <v>29</v>
      </c>
      <c r="P68" s="61">
        <f t="shared" si="0"/>
        <v>30</v>
      </c>
      <c r="Q68" s="73">
        <v>12</v>
      </c>
      <c r="R68" s="70" t="s">
        <v>68</v>
      </c>
      <c r="S68" s="72">
        <v>5137.82</v>
      </c>
      <c r="T68" s="72">
        <v>696</v>
      </c>
      <c r="U68" s="72">
        <v>0</v>
      </c>
      <c r="V68" s="72">
        <v>0</v>
      </c>
      <c r="W68" s="72">
        <v>1.1000000000000001</v>
      </c>
      <c r="X68" s="72">
        <v>22084.7</v>
      </c>
      <c r="Y68" s="72">
        <v>5715.4450000000006</v>
      </c>
      <c r="Z68" s="72">
        <v>3650.07</v>
      </c>
      <c r="AA68" s="72">
        <v>2007.38</v>
      </c>
      <c r="AB68" s="72">
        <v>58</v>
      </c>
      <c r="AC68" s="72">
        <v>0</v>
      </c>
      <c r="AD68" s="72">
        <v>5137.82</v>
      </c>
      <c r="AE68" s="71">
        <v>45919</v>
      </c>
      <c r="AF68" s="70" t="s">
        <v>69</v>
      </c>
      <c r="AG68" s="70" t="s">
        <v>1922</v>
      </c>
      <c r="AH68" s="70" t="s">
        <v>507</v>
      </c>
      <c r="AJ68" s="70" t="s">
        <v>508</v>
      </c>
      <c r="AK68" s="70" t="s">
        <v>1923</v>
      </c>
      <c r="AL68" s="70" t="s">
        <v>367</v>
      </c>
      <c r="AM68" s="70" t="s">
        <v>1922</v>
      </c>
      <c r="AN68" s="70" t="s">
        <v>763</v>
      </c>
      <c r="AO68" s="70" t="s">
        <v>1924</v>
      </c>
      <c r="AP68" s="70" t="s">
        <v>761</v>
      </c>
      <c r="AQ68" s="70" t="s">
        <v>1925</v>
      </c>
      <c r="AR68" s="70" t="s">
        <v>762</v>
      </c>
      <c r="AS68" s="70" t="s">
        <v>1926</v>
      </c>
      <c r="AT68" s="70" t="s">
        <v>122</v>
      </c>
      <c r="AU68" s="68" t="s">
        <v>368</v>
      </c>
      <c r="AV68" s="70" t="s">
        <v>369</v>
      </c>
      <c r="AZ68" s="72">
        <v>36194.35</v>
      </c>
      <c r="BA68" s="72">
        <v>0</v>
      </c>
      <c r="BB68" s="70" t="s">
        <v>67</v>
      </c>
      <c r="BC68" s="70" t="s">
        <v>1044</v>
      </c>
      <c r="BD68" s="70" t="s">
        <v>3021</v>
      </c>
      <c r="BE68" s="70" t="s">
        <v>341</v>
      </c>
      <c r="BF68" s="70" t="s">
        <v>74</v>
      </c>
      <c r="BG68" s="70" t="s">
        <v>75</v>
      </c>
      <c r="BI68" s="60" t="str">
        <f t="shared" si="1"/>
        <v>Ver en Mapa</v>
      </c>
      <c r="BL68" s="70">
        <v>3</v>
      </c>
      <c r="BM68" s="70">
        <v>2</v>
      </c>
      <c r="BN68" s="70" t="s">
        <v>2847</v>
      </c>
    </row>
    <row r="69" spans="1:66" s="68" customFormat="1" ht="14.4" customHeight="1" x14ac:dyDescent="0.3">
      <c r="A69" s="70" t="str">
        <f>H69</f>
        <v>001747</v>
      </c>
      <c r="B69" s="70" t="s">
        <v>61</v>
      </c>
      <c r="C69" s="70" t="s">
        <v>194</v>
      </c>
      <c r="D69" s="70" t="s">
        <v>588</v>
      </c>
      <c r="E69" s="70" t="s">
        <v>589</v>
      </c>
      <c r="F69" s="70" t="s">
        <v>590</v>
      </c>
      <c r="G69" s="70" t="s">
        <v>2763</v>
      </c>
      <c r="H69" s="70" t="s">
        <v>2743</v>
      </c>
      <c r="I69" s="70" t="s">
        <v>67</v>
      </c>
      <c r="J69" s="70" t="s">
        <v>2744</v>
      </c>
      <c r="K69" s="71">
        <v>45883</v>
      </c>
      <c r="L69" s="71">
        <v>46248</v>
      </c>
      <c r="M69" s="72">
        <v>20000</v>
      </c>
      <c r="N69" s="72">
        <v>21068.16</v>
      </c>
      <c r="O69" s="73">
        <v>29</v>
      </c>
      <c r="P69" s="61">
        <f t="shared" si="0"/>
        <v>30</v>
      </c>
      <c r="Q69" s="73">
        <v>12</v>
      </c>
      <c r="R69" s="70" t="s">
        <v>68</v>
      </c>
      <c r="S69" s="72">
        <v>3347.38</v>
      </c>
      <c r="T69" s="72">
        <v>696</v>
      </c>
      <c r="U69" s="72">
        <v>0</v>
      </c>
      <c r="V69" s="72">
        <v>0</v>
      </c>
      <c r="W69" s="72">
        <v>1</v>
      </c>
      <c r="X69" s="72">
        <v>19389.86</v>
      </c>
      <c r="Y69" s="72">
        <v>3424.77</v>
      </c>
      <c r="Z69" s="72">
        <v>1833.06</v>
      </c>
      <c r="AA69" s="72">
        <v>1533.71</v>
      </c>
      <c r="AB69" s="72">
        <v>58</v>
      </c>
      <c r="AC69" s="72">
        <v>0</v>
      </c>
      <c r="AD69" s="72">
        <v>3850</v>
      </c>
      <c r="AE69" s="71">
        <v>45924</v>
      </c>
      <c r="AF69" s="70" t="s">
        <v>69</v>
      </c>
      <c r="AG69" s="70" t="s">
        <v>2745</v>
      </c>
      <c r="AH69" s="70" t="s">
        <v>2746</v>
      </c>
      <c r="AJ69" s="70" t="s">
        <v>393</v>
      </c>
      <c r="AK69" s="70" t="s">
        <v>394</v>
      </c>
      <c r="AL69" s="70" t="s">
        <v>2747</v>
      </c>
      <c r="AN69" s="70" t="s">
        <v>2748</v>
      </c>
      <c r="AO69" s="70" t="s">
        <v>2749</v>
      </c>
      <c r="AP69" s="70" t="s">
        <v>2750</v>
      </c>
      <c r="AQ69" s="70" t="s">
        <v>2751</v>
      </c>
      <c r="AR69" s="70" t="s">
        <v>2752</v>
      </c>
      <c r="AS69" s="70" t="s">
        <v>2753</v>
      </c>
      <c r="AZ69" s="72">
        <v>36318.6</v>
      </c>
      <c r="BA69" s="72">
        <v>0</v>
      </c>
      <c r="BB69" s="70" t="s">
        <v>67</v>
      </c>
      <c r="BC69" s="70" t="s">
        <v>1044</v>
      </c>
      <c r="BD69" s="70" t="s">
        <v>2870</v>
      </c>
      <c r="BE69" s="70" t="s">
        <v>2754</v>
      </c>
      <c r="BF69" s="70" t="s">
        <v>74</v>
      </c>
      <c r="BG69" s="70" t="s">
        <v>503</v>
      </c>
      <c r="BH69" s="70" t="s">
        <v>2755</v>
      </c>
      <c r="BI69" s="60" t="str">
        <f t="shared" si="1"/>
        <v>Ver en Mapa</v>
      </c>
      <c r="BL69" s="70">
        <v>2</v>
      </c>
      <c r="BM69" s="70">
        <v>2</v>
      </c>
      <c r="BN69" s="70" t="s">
        <v>2847</v>
      </c>
    </row>
    <row r="70" spans="1:66" s="68" customFormat="1" ht="14.4" customHeight="1" x14ac:dyDescent="0.3">
      <c r="A70" s="70" t="str">
        <f>H70</f>
        <v>001540</v>
      </c>
      <c r="B70" s="70" t="s">
        <v>61</v>
      </c>
      <c r="C70" s="70" t="s">
        <v>194</v>
      </c>
      <c r="D70" s="70" t="s">
        <v>594</v>
      </c>
      <c r="E70" s="70" t="s">
        <v>595</v>
      </c>
      <c r="F70" s="70" t="s">
        <v>2800</v>
      </c>
      <c r="G70" s="70" t="s">
        <v>2801</v>
      </c>
      <c r="H70" s="70" t="s">
        <v>2163</v>
      </c>
      <c r="I70" s="70" t="s">
        <v>67</v>
      </c>
      <c r="J70" s="70" t="s">
        <v>1624</v>
      </c>
      <c r="K70" s="71">
        <v>45853</v>
      </c>
      <c r="L70" s="71">
        <v>46218</v>
      </c>
      <c r="M70" s="72">
        <v>10000</v>
      </c>
      <c r="N70" s="72">
        <v>10534.08</v>
      </c>
      <c r="O70" s="73">
        <v>29</v>
      </c>
      <c r="P70" s="61">
        <f t="shared" si="0"/>
        <v>30</v>
      </c>
      <c r="Q70" s="73">
        <v>12</v>
      </c>
      <c r="R70" s="70" t="s">
        <v>68</v>
      </c>
      <c r="S70" s="72">
        <v>1702.69</v>
      </c>
      <c r="T70" s="72">
        <v>696</v>
      </c>
      <c r="U70" s="72">
        <v>580</v>
      </c>
      <c r="V70" s="72">
        <v>0</v>
      </c>
      <c r="W70" s="72">
        <v>1</v>
      </c>
      <c r="X70" s="72">
        <v>9656.24</v>
      </c>
      <c r="Y70" s="72">
        <v>2265.3835253333327</v>
      </c>
      <c r="Z70" s="72">
        <v>877.84</v>
      </c>
      <c r="AA70" s="72">
        <v>766.85</v>
      </c>
      <c r="AB70" s="72">
        <v>40.69</v>
      </c>
      <c r="AC70" s="72">
        <v>580</v>
      </c>
      <c r="AD70" s="72">
        <v>600</v>
      </c>
      <c r="AE70" s="71">
        <v>45890</v>
      </c>
      <c r="AF70" s="70" t="s">
        <v>69</v>
      </c>
      <c r="AG70" s="70" t="s">
        <v>2164</v>
      </c>
      <c r="AH70" s="70" t="s">
        <v>1625</v>
      </c>
      <c r="AJ70" s="70" t="s">
        <v>684</v>
      </c>
      <c r="AK70" s="70" t="s">
        <v>1471</v>
      </c>
      <c r="AL70" s="70" t="s">
        <v>1626</v>
      </c>
      <c r="AN70" s="70" t="s">
        <v>1627</v>
      </c>
      <c r="AO70" s="70" t="s">
        <v>2165</v>
      </c>
      <c r="AP70" s="70" t="s">
        <v>1628</v>
      </c>
      <c r="AQ70" s="70" t="s">
        <v>2166</v>
      </c>
      <c r="AR70" s="70" t="s">
        <v>1629</v>
      </c>
      <c r="AS70" s="70" t="s">
        <v>2167</v>
      </c>
      <c r="AZ70" s="72">
        <v>18712.3</v>
      </c>
      <c r="BA70" s="72">
        <v>0</v>
      </c>
      <c r="BB70" s="70" t="s">
        <v>67</v>
      </c>
      <c r="BC70" s="70" t="s">
        <v>1044</v>
      </c>
      <c r="BD70" s="70" t="s">
        <v>2959</v>
      </c>
      <c r="BE70" s="70" t="s">
        <v>1630</v>
      </c>
      <c r="BF70" s="70" t="s">
        <v>74</v>
      </c>
      <c r="BG70" s="70" t="s">
        <v>194</v>
      </c>
      <c r="BH70" s="70" t="s">
        <v>1631</v>
      </c>
      <c r="BI70" s="60" t="str">
        <f t="shared" si="1"/>
        <v>Ver en Mapa</v>
      </c>
      <c r="BL70" s="70">
        <v>2</v>
      </c>
      <c r="BM70" s="70">
        <v>2</v>
      </c>
      <c r="BN70" s="70" t="s">
        <v>2847</v>
      </c>
    </row>
    <row r="71" spans="1:66" s="68" customFormat="1" ht="14.4" customHeight="1" x14ac:dyDescent="0.3">
      <c r="A71" s="70" t="str">
        <f>H71</f>
        <v>001765</v>
      </c>
      <c r="B71" s="70" t="s">
        <v>61</v>
      </c>
      <c r="C71" s="70" t="s">
        <v>194</v>
      </c>
      <c r="D71" s="70" t="s">
        <v>588</v>
      </c>
      <c r="E71" s="70" t="s">
        <v>589</v>
      </c>
      <c r="F71" s="70" t="s">
        <v>2800</v>
      </c>
      <c r="G71" s="70" t="s">
        <v>2801</v>
      </c>
      <c r="H71" s="70" t="s">
        <v>2716</v>
      </c>
      <c r="I71" s="70" t="s">
        <v>67</v>
      </c>
      <c r="J71" s="70" t="s">
        <v>2717</v>
      </c>
      <c r="K71" s="71">
        <v>45883</v>
      </c>
      <c r="L71" s="71">
        <v>46067</v>
      </c>
      <c r="M71" s="72">
        <v>10000</v>
      </c>
      <c r="N71" s="72">
        <v>10534.08</v>
      </c>
      <c r="O71" s="73">
        <v>29</v>
      </c>
      <c r="P71" s="61">
        <f t="shared" si="0"/>
        <v>30</v>
      </c>
      <c r="Q71" s="73">
        <v>6</v>
      </c>
      <c r="R71" s="70" t="s">
        <v>68</v>
      </c>
      <c r="S71" s="72">
        <v>2586.83</v>
      </c>
      <c r="T71" s="72">
        <v>348</v>
      </c>
      <c r="U71" s="72">
        <v>580</v>
      </c>
      <c r="V71" s="72">
        <v>0</v>
      </c>
      <c r="W71" s="72">
        <v>2</v>
      </c>
      <c r="X71" s="72">
        <v>10534.08</v>
      </c>
      <c r="Y71" s="72">
        <v>5753.67</v>
      </c>
      <c r="Z71" s="72">
        <v>3511.36</v>
      </c>
      <c r="AA71" s="72">
        <v>1546.31</v>
      </c>
      <c r="AB71" s="72">
        <v>116</v>
      </c>
      <c r="AC71" s="72">
        <v>580</v>
      </c>
      <c r="AF71" s="70" t="s">
        <v>69</v>
      </c>
      <c r="AG71" s="70" t="s">
        <v>2718</v>
      </c>
      <c r="AH71" s="70" t="s">
        <v>2719</v>
      </c>
      <c r="AJ71" s="70" t="s">
        <v>393</v>
      </c>
      <c r="AK71" s="70" t="s">
        <v>394</v>
      </c>
      <c r="AL71" s="70" t="s">
        <v>2720</v>
      </c>
      <c r="AN71" s="70" t="s">
        <v>2721</v>
      </c>
      <c r="AO71" s="70" t="s">
        <v>2722</v>
      </c>
      <c r="AP71" s="70" t="s">
        <v>2723</v>
      </c>
      <c r="AQ71" s="70" t="s">
        <v>2724</v>
      </c>
      <c r="AR71" s="70" t="s">
        <v>2725</v>
      </c>
      <c r="AS71" s="70" t="s">
        <v>2726</v>
      </c>
      <c r="AZ71" s="72">
        <v>15869.01</v>
      </c>
      <c r="BA71" s="72">
        <v>0</v>
      </c>
      <c r="BB71" s="70" t="s">
        <v>67</v>
      </c>
      <c r="BC71" s="70" t="s">
        <v>1044</v>
      </c>
      <c r="BD71" s="70" t="s">
        <v>2727</v>
      </c>
      <c r="BE71" s="70" t="s">
        <v>2728</v>
      </c>
      <c r="BF71" s="70" t="s">
        <v>74</v>
      </c>
      <c r="BG71" s="70" t="s">
        <v>194</v>
      </c>
      <c r="BH71" s="70" t="s">
        <v>2729</v>
      </c>
      <c r="BI71" s="60" t="str">
        <f t="shared" si="1"/>
        <v>Ver en Mapa</v>
      </c>
      <c r="BL71" s="70">
        <v>2</v>
      </c>
      <c r="BM71" s="70">
        <v>2</v>
      </c>
      <c r="BN71" s="70" t="s">
        <v>2847</v>
      </c>
    </row>
    <row r="72" spans="1:66" s="68" customFormat="1" ht="14.4" customHeight="1" x14ac:dyDescent="0.3">
      <c r="A72" s="70" t="str">
        <f>H72</f>
        <v>001400</v>
      </c>
      <c r="B72" s="70" t="s">
        <v>61</v>
      </c>
      <c r="C72" s="70" t="s">
        <v>273</v>
      </c>
      <c r="D72" s="70" t="s">
        <v>1522</v>
      </c>
      <c r="E72" s="70" t="s">
        <v>614</v>
      </c>
      <c r="F72" s="70" t="s">
        <v>2785</v>
      </c>
      <c r="G72" s="70" t="s">
        <v>2786</v>
      </c>
      <c r="H72" s="70" t="s">
        <v>2476</v>
      </c>
      <c r="I72" s="70" t="s">
        <v>67</v>
      </c>
      <c r="J72" s="70" t="s">
        <v>1166</v>
      </c>
      <c r="K72" s="71">
        <v>45821</v>
      </c>
      <c r="L72" s="71">
        <v>46004</v>
      </c>
      <c r="M72" s="72">
        <v>5000</v>
      </c>
      <c r="N72" s="72">
        <v>5267.04</v>
      </c>
      <c r="O72" s="73">
        <v>29</v>
      </c>
      <c r="P72" s="61">
        <f t="shared" ref="P72:P121" si="2">IF(O72=0,"NO MORA",
 IF(AND(O72&gt;0,O72&lt;=7),7,
 IF(AND(O72&gt;7,O72&lt;=15),15,
 IF(AND(O72&gt;15,O72&lt;=30),30,
 IF(AND(O72&gt;30,O72&lt;=60),60,
 IF(AND(O72&gt;60,O72&lt;=90),90,
 IF(O72&gt;90,"&gt;90","")))))))</f>
        <v>30</v>
      </c>
      <c r="Q72" s="73">
        <v>6</v>
      </c>
      <c r="R72" s="70" t="s">
        <v>68</v>
      </c>
      <c r="S72" s="72">
        <v>1320.32</v>
      </c>
      <c r="T72" s="72">
        <v>348</v>
      </c>
      <c r="U72" s="72">
        <v>580</v>
      </c>
      <c r="V72" s="72">
        <v>0</v>
      </c>
      <c r="W72" s="72">
        <v>1.5</v>
      </c>
      <c r="X72" s="72">
        <v>3213.51</v>
      </c>
      <c r="Y72" s="72">
        <v>2480.31</v>
      </c>
      <c r="Z72" s="72">
        <v>1457.83</v>
      </c>
      <c r="AA72" s="72">
        <v>384.48</v>
      </c>
      <c r="AB72" s="72">
        <v>58</v>
      </c>
      <c r="AC72" s="72">
        <v>580</v>
      </c>
      <c r="AD72" s="72">
        <v>1320.32</v>
      </c>
      <c r="AE72" s="71">
        <v>45940</v>
      </c>
      <c r="AF72" s="70" t="s">
        <v>69</v>
      </c>
      <c r="AG72" s="70" t="s">
        <v>2477</v>
      </c>
      <c r="AH72" s="70" t="s">
        <v>1167</v>
      </c>
      <c r="AJ72" s="70" t="s">
        <v>192</v>
      </c>
      <c r="AK72" s="70" t="s">
        <v>193</v>
      </c>
      <c r="AL72" s="70" t="s">
        <v>1168</v>
      </c>
      <c r="AN72" s="70" t="s">
        <v>1169</v>
      </c>
      <c r="AO72" s="70" t="s">
        <v>2478</v>
      </c>
      <c r="AP72" s="70" t="s">
        <v>1170</v>
      </c>
      <c r="AQ72" s="70" t="s">
        <v>2479</v>
      </c>
      <c r="AR72" s="70" t="s">
        <v>1171</v>
      </c>
      <c r="AS72" s="70" t="s">
        <v>2480</v>
      </c>
      <c r="AZ72" s="72">
        <v>5004.9400000000005</v>
      </c>
      <c r="BA72" s="72">
        <v>0</v>
      </c>
      <c r="BB72" s="70" t="s">
        <v>67</v>
      </c>
      <c r="BC72" s="70" t="s">
        <v>1044</v>
      </c>
      <c r="BD72" s="70" t="s">
        <v>1172</v>
      </c>
      <c r="BE72" s="70" t="s">
        <v>687</v>
      </c>
      <c r="BF72" s="70" t="s">
        <v>74</v>
      </c>
      <c r="BG72" s="70" t="s">
        <v>273</v>
      </c>
      <c r="BH72" s="70" t="s">
        <v>1173</v>
      </c>
      <c r="BI72" s="60" t="str">
        <f t="shared" ref="BI72:BI121" si="3">HYPERLINK("https://www.google.com/maps/search/?api=1&amp;query=" &amp; SUBSTITUTE(SUBSTITUTE(BH72, "°", "%20"), """", ""), "Ver en Mapa")</f>
        <v>Ver en Mapa</v>
      </c>
      <c r="BL72" s="70">
        <v>2</v>
      </c>
      <c r="BM72" s="70">
        <v>2</v>
      </c>
      <c r="BN72" s="70" t="s">
        <v>2847</v>
      </c>
    </row>
    <row r="73" spans="1:66" s="68" customFormat="1" ht="14.4" customHeight="1" x14ac:dyDescent="0.3">
      <c r="A73" s="70" t="str">
        <f>H73</f>
        <v>001439</v>
      </c>
      <c r="B73" s="70" t="s">
        <v>61</v>
      </c>
      <c r="C73" s="70" t="s">
        <v>194</v>
      </c>
      <c r="D73" s="70" t="s">
        <v>594</v>
      </c>
      <c r="E73" s="70" t="s">
        <v>595</v>
      </c>
      <c r="F73" s="70" t="s">
        <v>2800</v>
      </c>
      <c r="G73" s="70" t="s">
        <v>2801</v>
      </c>
      <c r="H73" s="70" t="s">
        <v>2179</v>
      </c>
      <c r="I73" s="70" t="s">
        <v>67</v>
      </c>
      <c r="J73" s="70" t="s">
        <v>1335</v>
      </c>
      <c r="K73" s="71">
        <v>45832</v>
      </c>
      <c r="L73" s="71">
        <v>46000</v>
      </c>
      <c r="M73" s="72">
        <v>8000</v>
      </c>
      <c r="N73" s="72">
        <v>8427.26</v>
      </c>
      <c r="O73" s="73">
        <v>27</v>
      </c>
      <c r="P73" s="61">
        <f t="shared" si="2"/>
        <v>30</v>
      </c>
      <c r="Q73" s="73">
        <v>12</v>
      </c>
      <c r="R73" s="70" t="s">
        <v>496</v>
      </c>
      <c r="S73" s="72">
        <v>1042.6400000000001</v>
      </c>
      <c r="T73" s="72">
        <v>696</v>
      </c>
      <c r="U73" s="72">
        <v>1160</v>
      </c>
      <c r="V73" s="72">
        <v>8</v>
      </c>
      <c r="W73" s="72">
        <v>3</v>
      </c>
      <c r="X73" s="72">
        <v>4915.9000000000005</v>
      </c>
      <c r="Y73" s="72">
        <v>4251.1333000000004</v>
      </c>
      <c r="Z73" s="72">
        <v>2106.81</v>
      </c>
      <c r="AA73" s="72">
        <v>847.11</v>
      </c>
      <c r="AB73" s="72">
        <v>137.21</v>
      </c>
      <c r="AC73" s="72">
        <v>1160</v>
      </c>
      <c r="AD73" s="72">
        <v>1650</v>
      </c>
      <c r="AE73" s="71">
        <v>45905</v>
      </c>
      <c r="AF73" s="70" t="s">
        <v>69</v>
      </c>
      <c r="AG73" s="70" t="s">
        <v>2180</v>
      </c>
      <c r="AH73" s="70" t="s">
        <v>1336</v>
      </c>
      <c r="AJ73" s="70" t="s">
        <v>283</v>
      </c>
      <c r="AK73" s="70" t="s">
        <v>284</v>
      </c>
      <c r="AL73" s="70" t="s">
        <v>1337</v>
      </c>
      <c r="AN73" s="70" t="s">
        <v>1338</v>
      </c>
      <c r="AO73" s="70" t="s">
        <v>2181</v>
      </c>
      <c r="AP73" s="70" t="s">
        <v>1339</v>
      </c>
      <c r="AQ73" s="70" t="s">
        <v>2182</v>
      </c>
      <c r="AR73" s="70" t="s">
        <v>1340</v>
      </c>
      <c r="AS73" s="70" t="s">
        <v>2183</v>
      </c>
      <c r="AZ73" s="72">
        <v>8189.6900000000005</v>
      </c>
      <c r="BA73" s="72">
        <v>0</v>
      </c>
      <c r="BB73" s="70" t="s">
        <v>67</v>
      </c>
      <c r="BC73" s="70" t="s">
        <v>1044</v>
      </c>
      <c r="BD73" s="70" t="s">
        <v>2920</v>
      </c>
      <c r="BE73" s="70" t="s">
        <v>1584</v>
      </c>
      <c r="BF73" s="70" t="s">
        <v>74</v>
      </c>
      <c r="BG73" s="70" t="s">
        <v>194</v>
      </c>
      <c r="BH73" s="70" t="s">
        <v>1341</v>
      </c>
      <c r="BI73" s="60" t="str">
        <f t="shared" si="3"/>
        <v>Ver en Mapa</v>
      </c>
      <c r="BL73" s="70">
        <v>4</v>
      </c>
      <c r="BM73" s="70">
        <v>4</v>
      </c>
      <c r="BN73" s="70" t="s">
        <v>2847</v>
      </c>
    </row>
    <row r="74" spans="1:66" s="68" customFormat="1" ht="14.4" customHeight="1" x14ac:dyDescent="0.3">
      <c r="A74" s="70" t="str">
        <f>H74</f>
        <v>001189</v>
      </c>
      <c r="B74" s="70" t="s">
        <v>61</v>
      </c>
      <c r="C74" s="70" t="s">
        <v>205</v>
      </c>
      <c r="D74" s="70" t="s">
        <v>2291</v>
      </c>
      <c r="E74" s="70" t="s">
        <v>206</v>
      </c>
      <c r="F74" s="70" t="s">
        <v>590</v>
      </c>
      <c r="G74" s="70" t="s">
        <v>2763</v>
      </c>
      <c r="H74" s="70" t="s">
        <v>2292</v>
      </c>
      <c r="I74" s="70" t="s">
        <v>67</v>
      </c>
      <c r="J74" s="70" t="s">
        <v>207</v>
      </c>
      <c r="K74" s="71">
        <v>45705</v>
      </c>
      <c r="L74" s="71">
        <v>46070</v>
      </c>
      <c r="M74" s="72">
        <v>40000</v>
      </c>
      <c r="N74" s="72">
        <v>42136.31</v>
      </c>
      <c r="O74" s="73">
        <v>27</v>
      </c>
      <c r="P74" s="61">
        <f t="shared" si="2"/>
        <v>30</v>
      </c>
      <c r="Q74" s="73">
        <v>12</v>
      </c>
      <c r="R74" s="70" t="s">
        <v>68</v>
      </c>
      <c r="S74" s="72">
        <v>5972.04</v>
      </c>
      <c r="T74" s="72">
        <v>696</v>
      </c>
      <c r="U74" s="72">
        <v>0</v>
      </c>
      <c r="V74" s="72">
        <v>0</v>
      </c>
      <c r="W74" s="72">
        <v>0.1</v>
      </c>
      <c r="X74" s="72">
        <v>23328.27</v>
      </c>
      <c r="Y74" s="72">
        <v>384.28000000000003</v>
      </c>
      <c r="Z74" s="72">
        <v>384.28000000000003</v>
      </c>
      <c r="AA74" s="72">
        <v>0</v>
      </c>
      <c r="AB74" s="72">
        <v>0</v>
      </c>
      <c r="AC74" s="72">
        <v>0</v>
      </c>
      <c r="AD74" s="72">
        <v>6000</v>
      </c>
      <c r="AE74" s="71">
        <v>45922</v>
      </c>
      <c r="AF74" s="70" t="s">
        <v>69</v>
      </c>
      <c r="AG74" s="70" t="s">
        <v>2293</v>
      </c>
      <c r="AH74" s="70" t="s">
        <v>208</v>
      </c>
      <c r="AJ74" s="70" t="s">
        <v>89</v>
      </c>
      <c r="AK74" s="70" t="s">
        <v>90</v>
      </c>
      <c r="AN74" s="70" t="s">
        <v>878</v>
      </c>
      <c r="AO74" s="70" t="s">
        <v>2294</v>
      </c>
      <c r="AP74" s="70" t="s">
        <v>876</v>
      </c>
      <c r="AQ74" s="70" t="s">
        <v>2295</v>
      </c>
      <c r="AR74" s="70" t="s">
        <v>877</v>
      </c>
      <c r="AS74" s="70" t="s">
        <v>2296</v>
      </c>
      <c r="AT74" s="70" t="s">
        <v>122</v>
      </c>
      <c r="AU74" s="68" t="s">
        <v>209</v>
      </c>
      <c r="AV74" s="70" t="s">
        <v>210</v>
      </c>
      <c r="AZ74" s="72">
        <v>23328.27</v>
      </c>
      <c r="BA74" s="72">
        <v>0</v>
      </c>
      <c r="BB74" s="70" t="s">
        <v>135</v>
      </c>
      <c r="BC74" s="70" t="s">
        <v>136</v>
      </c>
      <c r="BD74" s="70" t="s">
        <v>211</v>
      </c>
      <c r="BE74" s="70" t="s">
        <v>212</v>
      </c>
      <c r="BF74" s="70" t="s">
        <v>213</v>
      </c>
      <c r="BG74" s="70" t="s">
        <v>214</v>
      </c>
      <c r="BI74" s="60" t="str">
        <f t="shared" si="3"/>
        <v>Ver en Mapa</v>
      </c>
      <c r="BL74" s="70">
        <v>2</v>
      </c>
      <c r="BM74" s="70">
        <v>1</v>
      </c>
      <c r="BN74" s="70" t="s">
        <v>2847</v>
      </c>
    </row>
    <row r="75" spans="1:66" s="68" customFormat="1" ht="14.4" customHeight="1" x14ac:dyDescent="0.3">
      <c r="A75" s="70" t="str">
        <f>H75</f>
        <v>001316</v>
      </c>
      <c r="B75" s="70" t="s">
        <v>61</v>
      </c>
      <c r="C75" s="70" t="s">
        <v>205</v>
      </c>
      <c r="D75" s="70" t="s">
        <v>408</v>
      </c>
      <c r="E75" s="70" t="s">
        <v>409</v>
      </c>
      <c r="F75" s="70" t="s">
        <v>2802</v>
      </c>
      <c r="G75" s="70" t="s">
        <v>2803</v>
      </c>
      <c r="H75" s="70" t="s">
        <v>2320</v>
      </c>
      <c r="I75" s="70" t="s">
        <v>67</v>
      </c>
      <c r="J75" s="70" t="s">
        <v>575</v>
      </c>
      <c r="K75" s="71">
        <v>45791</v>
      </c>
      <c r="L75" s="71">
        <v>45959</v>
      </c>
      <c r="M75" s="72">
        <v>5000</v>
      </c>
      <c r="N75" s="72">
        <v>5267.04</v>
      </c>
      <c r="O75" s="73">
        <v>27</v>
      </c>
      <c r="P75" s="61">
        <f t="shared" si="2"/>
        <v>30</v>
      </c>
      <c r="Q75" s="73">
        <v>24</v>
      </c>
      <c r="R75" s="70" t="s">
        <v>469</v>
      </c>
      <c r="S75" s="72">
        <v>365.7</v>
      </c>
      <c r="T75" s="72">
        <v>1392</v>
      </c>
      <c r="U75" s="72">
        <v>2320</v>
      </c>
      <c r="V75" s="72">
        <v>21</v>
      </c>
      <c r="W75" s="72">
        <v>4</v>
      </c>
      <c r="X75" s="72">
        <v>1536.22</v>
      </c>
      <c r="Y75" s="72">
        <v>3723.7100128000002</v>
      </c>
      <c r="Z75" s="72">
        <v>877.84</v>
      </c>
      <c r="AA75" s="72">
        <v>351.87</v>
      </c>
      <c r="AB75" s="72">
        <v>174</v>
      </c>
      <c r="AC75" s="72">
        <v>2320</v>
      </c>
      <c r="AD75" s="72">
        <v>366</v>
      </c>
      <c r="AE75" s="71">
        <v>45910</v>
      </c>
      <c r="AF75" s="70" t="s">
        <v>69</v>
      </c>
      <c r="AG75" s="70" t="s">
        <v>2321</v>
      </c>
      <c r="AH75" s="70" t="s">
        <v>576</v>
      </c>
      <c r="AJ75" s="70" t="s">
        <v>577</v>
      </c>
      <c r="AK75" s="70" t="s">
        <v>2322</v>
      </c>
      <c r="AN75" s="70" t="s">
        <v>915</v>
      </c>
      <c r="AO75" s="70" t="s">
        <v>2323</v>
      </c>
      <c r="AP75" s="70" t="s">
        <v>913</v>
      </c>
      <c r="AQ75" s="70" t="s">
        <v>2324</v>
      </c>
      <c r="AR75" s="70" t="s">
        <v>914</v>
      </c>
      <c r="AS75" s="70" t="s">
        <v>2325</v>
      </c>
      <c r="AZ75" s="72">
        <v>4646.8100000000004</v>
      </c>
      <c r="BA75" s="72">
        <v>0</v>
      </c>
      <c r="BB75" s="70" t="s">
        <v>67</v>
      </c>
      <c r="BC75" s="70" t="s">
        <v>1044</v>
      </c>
      <c r="BD75" s="70" t="s">
        <v>3033</v>
      </c>
      <c r="BE75" s="70" t="s">
        <v>205</v>
      </c>
      <c r="BF75" s="70" t="s">
        <v>213</v>
      </c>
      <c r="BG75" s="70" t="s">
        <v>205</v>
      </c>
      <c r="BI75" s="60" t="str">
        <f t="shared" si="3"/>
        <v>Ver en Mapa</v>
      </c>
      <c r="BL75" s="70">
        <v>4</v>
      </c>
      <c r="BM75" s="70">
        <v>4</v>
      </c>
      <c r="BN75" s="70" t="s">
        <v>2847</v>
      </c>
    </row>
    <row r="76" spans="1:66" s="68" customFormat="1" ht="14.4" customHeight="1" x14ac:dyDescent="0.3">
      <c r="A76" s="70" t="str">
        <f>H76</f>
        <v>001443</v>
      </c>
      <c r="B76" s="70" t="s">
        <v>61</v>
      </c>
      <c r="C76" s="70" t="s">
        <v>273</v>
      </c>
      <c r="D76" s="70" t="s">
        <v>1522</v>
      </c>
      <c r="E76" s="70" t="s">
        <v>614</v>
      </c>
      <c r="F76" s="70" t="s">
        <v>2785</v>
      </c>
      <c r="G76" s="70" t="s">
        <v>2786</v>
      </c>
      <c r="H76" s="70" t="s">
        <v>1528</v>
      </c>
      <c r="I76" s="70" t="s">
        <v>67</v>
      </c>
      <c r="J76" s="70" t="s">
        <v>1348</v>
      </c>
      <c r="K76" s="71">
        <v>45833</v>
      </c>
      <c r="L76" s="71">
        <v>46001</v>
      </c>
      <c r="M76" s="72">
        <v>7000</v>
      </c>
      <c r="N76" s="72">
        <v>7373.85</v>
      </c>
      <c r="O76" s="73">
        <v>27</v>
      </c>
      <c r="P76" s="61">
        <f t="shared" si="2"/>
        <v>30</v>
      </c>
      <c r="Q76" s="73">
        <v>12</v>
      </c>
      <c r="R76" s="70" t="s">
        <v>496</v>
      </c>
      <c r="S76" s="72">
        <v>919.56000000000006</v>
      </c>
      <c r="T76" s="72">
        <v>696</v>
      </c>
      <c r="U76" s="72">
        <v>1375.81</v>
      </c>
      <c r="V76" s="72">
        <v>7</v>
      </c>
      <c r="W76" s="72">
        <v>2</v>
      </c>
      <c r="X76" s="72">
        <v>4301.41</v>
      </c>
      <c r="Y76" s="72">
        <v>3156.924438</v>
      </c>
      <c r="Z76" s="72">
        <v>1228.97</v>
      </c>
      <c r="AA76" s="72">
        <v>494.14</v>
      </c>
      <c r="AB76" s="72">
        <v>58</v>
      </c>
      <c r="AC76" s="72">
        <v>1375.81</v>
      </c>
      <c r="AD76" s="72">
        <v>1000</v>
      </c>
      <c r="AE76" s="71">
        <v>45936</v>
      </c>
      <c r="AF76" s="70" t="s">
        <v>69</v>
      </c>
      <c r="AG76" s="70" t="s">
        <v>1529</v>
      </c>
      <c r="AH76" s="70" t="s">
        <v>1349</v>
      </c>
      <c r="AJ76" s="70" t="s">
        <v>86</v>
      </c>
      <c r="AK76" s="70" t="s">
        <v>87</v>
      </c>
      <c r="AL76" s="70" t="s">
        <v>1350</v>
      </c>
      <c r="AN76" s="70" t="s">
        <v>1351</v>
      </c>
      <c r="AO76" s="70" t="s">
        <v>1530</v>
      </c>
      <c r="AP76" s="70" t="s">
        <v>1352</v>
      </c>
      <c r="AQ76" s="70" t="s">
        <v>1531</v>
      </c>
      <c r="AR76" s="70" t="s">
        <v>1353</v>
      </c>
      <c r="AS76" s="70" t="s">
        <v>1532</v>
      </c>
      <c r="AZ76" s="72">
        <v>7464.7300000000005</v>
      </c>
      <c r="BA76" s="72">
        <v>0</v>
      </c>
      <c r="BB76" s="70" t="s">
        <v>67</v>
      </c>
      <c r="BC76" s="70" t="s">
        <v>1044</v>
      </c>
      <c r="BD76" s="70" t="s">
        <v>1354</v>
      </c>
      <c r="BE76" s="70" t="s">
        <v>1355</v>
      </c>
      <c r="BF76" s="70" t="s">
        <v>74</v>
      </c>
      <c r="BG76" s="70" t="s">
        <v>1356</v>
      </c>
      <c r="BH76" s="70" t="s">
        <v>1357</v>
      </c>
      <c r="BI76" s="60" t="str">
        <f t="shared" si="3"/>
        <v>Ver en Mapa</v>
      </c>
      <c r="BL76" s="70">
        <v>5</v>
      </c>
      <c r="BM76" s="70">
        <v>4</v>
      </c>
      <c r="BN76" s="70" t="s">
        <v>2847</v>
      </c>
    </row>
    <row r="77" spans="1:66" s="68" customFormat="1" ht="14.4" customHeight="1" x14ac:dyDescent="0.3">
      <c r="A77" s="70" t="str">
        <f>H77</f>
        <v>001030</v>
      </c>
      <c r="B77" s="70" t="s">
        <v>61</v>
      </c>
      <c r="C77" s="70" t="s">
        <v>62</v>
      </c>
      <c r="D77" s="70" t="s">
        <v>183</v>
      </c>
      <c r="E77" s="70" t="s">
        <v>184</v>
      </c>
      <c r="F77" s="70" t="s">
        <v>2848</v>
      </c>
      <c r="G77" s="70" t="s">
        <v>2849</v>
      </c>
      <c r="H77" s="70" t="s">
        <v>1406</v>
      </c>
      <c r="I77" s="70" t="s">
        <v>76</v>
      </c>
      <c r="J77" s="70" t="s">
        <v>149</v>
      </c>
      <c r="K77" s="71">
        <v>45553</v>
      </c>
      <c r="L77" s="71">
        <v>46099</v>
      </c>
      <c r="M77" s="72">
        <v>80000</v>
      </c>
      <c r="N77" s="72">
        <v>84272.62</v>
      </c>
      <c r="O77" s="73">
        <v>26</v>
      </c>
      <c r="P77" s="61">
        <f t="shared" si="2"/>
        <v>30</v>
      </c>
      <c r="Q77" s="73">
        <v>18</v>
      </c>
      <c r="R77" s="70" t="s">
        <v>68</v>
      </c>
      <c r="S77" s="72">
        <v>9747.24</v>
      </c>
      <c r="T77" s="72">
        <v>1044</v>
      </c>
      <c r="U77" s="72">
        <v>580</v>
      </c>
      <c r="V77" s="72">
        <v>0</v>
      </c>
      <c r="W77" s="72">
        <v>1</v>
      </c>
      <c r="X77" s="72">
        <v>48602.3</v>
      </c>
      <c r="Y77" s="72">
        <v>10313.960000000001</v>
      </c>
      <c r="Z77" s="72">
        <v>5266.43</v>
      </c>
      <c r="AA77" s="72">
        <v>4422.8100000000004</v>
      </c>
      <c r="AB77" s="72">
        <v>44.72</v>
      </c>
      <c r="AC77" s="72">
        <v>580</v>
      </c>
      <c r="AD77" s="72">
        <v>10340</v>
      </c>
      <c r="AE77" s="71">
        <v>45911</v>
      </c>
      <c r="AF77" s="70" t="s">
        <v>69</v>
      </c>
      <c r="AG77" s="70" t="s">
        <v>1407</v>
      </c>
      <c r="AH77" s="70" t="s">
        <v>150</v>
      </c>
      <c r="AJ77" s="70" t="s">
        <v>151</v>
      </c>
      <c r="AK77" s="70" t="s">
        <v>1408</v>
      </c>
      <c r="AN77" s="70" t="s">
        <v>713</v>
      </c>
      <c r="AO77" s="70" t="s">
        <v>1409</v>
      </c>
      <c r="AP77" s="70" t="s">
        <v>711</v>
      </c>
      <c r="AQ77" s="70" t="s">
        <v>1409</v>
      </c>
      <c r="AR77" s="70" t="s">
        <v>712</v>
      </c>
      <c r="AS77" s="70" t="s">
        <v>1410</v>
      </c>
      <c r="AZ77" s="72">
        <v>53649.83</v>
      </c>
      <c r="BA77" s="72">
        <v>0</v>
      </c>
      <c r="BB77" s="70" t="s">
        <v>67</v>
      </c>
      <c r="BC77" s="70" t="s">
        <v>72</v>
      </c>
      <c r="BD77" s="70" t="s">
        <v>2876</v>
      </c>
      <c r="BE77" s="70" t="s">
        <v>88</v>
      </c>
      <c r="BF77" s="70" t="s">
        <v>74</v>
      </c>
      <c r="BG77" s="70" t="s">
        <v>75</v>
      </c>
      <c r="BI77" s="60" t="str">
        <f t="shared" si="3"/>
        <v>Ver en Mapa</v>
      </c>
      <c r="BL77" s="70">
        <v>5</v>
      </c>
      <c r="BM77" s="70">
        <v>3</v>
      </c>
      <c r="BN77" s="70" t="s">
        <v>2847</v>
      </c>
    </row>
    <row r="78" spans="1:66" s="68" customFormat="1" ht="14.4" customHeight="1" x14ac:dyDescent="0.3">
      <c r="A78" s="70" t="str">
        <f>H78</f>
        <v>001492</v>
      </c>
      <c r="B78" s="70" t="s">
        <v>61</v>
      </c>
      <c r="C78" s="70" t="s">
        <v>273</v>
      </c>
      <c r="D78" s="70" t="s">
        <v>1533</v>
      </c>
      <c r="E78" s="70" t="s">
        <v>599</v>
      </c>
      <c r="F78" s="70" t="s">
        <v>2785</v>
      </c>
      <c r="G78" s="70" t="s">
        <v>2786</v>
      </c>
      <c r="H78" s="70" t="s">
        <v>2417</v>
      </c>
      <c r="I78" s="70" t="s">
        <v>67</v>
      </c>
      <c r="J78" s="70" t="s">
        <v>1602</v>
      </c>
      <c r="K78" s="71">
        <v>45848</v>
      </c>
      <c r="L78" s="71">
        <v>46016</v>
      </c>
      <c r="M78" s="72">
        <v>5000</v>
      </c>
      <c r="N78" s="72">
        <v>5267.04</v>
      </c>
      <c r="O78" s="73">
        <v>26</v>
      </c>
      <c r="P78" s="61">
        <f t="shared" si="2"/>
        <v>30</v>
      </c>
      <c r="Q78" s="73">
        <v>12</v>
      </c>
      <c r="R78" s="70" t="s">
        <v>496</v>
      </c>
      <c r="S78" s="72">
        <v>673.4</v>
      </c>
      <c r="T78" s="72">
        <v>696</v>
      </c>
      <c r="U78" s="72">
        <v>1160</v>
      </c>
      <c r="V78" s="72">
        <v>6</v>
      </c>
      <c r="W78" s="72">
        <v>2</v>
      </c>
      <c r="X78" s="72">
        <v>3511.36</v>
      </c>
      <c r="Y78" s="72">
        <v>2504.41</v>
      </c>
      <c r="Z78" s="72">
        <v>877.84</v>
      </c>
      <c r="AA78" s="72">
        <v>352.97</v>
      </c>
      <c r="AB78" s="72">
        <v>113.60000000000001</v>
      </c>
      <c r="AC78" s="72">
        <v>1160</v>
      </c>
      <c r="AD78" s="72">
        <v>674</v>
      </c>
      <c r="AE78" s="71">
        <v>45904</v>
      </c>
      <c r="AF78" s="70" t="s">
        <v>69</v>
      </c>
      <c r="AG78" s="70" t="s">
        <v>2418</v>
      </c>
      <c r="AH78" s="70" t="s">
        <v>1603</v>
      </c>
      <c r="AJ78" s="70" t="s">
        <v>89</v>
      </c>
      <c r="AK78" s="70" t="s">
        <v>90</v>
      </c>
      <c r="AL78" s="70" t="s">
        <v>1604</v>
      </c>
      <c r="AN78" s="70" t="s">
        <v>1605</v>
      </c>
      <c r="AO78" s="70" t="s">
        <v>2419</v>
      </c>
      <c r="AP78" s="70" t="s">
        <v>1606</v>
      </c>
      <c r="AQ78" s="70" t="s">
        <v>2418</v>
      </c>
      <c r="AR78" s="70" t="s">
        <v>1607</v>
      </c>
      <c r="AS78" s="70" t="s">
        <v>2420</v>
      </c>
      <c r="AZ78" s="72">
        <v>6196.81</v>
      </c>
      <c r="BA78" s="72">
        <v>0</v>
      </c>
      <c r="BB78" s="70" t="s">
        <v>67</v>
      </c>
      <c r="BC78" s="70" t="s">
        <v>1044</v>
      </c>
      <c r="BD78" s="70" t="s">
        <v>3058</v>
      </c>
      <c r="BE78" s="70" t="s">
        <v>1608</v>
      </c>
      <c r="BF78" s="70" t="s">
        <v>74</v>
      </c>
      <c r="BG78" s="70" t="s">
        <v>273</v>
      </c>
      <c r="BH78" s="70" t="s">
        <v>1609</v>
      </c>
      <c r="BI78" s="60" t="str">
        <f t="shared" si="3"/>
        <v>Ver en Mapa</v>
      </c>
      <c r="BL78" s="70">
        <v>2</v>
      </c>
      <c r="BM78" s="70">
        <v>2</v>
      </c>
      <c r="BN78" s="70" t="s">
        <v>2847</v>
      </c>
    </row>
    <row r="79" spans="1:66" s="68" customFormat="1" ht="14.4" customHeight="1" x14ac:dyDescent="0.3">
      <c r="A79" s="70" t="str">
        <f>H79</f>
        <v>001420</v>
      </c>
      <c r="B79" s="70" t="s">
        <v>61</v>
      </c>
      <c r="C79" s="70" t="s">
        <v>194</v>
      </c>
      <c r="D79" s="70" t="s">
        <v>588</v>
      </c>
      <c r="E79" s="70" t="s">
        <v>589</v>
      </c>
      <c r="F79" s="70" t="s">
        <v>590</v>
      </c>
      <c r="G79" s="70" t="s">
        <v>2763</v>
      </c>
      <c r="H79" s="70" t="s">
        <v>2108</v>
      </c>
      <c r="I79" s="70" t="s">
        <v>67</v>
      </c>
      <c r="J79" s="70" t="s">
        <v>1235</v>
      </c>
      <c r="K79" s="71">
        <v>45827</v>
      </c>
      <c r="L79" s="71">
        <v>46192</v>
      </c>
      <c r="M79" s="72">
        <v>25000</v>
      </c>
      <c r="N79" s="72">
        <v>26335.190000000002</v>
      </c>
      <c r="O79" s="73">
        <v>25</v>
      </c>
      <c r="P79" s="61">
        <f t="shared" si="2"/>
        <v>30</v>
      </c>
      <c r="Q79" s="73">
        <v>12</v>
      </c>
      <c r="R79" s="70" t="s">
        <v>68</v>
      </c>
      <c r="S79" s="72">
        <v>4169.7300000000005</v>
      </c>
      <c r="T79" s="72">
        <v>696</v>
      </c>
      <c r="U79" s="72">
        <v>580</v>
      </c>
      <c r="V79" s="72">
        <v>0</v>
      </c>
      <c r="W79" s="72">
        <v>1</v>
      </c>
      <c r="X79" s="72">
        <v>21945.99</v>
      </c>
      <c r="Y79" s="72">
        <v>4749.1875</v>
      </c>
      <c r="Z79" s="72">
        <v>2194.6</v>
      </c>
      <c r="AA79" s="72">
        <v>1917.13</v>
      </c>
      <c r="AB79" s="72">
        <v>57.46</v>
      </c>
      <c r="AC79" s="72">
        <v>580</v>
      </c>
      <c r="AD79" s="72">
        <v>4140</v>
      </c>
      <c r="AE79" s="71">
        <v>45888</v>
      </c>
      <c r="AF79" s="70" t="s">
        <v>69</v>
      </c>
      <c r="AG79" s="70" t="s">
        <v>2109</v>
      </c>
      <c r="AH79" s="70" t="s">
        <v>1236</v>
      </c>
      <c r="AJ79" s="70" t="s">
        <v>86</v>
      </c>
      <c r="AK79" s="70" t="s">
        <v>87</v>
      </c>
      <c r="AL79" s="70" t="s">
        <v>1237</v>
      </c>
      <c r="AN79" s="70" t="s">
        <v>1238</v>
      </c>
      <c r="AO79" s="70" t="s">
        <v>2109</v>
      </c>
      <c r="AP79" s="70" t="s">
        <v>1239</v>
      </c>
      <c r="AQ79" s="70" t="s">
        <v>2110</v>
      </c>
      <c r="AR79" s="70" t="s">
        <v>1240</v>
      </c>
      <c r="AS79" s="70" t="s">
        <v>2111</v>
      </c>
      <c r="AZ79" s="72">
        <v>41754.730000000003</v>
      </c>
      <c r="BA79" s="72">
        <v>0</v>
      </c>
      <c r="BB79" s="70" t="s">
        <v>67</v>
      </c>
      <c r="BC79" s="70" t="s">
        <v>1044</v>
      </c>
      <c r="BD79" s="70" t="s">
        <v>2884</v>
      </c>
      <c r="BE79" s="70" t="s">
        <v>503</v>
      </c>
      <c r="BF79" s="70" t="s">
        <v>74</v>
      </c>
      <c r="BG79" s="70" t="s">
        <v>503</v>
      </c>
      <c r="BH79" s="70" t="s">
        <v>1241</v>
      </c>
      <c r="BI79" s="60" t="str">
        <f t="shared" si="3"/>
        <v>Ver en Mapa</v>
      </c>
      <c r="BL79" s="70">
        <v>1</v>
      </c>
      <c r="BM79" s="70">
        <v>1</v>
      </c>
      <c r="BN79" s="70" t="s">
        <v>2847</v>
      </c>
    </row>
    <row r="80" spans="1:66" s="68" customFormat="1" ht="14.4" customHeight="1" x14ac:dyDescent="0.3">
      <c r="A80" s="70" t="str">
        <f>H80</f>
        <v>001807</v>
      </c>
      <c r="B80" s="70" t="s">
        <v>61</v>
      </c>
      <c r="C80" s="70" t="s">
        <v>194</v>
      </c>
      <c r="D80" s="70" t="s">
        <v>588</v>
      </c>
      <c r="E80" s="70" t="s">
        <v>589</v>
      </c>
      <c r="F80" s="70" t="s">
        <v>2800</v>
      </c>
      <c r="G80" s="70" t="s">
        <v>2801</v>
      </c>
      <c r="H80" s="70" t="s">
        <v>2787</v>
      </c>
      <c r="I80" s="70" t="s">
        <v>67</v>
      </c>
      <c r="J80" s="70" t="s">
        <v>2788</v>
      </c>
      <c r="K80" s="71">
        <v>45891</v>
      </c>
      <c r="L80" s="71">
        <v>46059</v>
      </c>
      <c r="M80" s="72">
        <v>10000</v>
      </c>
      <c r="N80" s="72">
        <v>10534.08</v>
      </c>
      <c r="O80" s="73">
        <v>25</v>
      </c>
      <c r="P80" s="61">
        <f t="shared" si="2"/>
        <v>30</v>
      </c>
      <c r="Q80" s="73">
        <v>12</v>
      </c>
      <c r="R80" s="70" t="s">
        <v>496</v>
      </c>
      <c r="S80" s="72">
        <v>1288.8</v>
      </c>
      <c r="T80" s="72">
        <v>696</v>
      </c>
      <c r="U80" s="72">
        <v>1160</v>
      </c>
      <c r="V80" s="72">
        <v>3</v>
      </c>
      <c r="W80" s="72">
        <v>2</v>
      </c>
      <c r="X80" s="72">
        <v>9656.24</v>
      </c>
      <c r="Y80" s="72">
        <v>3737.61</v>
      </c>
      <c r="Z80" s="72">
        <v>1755.68</v>
      </c>
      <c r="AA80" s="72">
        <v>705.93000000000006</v>
      </c>
      <c r="AB80" s="72">
        <v>116</v>
      </c>
      <c r="AC80" s="72">
        <v>1160</v>
      </c>
      <c r="AD80" s="72">
        <v>1288.8</v>
      </c>
      <c r="AE80" s="71">
        <v>45905</v>
      </c>
      <c r="AF80" s="70" t="s">
        <v>69</v>
      </c>
      <c r="AG80" s="70" t="s">
        <v>2789</v>
      </c>
      <c r="AH80" s="70" t="s">
        <v>2790</v>
      </c>
      <c r="AJ80" s="70" t="s">
        <v>481</v>
      </c>
      <c r="AK80" s="70" t="s">
        <v>482</v>
      </c>
      <c r="AL80" s="70" t="s">
        <v>2791</v>
      </c>
      <c r="AN80" s="70" t="s">
        <v>2792</v>
      </c>
      <c r="AO80" s="70" t="s">
        <v>2793</v>
      </c>
      <c r="AP80" s="70" t="s">
        <v>2794</v>
      </c>
      <c r="AQ80" s="70" t="s">
        <v>2795</v>
      </c>
      <c r="AR80" s="70" t="s">
        <v>2796</v>
      </c>
      <c r="AS80" s="70" t="s">
        <v>2797</v>
      </c>
      <c r="AZ80" s="72">
        <v>14814.82</v>
      </c>
      <c r="BA80" s="72">
        <v>0</v>
      </c>
      <c r="BB80" s="70" t="s">
        <v>67</v>
      </c>
      <c r="BC80" s="70" t="s">
        <v>1044</v>
      </c>
      <c r="BD80" s="70" t="s">
        <v>2895</v>
      </c>
      <c r="BE80" s="70" t="s">
        <v>2798</v>
      </c>
      <c r="BF80" s="70" t="s">
        <v>74</v>
      </c>
      <c r="BG80" s="70" t="s">
        <v>194</v>
      </c>
      <c r="BH80" s="70" t="s">
        <v>2799</v>
      </c>
      <c r="BI80" s="60" t="str">
        <f t="shared" si="3"/>
        <v>Ver en Mapa</v>
      </c>
      <c r="BL80" s="70">
        <v>2</v>
      </c>
      <c r="BM80" s="70">
        <v>2</v>
      </c>
      <c r="BN80" s="70" t="s">
        <v>2847</v>
      </c>
    </row>
    <row r="81" spans="1:66" s="68" customFormat="1" ht="14.4" customHeight="1" x14ac:dyDescent="0.3">
      <c r="A81" s="70" t="str">
        <f>H81</f>
        <v>001109</v>
      </c>
      <c r="B81" s="70" t="s">
        <v>61</v>
      </c>
      <c r="C81" s="70" t="s">
        <v>273</v>
      </c>
      <c r="D81" s="70" t="s">
        <v>2405</v>
      </c>
      <c r="E81" s="70" t="s">
        <v>1023</v>
      </c>
      <c r="F81" s="70" t="s">
        <v>2785</v>
      </c>
      <c r="G81" s="70" t="s">
        <v>2786</v>
      </c>
      <c r="H81" s="70" t="s">
        <v>2406</v>
      </c>
      <c r="I81" s="70" t="s">
        <v>76</v>
      </c>
      <c r="J81" s="70" t="s">
        <v>601</v>
      </c>
      <c r="K81" s="71">
        <v>45796</v>
      </c>
      <c r="L81" s="71">
        <v>45980</v>
      </c>
      <c r="M81" s="72">
        <v>50000</v>
      </c>
      <c r="N81" s="72">
        <v>52670.39</v>
      </c>
      <c r="O81" s="73">
        <v>25</v>
      </c>
      <c r="P81" s="61">
        <f t="shared" si="2"/>
        <v>30</v>
      </c>
      <c r="Q81" s="73">
        <v>6</v>
      </c>
      <c r="R81" s="70" t="s">
        <v>68</v>
      </c>
      <c r="S81" s="72">
        <v>11727.65</v>
      </c>
      <c r="T81" s="72">
        <v>348</v>
      </c>
      <c r="U81" s="72">
        <v>580</v>
      </c>
      <c r="V81" s="72">
        <v>0</v>
      </c>
      <c r="W81" s="72">
        <v>1</v>
      </c>
      <c r="X81" s="72">
        <v>26335.190000000002</v>
      </c>
      <c r="Y81" s="72">
        <v>12306.3364336</v>
      </c>
      <c r="Z81" s="72">
        <v>8778.39</v>
      </c>
      <c r="AA81" s="72">
        <v>2891.25</v>
      </c>
      <c r="AB81" s="72">
        <v>56.69</v>
      </c>
      <c r="AC81" s="72">
        <v>580</v>
      </c>
      <c r="AD81" s="72">
        <v>12308</v>
      </c>
      <c r="AE81" s="71">
        <v>45897</v>
      </c>
      <c r="AF81" s="70" t="s">
        <v>69</v>
      </c>
      <c r="AG81" s="70" t="s">
        <v>2407</v>
      </c>
      <c r="AH81" s="70" t="s">
        <v>602</v>
      </c>
      <c r="AJ81" s="70" t="s">
        <v>603</v>
      </c>
      <c r="AK81" s="70" t="s">
        <v>2408</v>
      </c>
      <c r="AL81" s="70" t="s">
        <v>604</v>
      </c>
      <c r="AN81" s="70" t="s">
        <v>934</v>
      </c>
      <c r="AO81" s="70" t="s">
        <v>2409</v>
      </c>
      <c r="AP81" s="70" t="s">
        <v>933</v>
      </c>
      <c r="AQ81" s="70" t="s">
        <v>2410</v>
      </c>
      <c r="AR81" s="70" t="s">
        <v>1297</v>
      </c>
      <c r="AS81" s="70" t="s">
        <v>2411</v>
      </c>
      <c r="AT81" s="70" t="s">
        <v>122</v>
      </c>
      <c r="AU81" s="68" t="s">
        <v>605</v>
      </c>
      <c r="AV81" s="70" t="s">
        <v>606</v>
      </c>
      <c r="AZ81" s="72">
        <v>35645.64</v>
      </c>
      <c r="BA81" s="72">
        <v>0</v>
      </c>
      <c r="BB81" s="70" t="s">
        <v>67</v>
      </c>
      <c r="BC81" s="70" t="s">
        <v>1044</v>
      </c>
      <c r="BD81" s="70" t="s">
        <v>3056</v>
      </c>
      <c r="BE81" s="70" t="s">
        <v>607</v>
      </c>
      <c r="BF81" s="70" t="s">
        <v>74</v>
      </c>
      <c r="BG81" s="70" t="s">
        <v>296</v>
      </c>
      <c r="BI81" s="60" t="str">
        <f t="shared" si="3"/>
        <v>Ver en Mapa</v>
      </c>
      <c r="BL81" s="70">
        <v>2</v>
      </c>
      <c r="BM81" s="70">
        <v>2</v>
      </c>
      <c r="BN81" s="70" t="s">
        <v>2847</v>
      </c>
    </row>
    <row r="82" spans="1:66" s="68" customFormat="1" ht="14.4" customHeight="1" x14ac:dyDescent="0.3">
      <c r="A82" s="70" t="str">
        <f>H82</f>
        <v>001330</v>
      </c>
      <c r="B82" s="70" t="s">
        <v>61</v>
      </c>
      <c r="C82" s="70" t="s">
        <v>62</v>
      </c>
      <c r="D82" s="70" t="s">
        <v>1429</v>
      </c>
      <c r="E82" s="70" t="s">
        <v>617</v>
      </c>
      <c r="F82" s="70" t="s">
        <v>2848</v>
      </c>
      <c r="G82" s="70" t="s">
        <v>2849</v>
      </c>
      <c r="H82" s="70" t="s">
        <v>1950</v>
      </c>
      <c r="I82" s="70" t="s">
        <v>67</v>
      </c>
      <c r="J82" s="70" t="s">
        <v>618</v>
      </c>
      <c r="K82" s="71">
        <v>45798</v>
      </c>
      <c r="L82" s="71">
        <v>46163</v>
      </c>
      <c r="M82" s="72">
        <v>10000</v>
      </c>
      <c r="N82" s="72">
        <v>10534.08</v>
      </c>
      <c r="O82" s="73">
        <v>22</v>
      </c>
      <c r="P82" s="61">
        <f t="shared" si="2"/>
        <v>30</v>
      </c>
      <c r="Q82" s="73">
        <v>12</v>
      </c>
      <c r="R82" s="70" t="s">
        <v>68</v>
      </c>
      <c r="S82" s="72">
        <v>1702.69</v>
      </c>
      <c r="T82" s="72">
        <v>696</v>
      </c>
      <c r="U82" s="72">
        <v>0</v>
      </c>
      <c r="V82" s="72">
        <v>0</v>
      </c>
      <c r="W82" s="72">
        <v>0.3</v>
      </c>
      <c r="X82" s="72">
        <v>7595.41</v>
      </c>
      <c r="Y82" s="72">
        <v>572.69000000000005</v>
      </c>
      <c r="Z82" s="72">
        <v>572.69000000000005</v>
      </c>
      <c r="AA82" s="72">
        <v>0</v>
      </c>
      <c r="AB82" s="72">
        <v>0</v>
      </c>
      <c r="AC82" s="72">
        <v>0</v>
      </c>
      <c r="AD82" s="72">
        <v>1710</v>
      </c>
      <c r="AE82" s="71">
        <v>45933</v>
      </c>
      <c r="AF82" s="70" t="s">
        <v>69</v>
      </c>
      <c r="AG82" s="70" t="s">
        <v>1951</v>
      </c>
      <c r="AH82" s="70" t="s">
        <v>619</v>
      </c>
      <c r="AJ82" s="70" t="s">
        <v>393</v>
      </c>
      <c r="AK82" s="70" t="s">
        <v>394</v>
      </c>
      <c r="AN82" s="70" t="s">
        <v>775</v>
      </c>
      <c r="AO82" s="70" t="s">
        <v>1952</v>
      </c>
      <c r="AP82" s="70" t="s">
        <v>773</v>
      </c>
      <c r="AQ82" s="70" t="s">
        <v>1953</v>
      </c>
      <c r="AR82" s="70" t="s">
        <v>774</v>
      </c>
      <c r="AS82" s="70" t="s">
        <v>1954</v>
      </c>
      <c r="AZ82" s="72">
        <v>13730.220000000001</v>
      </c>
      <c r="BA82" s="72">
        <v>0</v>
      </c>
      <c r="BB82" s="70" t="s">
        <v>67</v>
      </c>
      <c r="BC82" s="70" t="s">
        <v>1044</v>
      </c>
      <c r="BD82" s="70" t="s">
        <v>2865</v>
      </c>
      <c r="BE82" s="70" t="s">
        <v>337</v>
      </c>
      <c r="BF82" s="70" t="s">
        <v>74</v>
      </c>
      <c r="BG82" s="70" t="s">
        <v>338</v>
      </c>
      <c r="BI82" s="60" t="str">
        <f t="shared" si="3"/>
        <v>Ver en Mapa</v>
      </c>
      <c r="BL82" s="70">
        <v>2</v>
      </c>
      <c r="BM82" s="70">
        <v>2</v>
      </c>
      <c r="BN82" s="70" t="s">
        <v>2847</v>
      </c>
    </row>
    <row r="83" spans="1:66" s="68" customFormat="1" ht="14.4" customHeight="1" x14ac:dyDescent="0.3">
      <c r="A83" s="70" t="str">
        <f>H83</f>
        <v>001164</v>
      </c>
      <c r="B83" s="70" t="s">
        <v>61</v>
      </c>
      <c r="C83" s="70" t="s">
        <v>62</v>
      </c>
      <c r="D83" s="70" t="s">
        <v>183</v>
      </c>
      <c r="E83" s="70" t="s">
        <v>184</v>
      </c>
      <c r="F83" s="70" t="s">
        <v>2848</v>
      </c>
      <c r="G83" s="70" t="s">
        <v>2849</v>
      </c>
      <c r="H83" s="70" t="s">
        <v>173</v>
      </c>
      <c r="I83" s="70" t="s">
        <v>67</v>
      </c>
      <c r="J83" s="70" t="s">
        <v>174</v>
      </c>
      <c r="K83" s="71">
        <v>45678</v>
      </c>
      <c r="L83" s="71">
        <v>46043</v>
      </c>
      <c r="M83" s="72">
        <v>20000</v>
      </c>
      <c r="N83" s="72">
        <v>21068.16</v>
      </c>
      <c r="O83" s="73">
        <v>22</v>
      </c>
      <c r="P83" s="61">
        <f t="shared" si="2"/>
        <v>30</v>
      </c>
      <c r="Q83" s="73">
        <v>12</v>
      </c>
      <c r="R83" s="70" t="s">
        <v>68</v>
      </c>
      <c r="S83" s="72">
        <v>3015.02</v>
      </c>
      <c r="T83" s="72">
        <v>696</v>
      </c>
      <c r="U83" s="72">
        <v>580</v>
      </c>
      <c r="V83" s="72">
        <v>0</v>
      </c>
      <c r="W83" s="72">
        <v>0.2</v>
      </c>
      <c r="X83" s="72">
        <v>10222.219999999999</v>
      </c>
      <c r="Y83" s="72">
        <v>1243.28</v>
      </c>
      <c r="Z83" s="72">
        <v>663.28</v>
      </c>
      <c r="AA83" s="72">
        <v>0</v>
      </c>
      <c r="AB83" s="72">
        <v>0</v>
      </c>
      <c r="AC83" s="72">
        <v>580</v>
      </c>
      <c r="AD83" s="72">
        <v>3500</v>
      </c>
      <c r="AE83" s="71">
        <v>45938</v>
      </c>
      <c r="AF83" s="70" t="s">
        <v>69</v>
      </c>
      <c r="AG83" s="70" t="s">
        <v>175</v>
      </c>
      <c r="AH83" s="70" t="s">
        <v>176</v>
      </c>
      <c r="AJ83" s="70" t="s">
        <v>177</v>
      </c>
      <c r="AK83" s="70" t="s">
        <v>178</v>
      </c>
      <c r="AL83" s="70" t="s">
        <v>179</v>
      </c>
      <c r="AM83" s="70" t="s">
        <v>175</v>
      </c>
      <c r="AN83" s="70" t="s">
        <v>729</v>
      </c>
      <c r="AO83" s="70" t="s">
        <v>1249</v>
      </c>
      <c r="AP83" s="70" t="s">
        <v>726</v>
      </c>
      <c r="AQ83" s="70" t="s">
        <v>727</v>
      </c>
      <c r="AR83" s="70" t="s">
        <v>728</v>
      </c>
      <c r="AS83" s="70" t="s">
        <v>1250</v>
      </c>
      <c r="AT83" s="70" t="s">
        <v>122</v>
      </c>
      <c r="AU83" s="68" t="s">
        <v>180</v>
      </c>
      <c r="AV83" s="70" t="s">
        <v>181</v>
      </c>
      <c r="AZ83" s="72">
        <v>10802.22</v>
      </c>
      <c r="BA83" s="72">
        <v>0</v>
      </c>
      <c r="BB83" s="70" t="s">
        <v>135</v>
      </c>
      <c r="BC83" s="70" t="s">
        <v>136</v>
      </c>
      <c r="BD83" s="70" t="s">
        <v>182</v>
      </c>
      <c r="BE83" s="70" t="s">
        <v>88</v>
      </c>
      <c r="BF83" s="70" t="s">
        <v>74</v>
      </c>
      <c r="BG83" s="70" t="s">
        <v>75</v>
      </c>
      <c r="BI83" s="60" t="str">
        <f t="shared" si="3"/>
        <v>Ver en Mapa</v>
      </c>
      <c r="BL83" s="70">
        <v>4</v>
      </c>
      <c r="BM83" s="70">
        <v>4</v>
      </c>
      <c r="BN83" s="70" t="s">
        <v>2847</v>
      </c>
    </row>
    <row r="84" spans="1:66" s="68" customFormat="1" ht="14.4" customHeight="1" x14ac:dyDescent="0.3">
      <c r="A84" s="70" t="str">
        <f>H84</f>
        <v>001619</v>
      </c>
      <c r="B84" s="70" t="s">
        <v>61</v>
      </c>
      <c r="C84" s="70" t="s">
        <v>194</v>
      </c>
      <c r="D84" s="70" t="s">
        <v>594</v>
      </c>
      <c r="E84" s="70" t="s">
        <v>595</v>
      </c>
      <c r="F84" s="70" t="s">
        <v>2800</v>
      </c>
      <c r="G84" s="70" t="s">
        <v>2801</v>
      </c>
      <c r="H84" s="70" t="s">
        <v>2112</v>
      </c>
      <c r="I84" s="70" t="s">
        <v>67</v>
      </c>
      <c r="J84" s="70" t="s">
        <v>1713</v>
      </c>
      <c r="K84" s="71">
        <v>45860</v>
      </c>
      <c r="L84" s="71">
        <v>46044</v>
      </c>
      <c r="M84" s="72">
        <v>5000</v>
      </c>
      <c r="N84" s="72">
        <v>5267.04</v>
      </c>
      <c r="O84" s="73">
        <v>22</v>
      </c>
      <c r="P84" s="61">
        <f t="shared" si="2"/>
        <v>30</v>
      </c>
      <c r="Q84" s="73">
        <v>6</v>
      </c>
      <c r="R84" s="70" t="s">
        <v>68</v>
      </c>
      <c r="S84" s="72">
        <v>1322.42</v>
      </c>
      <c r="T84" s="72">
        <v>348</v>
      </c>
      <c r="U84" s="72">
        <v>0</v>
      </c>
      <c r="V84" s="72">
        <v>0</v>
      </c>
      <c r="W84" s="72">
        <v>0.5</v>
      </c>
      <c r="X84" s="72">
        <v>4090.19</v>
      </c>
      <c r="Y84" s="72">
        <v>578.83465386666705</v>
      </c>
      <c r="Z84" s="72">
        <v>578.83000000000004</v>
      </c>
      <c r="AA84" s="72">
        <v>0</v>
      </c>
      <c r="AB84" s="72">
        <v>0</v>
      </c>
      <c r="AC84" s="72">
        <v>0</v>
      </c>
      <c r="AD84" s="72">
        <v>580</v>
      </c>
      <c r="AE84" s="71">
        <v>45933</v>
      </c>
      <c r="AF84" s="70" t="s">
        <v>69</v>
      </c>
      <c r="AG84" s="70" t="s">
        <v>2113</v>
      </c>
      <c r="AH84" s="70" t="s">
        <v>1714</v>
      </c>
      <c r="AJ84" s="70" t="s">
        <v>1201</v>
      </c>
      <c r="AK84" s="70" t="s">
        <v>2049</v>
      </c>
      <c r="AN84" s="70" t="s">
        <v>1715</v>
      </c>
      <c r="AO84" s="70" t="s">
        <v>2114</v>
      </c>
      <c r="AP84" s="70" t="s">
        <v>1716</v>
      </c>
      <c r="AQ84" s="70" t="s">
        <v>2115</v>
      </c>
      <c r="AR84" s="70" t="s">
        <v>1717</v>
      </c>
      <c r="AS84" s="70" t="s">
        <v>2116</v>
      </c>
      <c r="AZ84" s="72">
        <v>5636.5</v>
      </c>
      <c r="BA84" s="72">
        <v>0</v>
      </c>
      <c r="BB84" s="70" t="s">
        <v>67</v>
      </c>
      <c r="BC84" s="70" t="s">
        <v>1044</v>
      </c>
      <c r="BD84" s="70" t="s">
        <v>2904</v>
      </c>
      <c r="BE84" s="70" t="s">
        <v>1718</v>
      </c>
      <c r="BF84" s="70" t="s">
        <v>74</v>
      </c>
      <c r="BG84" s="70" t="s">
        <v>194</v>
      </c>
      <c r="BH84" s="70" t="s">
        <v>1719</v>
      </c>
      <c r="BI84" s="60" t="str">
        <f t="shared" si="3"/>
        <v>Ver en Mapa</v>
      </c>
      <c r="BL84" s="70">
        <v>2</v>
      </c>
      <c r="BM84" s="70">
        <v>2</v>
      </c>
      <c r="BN84" s="70" t="s">
        <v>2847</v>
      </c>
    </row>
    <row r="85" spans="1:66" s="68" customFormat="1" ht="14.4" customHeight="1" x14ac:dyDescent="0.3">
      <c r="A85" s="70" t="str">
        <f>H85</f>
        <v>001071</v>
      </c>
      <c r="B85" s="70" t="s">
        <v>61</v>
      </c>
      <c r="C85" s="70" t="s">
        <v>205</v>
      </c>
      <c r="D85" s="70" t="s">
        <v>382</v>
      </c>
      <c r="E85" s="70" t="s">
        <v>383</v>
      </c>
      <c r="F85" s="70" t="s">
        <v>590</v>
      </c>
      <c r="G85" s="70" t="s">
        <v>2763</v>
      </c>
      <c r="H85" s="70" t="s">
        <v>252</v>
      </c>
      <c r="I85" s="70" t="s">
        <v>76</v>
      </c>
      <c r="J85" s="70" t="s">
        <v>253</v>
      </c>
      <c r="K85" s="71">
        <v>45737</v>
      </c>
      <c r="L85" s="71">
        <v>46102</v>
      </c>
      <c r="M85" s="72">
        <v>64000.01</v>
      </c>
      <c r="N85" s="72">
        <v>67418.100000000006</v>
      </c>
      <c r="O85" s="73">
        <v>22</v>
      </c>
      <c r="P85" s="61">
        <f t="shared" si="2"/>
        <v>30</v>
      </c>
      <c r="Q85" s="73">
        <v>12</v>
      </c>
      <c r="R85" s="70" t="s">
        <v>68</v>
      </c>
      <c r="S85" s="72">
        <v>9346.81</v>
      </c>
      <c r="T85" s="72">
        <v>696</v>
      </c>
      <c r="U85" s="72">
        <v>0</v>
      </c>
      <c r="V85" s="72">
        <v>0</v>
      </c>
      <c r="W85" s="72">
        <v>0.1</v>
      </c>
      <c r="X85" s="72">
        <v>34287.910000000003</v>
      </c>
      <c r="Y85" s="72">
        <v>578.86</v>
      </c>
      <c r="Z85" s="72">
        <v>578.86</v>
      </c>
      <c r="AA85" s="72">
        <v>0</v>
      </c>
      <c r="AB85" s="72">
        <v>0</v>
      </c>
      <c r="AC85" s="72">
        <v>0</v>
      </c>
      <c r="AD85" s="72">
        <v>9347</v>
      </c>
      <c r="AE85" s="71">
        <v>45923</v>
      </c>
      <c r="AF85" s="70" t="s">
        <v>69</v>
      </c>
      <c r="AG85" s="70" t="s">
        <v>254</v>
      </c>
      <c r="AH85" s="70" t="s">
        <v>255</v>
      </c>
      <c r="AJ85" s="70" t="s">
        <v>256</v>
      </c>
      <c r="AK85" s="70" t="s">
        <v>257</v>
      </c>
      <c r="AL85" s="70" t="s">
        <v>258</v>
      </c>
      <c r="AN85" s="70" t="s">
        <v>897</v>
      </c>
      <c r="AO85" s="70" t="s">
        <v>1288</v>
      </c>
      <c r="AP85" s="70" t="s">
        <v>894</v>
      </c>
      <c r="AQ85" s="70" t="s">
        <v>895</v>
      </c>
      <c r="AR85" s="70" t="s">
        <v>896</v>
      </c>
      <c r="AS85" s="70" t="s">
        <v>1289</v>
      </c>
      <c r="AT85" s="70" t="s">
        <v>122</v>
      </c>
      <c r="AU85" s="68" t="s">
        <v>384</v>
      </c>
      <c r="AV85" s="70" t="s">
        <v>385</v>
      </c>
      <c r="AZ85" s="72">
        <v>56311.72</v>
      </c>
      <c r="BA85" s="72">
        <v>0</v>
      </c>
      <c r="BB85" s="70" t="s">
        <v>67</v>
      </c>
      <c r="BC85" s="70" t="s">
        <v>1044</v>
      </c>
      <c r="BD85" s="70" t="s">
        <v>3025</v>
      </c>
      <c r="BE85" s="70" t="s">
        <v>205</v>
      </c>
      <c r="BF85" s="70" t="s">
        <v>213</v>
      </c>
      <c r="BG85" s="70" t="s">
        <v>205</v>
      </c>
      <c r="BI85" s="60" t="str">
        <f t="shared" si="3"/>
        <v>Ver en Mapa</v>
      </c>
      <c r="BL85" s="70">
        <v>5</v>
      </c>
      <c r="BM85" s="70">
        <v>4</v>
      </c>
      <c r="BN85" s="70" t="s">
        <v>2847</v>
      </c>
    </row>
    <row r="86" spans="1:66" s="68" customFormat="1" ht="14.4" customHeight="1" x14ac:dyDescent="0.3">
      <c r="A86" s="70" t="str">
        <f>H86</f>
        <v>001426</v>
      </c>
      <c r="B86" s="70" t="s">
        <v>61</v>
      </c>
      <c r="C86" s="70" t="s">
        <v>273</v>
      </c>
      <c r="D86" s="70" t="s">
        <v>1533</v>
      </c>
      <c r="E86" s="70" t="s">
        <v>599</v>
      </c>
      <c r="F86" s="70" t="s">
        <v>590</v>
      </c>
      <c r="G86" s="70" t="s">
        <v>2763</v>
      </c>
      <c r="H86" s="70" t="s">
        <v>2455</v>
      </c>
      <c r="I86" s="70" t="s">
        <v>67</v>
      </c>
      <c r="J86" s="70" t="s">
        <v>1298</v>
      </c>
      <c r="K86" s="71">
        <v>45828</v>
      </c>
      <c r="L86" s="71">
        <v>46011</v>
      </c>
      <c r="M86" s="72">
        <v>10000</v>
      </c>
      <c r="N86" s="72">
        <v>10534.08</v>
      </c>
      <c r="O86" s="73">
        <v>22</v>
      </c>
      <c r="P86" s="61">
        <f t="shared" si="2"/>
        <v>30</v>
      </c>
      <c r="Q86" s="73">
        <v>6</v>
      </c>
      <c r="R86" s="70" t="s">
        <v>68</v>
      </c>
      <c r="S86" s="72">
        <v>2582.63</v>
      </c>
      <c r="T86" s="72">
        <v>348</v>
      </c>
      <c r="U86" s="72">
        <v>580</v>
      </c>
      <c r="V86" s="72">
        <v>0</v>
      </c>
      <c r="W86" s="72">
        <v>1</v>
      </c>
      <c r="X86" s="72">
        <v>7022.72</v>
      </c>
      <c r="Y86" s="72">
        <v>3162.27</v>
      </c>
      <c r="Z86" s="72">
        <v>1755.68</v>
      </c>
      <c r="AA86" s="72">
        <v>768.95</v>
      </c>
      <c r="AB86" s="72">
        <v>57.64</v>
      </c>
      <c r="AC86" s="72">
        <v>580</v>
      </c>
      <c r="AD86" s="72">
        <v>3163</v>
      </c>
      <c r="AE86" s="71">
        <v>45890</v>
      </c>
      <c r="AF86" s="70" t="s">
        <v>69</v>
      </c>
      <c r="AG86" s="70" t="s">
        <v>2456</v>
      </c>
      <c r="AH86" s="70" t="s">
        <v>1299</v>
      </c>
      <c r="AJ86" s="70" t="s">
        <v>526</v>
      </c>
      <c r="AK86" s="70" t="s">
        <v>527</v>
      </c>
      <c r="AL86" s="70" t="s">
        <v>1321</v>
      </c>
      <c r="AN86" s="70" t="s">
        <v>1300</v>
      </c>
      <c r="AO86" s="70" t="s">
        <v>2457</v>
      </c>
      <c r="AP86" s="70" t="s">
        <v>1301</v>
      </c>
      <c r="AQ86" s="70" t="s">
        <v>2458</v>
      </c>
      <c r="AR86" s="70" t="s">
        <v>1302</v>
      </c>
      <c r="AS86" s="70" t="s">
        <v>2459</v>
      </c>
      <c r="AZ86" s="72">
        <v>10736.17</v>
      </c>
      <c r="BA86" s="72">
        <v>0</v>
      </c>
      <c r="BB86" s="70" t="s">
        <v>67</v>
      </c>
      <c r="BC86" s="70" t="s">
        <v>1044</v>
      </c>
      <c r="BD86" s="70" t="s">
        <v>3053</v>
      </c>
      <c r="BE86" s="70" t="s">
        <v>1303</v>
      </c>
      <c r="BF86" s="70" t="s">
        <v>74</v>
      </c>
      <c r="BG86" s="70" t="s">
        <v>273</v>
      </c>
      <c r="BH86" s="70" t="s">
        <v>1304</v>
      </c>
      <c r="BI86" s="60" t="str">
        <f t="shared" si="3"/>
        <v>Ver en Mapa</v>
      </c>
      <c r="BL86" s="70">
        <v>2</v>
      </c>
      <c r="BM86" s="70">
        <v>2</v>
      </c>
      <c r="BN86" s="70" t="s">
        <v>2847</v>
      </c>
    </row>
    <row r="87" spans="1:66" s="68" customFormat="1" ht="14.4" customHeight="1" x14ac:dyDescent="0.3">
      <c r="A87" s="70" t="str">
        <f>H87</f>
        <v>001328</v>
      </c>
      <c r="B87" s="70" t="s">
        <v>61</v>
      </c>
      <c r="C87" s="70" t="s">
        <v>273</v>
      </c>
      <c r="D87" s="70" t="s">
        <v>1522</v>
      </c>
      <c r="E87" s="70" t="s">
        <v>614</v>
      </c>
      <c r="F87" s="70" t="s">
        <v>2785</v>
      </c>
      <c r="G87" s="70" t="s">
        <v>2786</v>
      </c>
      <c r="H87" s="70" t="s">
        <v>2412</v>
      </c>
      <c r="I87" s="70" t="s">
        <v>67</v>
      </c>
      <c r="J87" s="70" t="s">
        <v>615</v>
      </c>
      <c r="K87" s="71">
        <v>45798</v>
      </c>
      <c r="L87" s="71">
        <v>46163</v>
      </c>
      <c r="M87" s="72">
        <v>15000</v>
      </c>
      <c r="N87" s="72">
        <v>15801.12</v>
      </c>
      <c r="O87" s="73">
        <v>22</v>
      </c>
      <c r="P87" s="61">
        <f t="shared" si="2"/>
        <v>30</v>
      </c>
      <c r="Q87" s="73">
        <v>12</v>
      </c>
      <c r="R87" s="70" t="s">
        <v>68</v>
      </c>
      <c r="S87" s="72">
        <v>2525.04</v>
      </c>
      <c r="T87" s="72">
        <v>696</v>
      </c>
      <c r="U87" s="72">
        <v>580</v>
      </c>
      <c r="V87" s="72">
        <v>0</v>
      </c>
      <c r="W87" s="72">
        <v>1</v>
      </c>
      <c r="X87" s="72">
        <v>11850.84</v>
      </c>
      <c r="Y87" s="72">
        <v>3104.0705760000001</v>
      </c>
      <c r="Z87" s="72">
        <v>1316.76</v>
      </c>
      <c r="AA87" s="72">
        <v>1150.28</v>
      </c>
      <c r="AB87" s="72">
        <v>57.03</v>
      </c>
      <c r="AC87" s="72">
        <v>580</v>
      </c>
      <c r="AD87" s="72">
        <v>3106</v>
      </c>
      <c r="AE87" s="71">
        <v>45904</v>
      </c>
      <c r="AF87" s="70" t="s">
        <v>69</v>
      </c>
      <c r="AG87" s="70" t="s">
        <v>2413</v>
      </c>
      <c r="AH87" s="70" t="s">
        <v>616</v>
      </c>
      <c r="AJ87" s="70" t="s">
        <v>192</v>
      </c>
      <c r="AK87" s="70" t="s">
        <v>193</v>
      </c>
      <c r="AN87" s="70" t="s">
        <v>979</v>
      </c>
      <c r="AO87" s="70" t="s">
        <v>2414</v>
      </c>
      <c r="AP87" s="70" t="s">
        <v>977</v>
      </c>
      <c r="AQ87" s="70" t="s">
        <v>2415</v>
      </c>
      <c r="AR87" s="70" t="s">
        <v>978</v>
      </c>
      <c r="AS87" s="70" t="s">
        <v>2416</v>
      </c>
      <c r="AZ87" s="72">
        <v>22840.37</v>
      </c>
      <c r="BA87" s="72">
        <v>0</v>
      </c>
      <c r="BB87" s="70" t="s">
        <v>67</v>
      </c>
      <c r="BC87" s="70" t="s">
        <v>1044</v>
      </c>
      <c r="BD87" s="70" t="s">
        <v>3057</v>
      </c>
      <c r="BE87" s="70" t="s">
        <v>600</v>
      </c>
      <c r="BF87" s="70" t="s">
        <v>74</v>
      </c>
      <c r="BG87" s="70" t="s">
        <v>545</v>
      </c>
      <c r="BI87" s="60" t="str">
        <f t="shared" si="3"/>
        <v>Ver en Mapa</v>
      </c>
      <c r="BL87" s="70">
        <v>2</v>
      </c>
      <c r="BM87" s="70">
        <v>2</v>
      </c>
      <c r="BN87" s="70" t="s">
        <v>2847</v>
      </c>
    </row>
    <row r="88" spans="1:66" s="68" customFormat="1" ht="14.4" customHeight="1" x14ac:dyDescent="0.3">
      <c r="A88" s="70" t="str">
        <f>H88</f>
        <v>001121</v>
      </c>
      <c r="B88" s="70" t="s">
        <v>61</v>
      </c>
      <c r="C88" s="70" t="s">
        <v>273</v>
      </c>
      <c r="D88" s="70" t="s">
        <v>286</v>
      </c>
      <c r="E88" s="70" t="s">
        <v>287</v>
      </c>
      <c r="F88" s="70" t="s">
        <v>2785</v>
      </c>
      <c r="G88" s="70" t="s">
        <v>2786</v>
      </c>
      <c r="H88" s="70" t="s">
        <v>2360</v>
      </c>
      <c r="I88" s="70" t="s">
        <v>67</v>
      </c>
      <c r="J88" s="70" t="s">
        <v>297</v>
      </c>
      <c r="K88" s="71">
        <v>45616</v>
      </c>
      <c r="L88" s="71">
        <v>45981</v>
      </c>
      <c r="M88" s="72">
        <v>30000</v>
      </c>
      <c r="N88" s="72">
        <v>31602.23</v>
      </c>
      <c r="O88" s="73">
        <v>22</v>
      </c>
      <c r="P88" s="61">
        <f t="shared" si="2"/>
        <v>30</v>
      </c>
      <c r="Q88" s="73">
        <v>12</v>
      </c>
      <c r="R88" s="70" t="s">
        <v>68</v>
      </c>
      <c r="S88" s="72">
        <v>4493.53</v>
      </c>
      <c r="T88" s="72">
        <v>696</v>
      </c>
      <c r="U88" s="72">
        <v>580</v>
      </c>
      <c r="V88" s="72">
        <v>0</v>
      </c>
      <c r="W88" s="72">
        <v>0.1</v>
      </c>
      <c r="X88" s="72">
        <v>8361.7900000000009</v>
      </c>
      <c r="Y88" s="72">
        <v>1149.77</v>
      </c>
      <c r="Z88" s="72">
        <v>569.77</v>
      </c>
      <c r="AA88" s="72">
        <v>0</v>
      </c>
      <c r="AB88" s="72">
        <v>0</v>
      </c>
      <c r="AC88" s="72">
        <v>580</v>
      </c>
      <c r="AD88" s="72">
        <v>4494</v>
      </c>
      <c r="AE88" s="71">
        <v>45939</v>
      </c>
      <c r="AF88" s="70" t="s">
        <v>69</v>
      </c>
      <c r="AG88" s="70" t="s">
        <v>2361</v>
      </c>
      <c r="AH88" s="70" t="s">
        <v>298</v>
      </c>
      <c r="AJ88" s="70" t="s">
        <v>299</v>
      </c>
      <c r="AK88" s="70" t="s">
        <v>2362</v>
      </c>
      <c r="AL88" s="70" t="s">
        <v>300</v>
      </c>
      <c r="AN88" s="70" t="s">
        <v>937</v>
      </c>
      <c r="AO88" s="70" t="s">
        <v>2363</v>
      </c>
      <c r="AP88" s="70" t="s">
        <v>935</v>
      </c>
      <c r="AQ88" s="70" t="s">
        <v>2364</v>
      </c>
      <c r="AR88" s="70" t="s">
        <v>936</v>
      </c>
      <c r="AS88" s="70" t="s">
        <v>2365</v>
      </c>
      <c r="AT88" s="70" t="s">
        <v>122</v>
      </c>
      <c r="AU88" s="68" t="s">
        <v>301</v>
      </c>
      <c r="AV88" s="70" t="s">
        <v>302</v>
      </c>
      <c r="AZ88" s="72">
        <v>8941.7900000000009</v>
      </c>
      <c r="BA88" s="72">
        <v>0</v>
      </c>
      <c r="BB88" s="70" t="s">
        <v>135</v>
      </c>
      <c r="BC88" s="70" t="s">
        <v>136</v>
      </c>
      <c r="BD88" s="70" t="s">
        <v>303</v>
      </c>
      <c r="BE88" s="70" t="s">
        <v>304</v>
      </c>
      <c r="BF88" s="70" t="s">
        <v>74</v>
      </c>
      <c r="BG88" s="70" t="s">
        <v>296</v>
      </c>
      <c r="BI88" s="60" t="str">
        <f t="shared" si="3"/>
        <v>Ver en Mapa</v>
      </c>
      <c r="BL88" s="70">
        <v>4</v>
      </c>
      <c r="BM88" s="70">
        <v>3</v>
      </c>
      <c r="BN88" s="70" t="s">
        <v>2846</v>
      </c>
    </row>
    <row r="89" spans="1:66" s="68" customFormat="1" ht="14.4" customHeight="1" x14ac:dyDescent="0.3">
      <c r="A89" s="70" t="str">
        <f>H89</f>
        <v>001418</v>
      </c>
      <c r="B89" s="70" t="s">
        <v>61</v>
      </c>
      <c r="C89" s="70" t="s">
        <v>62</v>
      </c>
      <c r="D89" s="70" t="s">
        <v>1429</v>
      </c>
      <c r="E89" s="70" t="s">
        <v>617</v>
      </c>
      <c r="F89" s="70" t="s">
        <v>2848</v>
      </c>
      <c r="G89" s="70" t="s">
        <v>2849</v>
      </c>
      <c r="H89" s="70" t="s">
        <v>2042</v>
      </c>
      <c r="I89" s="70" t="s">
        <v>67</v>
      </c>
      <c r="J89" s="70" t="s">
        <v>1314</v>
      </c>
      <c r="K89" s="71">
        <v>45831</v>
      </c>
      <c r="L89" s="71">
        <v>46014</v>
      </c>
      <c r="M89" s="72">
        <v>5000</v>
      </c>
      <c r="N89" s="72">
        <v>5267.04</v>
      </c>
      <c r="O89" s="73">
        <v>21</v>
      </c>
      <c r="P89" s="61">
        <f t="shared" si="2"/>
        <v>30</v>
      </c>
      <c r="Q89" s="73">
        <v>6</v>
      </c>
      <c r="R89" s="70" t="s">
        <v>68</v>
      </c>
      <c r="S89" s="72">
        <v>1320.32</v>
      </c>
      <c r="T89" s="72">
        <v>348</v>
      </c>
      <c r="U89" s="72">
        <v>580</v>
      </c>
      <c r="V89" s="72">
        <v>0</v>
      </c>
      <c r="W89" s="72">
        <v>1</v>
      </c>
      <c r="X89" s="72">
        <v>3511.36</v>
      </c>
      <c r="Y89" s="72">
        <v>1880.95</v>
      </c>
      <c r="Z89" s="72">
        <v>877.84</v>
      </c>
      <c r="AA89" s="72">
        <v>384.48</v>
      </c>
      <c r="AB89" s="72">
        <v>38.630000000000003</v>
      </c>
      <c r="AC89" s="72">
        <v>580</v>
      </c>
      <c r="AD89" s="72">
        <v>1330</v>
      </c>
      <c r="AE89" s="71">
        <v>45891</v>
      </c>
      <c r="AF89" s="70" t="s">
        <v>69</v>
      </c>
      <c r="AG89" s="70" t="s">
        <v>2043</v>
      </c>
      <c r="AH89" s="70" t="s">
        <v>1315</v>
      </c>
      <c r="AJ89" s="70" t="s">
        <v>283</v>
      </c>
      <c r="AK89" s="70" t="s">
        <v>284</v>
      </c>
      <c r="AL89" s="70" t="s">
        <v>1316</v>
      </c>
      <c r="AM89" s="70" t="s">
        <v>2043</v>
      </c>
      <c r="AN89" s="70" t="s">
        <v>1317</v>
      </c>
      <c r="AO89" s="70" t="s">
        <v>2044</v>
      </c>
      <c r="AP89" s="70" t="s">
        <v>1318</v>
      </c>
      <c r="AQ89" s="70" t="s">
        <v>2045</v>
      </c>
      <c r="AR89" s="70" t="s">
        <v>1319</v>
      </c>
      <c r="AS89" s="70" t="s">
        <v>2046</v>
      </c>
      <c r="AZ89" s="72">
        <v>5667.9000000000005</v>
      </c>
      <c r="BA89" s="72">
        <v>0</v>
      </c>
      <c r="BB89" s="70" t="s">
        <v>67</v>
      </c>
      <c r="BC89" s="70" t="s">
        <v>1044</v>
      </c>
      <c r="BD89" s="70" t="s">
        <v>2909</v>
      </c>
      <c r="BE89" s="70" t="s">
        <v>339</v>
      </c>
      <c r="BF89" s="70" t="s">
        <v>74</v>
      </c>
      <c r="BG89" s="70" t="s">
        <v>75</v>
      </c>
      <c r="BH89" s="70" t="s">
        <v>1320</v>
      </c>
      <c r="BI89" s="60" t="str">
        <f t="shared" si="3"/>
        <v>Ver en Mapa</v>
      </c>
      <c r="BL89" s="70">
        <v>1</v>
      </c>
      <c r="BM89" s="70">
        <v>1</v>
      </c>
      <c r="BN89" s="70" t="s">
        <v>2847</v>
      </c>
    </row>
    <row r="90" spans="1:66" s="68" customFormat="1" ht="14.4" customHeight="1" x14ac:dyDescent="0.3">
      <c r="A90" s="70" t="str">
        <f>H90</f>
        <v>001261</v>
      </c>
      <c r="B90" s="70" t="s">
        <v>61</v>
      </c>
      <c r="C90" s="70" t="s">
        <v>194</v>
      </c>
      <c r="D90" s="70" t="s">
        <v>408</v>
      </c>
      <c r="E90" s="70" t="s">
        <v>409</v>
      </c>
      <c r="F90" s="70" t="s">
        <v>590</v>
      </c>
      <c r="G90" s="70" t="s">
        <v>2763</v>
      </c>
      <c r="H90" s="70" t="s">
        <v>2091</v>
      </c>
      <c r="I90" s="70" t="s">
        <v>67</v>
      </c>
      <c r="J90" s="70" t="s">
        <v>413</v>
      </c>
      <c r="K90" s="71">
        <v>45770</v>
      </c>
      <c r="L90" s="71">
        <v>46135</v>
      </c>
      <c r="M90" s="72">
        <v>10000</v>
      </c>
      <c r="N90" s="72">
        <v>10534.08</v>
      </c>
      <c r="O90" s="73">
        <v>21</v>
      </c>
      <c r="P90" s="61">
        <f t="shared" si="2"/>
        <v>30</v>
      </c>
      <c r="Q90" s="73">
        <v>12</v>
      </c>
      <c r="R90" s="70" t="s">
        <v>68</v>
      </c>
      <c r="S90" s="72">
        <v>1702.69</v>
      </c>
      <c r="T90" s="72">
        <v>696</v>
      </c>
      <c r="U90" s="72">
        <v>580</v>
      </c>
      <c r="V90" s="72">
        <v>0</v>
      </c>
      <c r="W90" s="72">
        <v>1</v>
      </c>
      <c r="X90" s="72">
        <v>7022.72</v>
      </c>
      <c r="Y90" s="72">
        <v>2281.46</v>
      </c>
      <c r="Z90" s="72">
        <v>877.84</v>
      </c>
      <c r="AA90" s="72">
        <v>766.85</v>
      </c>
      <c r="AB90" s="72">
        <v>56.77</v>
      </c>
      <c r="AC90" s="72">
        <v>580</v>
      </c>
      <c r="AD90" s="72">
        <v>1703</v>
      </c>
      <c r="AE90" s="71">
        <v>45909</v>
      </c>
      <c r="AF90" s="70" t="s">
        <v>69</v>
      </c>
      <c r="AG90" s="70" t="s">
        <v>2092</v>
      </c>
      <c r="AH90" s="70" t="s">
        <v>432</v>
      </c>
      <c r="AJ90" s="70" t="s">
        <v>425</v>
      </c>
      <c r="AK90" s="70" t="s">
        <v>2093</v>
      </c>
      <c r="AN90" s="70" t="s">
        <v>817</v>
      </c>
      <c r="AO90" s="70" t="s">
        <v>2094</v>
      </c>
      <c r="AP90" s="70" t="s">
        <v>815</v>
      </c>
      <c r="AQ90" s="70" t="s">
        <v>2095</v>
      </c>
      <c r="AR90" s="70" t="s">
        <v>816</v>
      </c>
      <c r="AS90" s="70" t="s">
        <v>2096</v>
      </c>
      <c r="AZ90" s="72">
        <v>13794.300000000001</v>
      </c>
      <c r="BA90" s="72">
        <v>0</v>
      </c>
      <c r="BB90" s="70" t="s">
        <v>67</v>
      </c>
      <c r="BC90" s="70" t="s">
        <v>1044</v>
      </c>
      <c r="BD90" s="70" t="s">
        <v>3010</v>
      </c>
      <c r="BE90" s="70" t="s">
        <v>414</v>
      </c>
      <c r="BF90" s="70" t="s">
        <v>74</v>
      </c>
      <c r="BG90" s="70" t="s">
        <v>415</v>
      </c>
      <c r="BI90" s="60" t="str">
        <f t="shared" si="3"/>
        <v>Ver en Mapa</v>
      </c>
      <c r="BL90" s="70">
        <v>2</v>
      </c>
      <c r="BM90" s="70">
        <v>2</v>
      </c>
      <c r="BN90" s="70" t="s">
        <v>2847</v>
      </c>
    </row>
    <row r="91" spans="1:66" s="68" customFormat="1" ht="14.4" customHeight="1" x14ac:dyDescent="0.3">
      <c r="A91" s="70" t="str">
        <f>H91</f>
        <v>001303</v>
      </c>
      <c r="B91" s="70" t="s">
        <v>61</v>
      </c>
      <c r="C91" s="70" t="s">
        <v>194</v>
      </c>
      <c r="D91" s="70" t="s">
        <v>408</v>
      </c>
      <c r="E91" s="70" t="s">
        <v>409</v>
      </c>
      <c r="F91" s="70" t="s">
        <v>2800</v>
      </c>
      <c r="G91" s="70" t="s">
        <v>2801</v>
      </c>
      <c r="H91" s="70" t="s">
        <v>2076</v>
      </c>
      <c r="I91" s="70" t="s">
        <v>67</v>
      </c>
      <c r="J91" s="70" t="s">
        <v>546</v>
      </c>
      <c r="K91" s="71">
        <v>45785</v>
      </c>
      <c r="L91" s="71">
        <v>46150</v>
      </c>
      <c r="M91" s="72">
        <v>10000</v>
      </c>
      <c r="N91" s="72">
        <v>10534.08</v>
      </c>
      <c r="O91" s="73">
        <v>21</v>
      </c>
      <c r="P91" s="61">
        <f t="shared" si="2"/>
        <v>30</v>
      </c>
      <c r="Q91" s="73">
        <v>24</v>
      </c>
      <c r="R91" s="70" t="s">
        <v>453</v>
      </c>
      <c r="S91" s="72">
        <v>880.35</v>
      </c>
      <c r="T91" s="72">
        <v>1392</v>
      </c>
      <c r="U91" s="72">
        <v>1677.77</v>
      </c>
      <c r="V91" s="72">
        <v>0</v>
      </c>
      <c r="W91" s="72">
        <v>2</v>
      </c>
      <c r="X91" s="72">
        <v>7022.72</v>
      </c>
      <c r="Y91" s="72">
        <v>3380.46</v>
      </c>
      <c r="Z91" s="72">
        <v>877.84</v>
      </c>
      <c r="AA91" s="72">
        <v>766.85</v>
      </c>
      <c r="AB91" s="72">
        <v>58</v>
      </c>
      <c r="AC91" s="72">
        <v>1677.77</v>
      </c>
      <c r="AD91" s="72">
        <v>1000</v>
      </c>
      <c r="AE91" s="71">
        <v>45937</v>
      </c>
      <c r="AF91" s="70" t="s">
        <v>69</v>
      </c>
      <c r="AG91" s="70" t="s">
        <v>2077</v>
      </c>
      <c r="AH91" s="70" t="s">
        <v>547</v>
      </c>
      <c r="AJ91" s="70" t="s">
        <v>283</v>
      </c>
      <c r="AK91" s="70" t="s">
        <v>284</v>
      </c>
      <c r="AN91" s="70" t="s">
        <v>794</v>
      </c>
      <c r="AO91" s="70" t="s">
        <v>2078</v>
      </c>
      <c r="AP91" s="70" t="s">
        <v>792</v>
      </c>
      <c r="AQ91" s="70" t="s">
        <v>2079</v>
      </c>
      <c r="AR91" s="70" t="s">
        <v>793</v>
      </c>
      <c r="AS91" s="70" t="s">
        <v>2080</v>
      </c>
      <c r="AZ91" s="72">
        <v>14893.300000000001</v>
      </c>
      <c r="BA91" s="72">
        <v>0</v>
      </c>
      <c r="BB91" s="70" t="s">
        <v>67</v>
      </c>
      <c r="BC91" s="70" t="s">
        <v>1044</v>
      </c>
      <c r="BD91" s="70" t="s">
        <v>2919</v>
      </c>
      <c r="BE91" s="70" t="s">
        <v>548</v>
      </c>
      <c r="BF91" s="70" t="s">
        <v>74</v>
      </c>
      <c r="BG91" s="70" t="s">
        <v>194</v>
      </c>
      <c r="BI91" s="60" t="str">
        <f t="shared" si="3"/>
        <v>Ver en Mapa</v>
      </c>
      <c r="BL91" s="70">
        <v>7</v>
      </c>
      <c r="BM91" s="70">
        <v>5</v>
      </c>
      <c r="BN91" s="70" t="s">
        <v>2847</v>
      </c>
    </row>
    <row r="92" spans="1:66" s="68" customFormat="1" ht="14.4" customHeight="1" x14ac:dyDescent="0.3">
      <c r="A92" s="70" t="str">
        <f>H92</f>
        <v>001612</v>
      </c>
      <c r="B92" s="70" t="s">
        <v>61</v>
      </c>
      <c r="C92" s="70" t="s">
        <v>194</v>
      </c>
      <c r="D92" s="70" t="s">
        <v>588</v>
      </c>
      <c r="E92" s="70" t="s">
        <v>589</v>
      </c>
      <c r="F92" s="70" t="s">
        <v>2800</v>
      </c>
      <c r="G92" s="70" t="s">
        <v>2801</v>
      </c>
      <c r="H92" s="70" t="s">
        <v>2189</v>
      </c>
      <c r="I92" s="70" t="s">
        <v>67</v>
      </c>
      <c r="J92" s="70" t="s">
        <v>1743</v>
      </c>
      <c r="K92" s="71">
        <v>45861</v>
      </c>
      <c r="L92" s="71">
        <v>46045</v>
      </c>
      <c r="M92" s="72">
        <v>10000</v>
      </c>
      <c r="N92" s="72">
        <v>10534.08</v>
      </c>
      <c r="O92" s="73">
        <v>21</v>
      </c>
      <c r="P92" s="61">
        <f t="shared" si="2"/>
        <v>30</v>
      </c>
      <c r="Q92" s="73">
        <v>6</v>
      </c>
      <c r="R92" s="70" t="s">
        <v>68</v>
      </c>
      <c r="S92" s="72">
        <v>2586.83</v>
      </c>
      <c r="T92" s="72">
        <v>348</v>
      </c>
      <c r="U92" s="72">
        <v>580</v>
      </c>
      <c r="V92" s="72">
        <v>0</v>
      </c>
      <c r="W92" s="72">
        <v>1</v>
      </c>
      <c r="X92" s="72">
        <v>8779.23</v>
      </c>
      <c r="Y92" s="72">
        <v>3167.67</v>
      </c>
      <c r="Z92" s="72">
        <v>1756.51</v>
      </c>
      <c r="AA92" s="72">
        <v>773.16</v>
      </c>
      <c r="AB92" s="72">
        <v>58</v>
      </c>
      <c r="AC92" s="72">
        <v>580</v>
      </c>
      <c r="AD92" s="72">
        <v>2586</v>
      </c>
      <c r="AE92" s="71">
        <v>45894</v>
      </c>
      <c r="AF92" s="70" t="s">
        <v>69</v>
      </c>
      <c r="AG92" s="70" t="s">
        <v>2190</v>
      </c>
      <c r="AH92" s="70" t="s">
        <v>1744</v>
      </c>
      <c r="AJ92" s="70" t="s">
        <v>684</v>
      </c>
      <c r="AK92" s="70" t="s">
        <v>1471</v>
      </c>
      <c r="AL92" s="70" t="s">
        <v>1745</v>
      </c>
      <c r="AN92" s="70" t="s">
        <v>1746</v>
      </c>
      <c r="AO92" s="70" t="s">
        <v>2191</v>
      </c>
      <c r="AP92" s="70" t="s">
        <v>1747</v>
      </c>
      <c r="AQ92" s="70" t="s">
        <v>2192</v>
      </c>
      <c r="AR92" s="70" t="s">
        <v>1748</v>
      </c>
      <c r="AS92" s="70" t="s">
        <v>2193</v>
      </c>
      <c r="AZ92" s="72">
        <v>13283.01</v>
      </c>
      <c r="BA92" s="72">
        <v>0</v>
      </c>
      <c r="BB92" s="70" t="s">
        <v>67</v>
      </c>
      <c r="BC92" s="70" t="s">
        <v>1044</v>
      </c>
      <c r="BD92" s="70" t="s">
        <v>1749</v>
      </c>
      <c r="BE92" s="70" t="s">
        <v>503</v>
      </c>
      <c r="BF92" s="70" t="s">
        <v>74</v>
      </c>
      <c r="BG92" s="70" t="s">
        <v>503</v>
      </c>
      <c r="BH92" s="70" t="s">
        <v>1742</v>
      </c>
      <c r="BI92" s="60" t="str">
        <f t="shared" si="3"/>
        <v>Ver en Mapa</v>
      </c>
      <c r="BL92" s="70">
        <v>1</v>
      </c>
      <c r="BM92" s="70">
        <v>1</v>
      </c>
      <c r="BN92" s="70" t="s">
        <v>2847</v>
      </c>
    </row>
    <row r="93" spans="1:66" s="68" customFormat="1" ht="14.4" customHeight="1" x14ac:dyDescent="0.3">
      <c r="A93" s="70" t="str">
        <f>H93</f>
        <v>001262</v>
      </c>
      <c r="B93" s="70" t="s">
        <v>61</v>
      </c>
      <c r="C93" s="70" t="s">
        <v>194</v>
      </c>
      <c r="D93" s="70" t="s">
        <v>408</v>
      </c>
      <c r="E93" s="70" t="s">
        <v>409</v>
      </c>
      <c r="F93" s="70" t="s">
        <v>2800</v>
      </c>
      <c r="G93" s="70" t="s">
        <v>2801</v>
      </c>
      <c r="H93" s="70" t="s">
        <v>2102</v>
      </c>
      <c r="I93" s="70" t="s">
        <v>67</v>
      </c>
      <c r="J93" s="70" t="s">
        <v>426</v>
      </c>
      <c r="K93" s="71">
        <v>45769</v>
      </c>
      <c r="L93" s="71">
        <v>45953</v>
      </c>
      <c r="M93" s="72">
        <v>7000</v>
      </c>
      <c r="N93" s="72">
        <v>7373.85</v>
      </c>
      <c r="O93" s="73">
        <v>21</v>
      </c>
      <c r="P93" s="61">
        <f t="shared" si="2"/>
        <v>30</v>
      </c>
      <c r="Q93" s="73">
        <v>6</v>
      </c>
      <c r="R93" s="70" t="s">
        <v>68</v>
      </c>
      <c r="S93" s="72">
        <v>1825.24</v>
      </c>
      <c r="T93" s="72">
        <v>348</v>
      </c>
      <c r="U93" s="72">
        <v>337.97</v>
      </c>
      <c r="V93" s="72">
        <v>0</v>
      </c>
      <c r="W93" s="72">
        <v>1</v>
      </c>
      <c r="X93" s="72">
        <v>2457.9500000000003</v>
      </c>
      <c r="Y93" s="72">
        <v>2105.2073525000001</v>
      </c>
      <c r="Z93" s="72">
        <v>1228.98</v>
      </c>
      <c r="AA93" s="72">
        <v>538.26</v>
      </c>
      <c r="AB93" s="72">
        <v>0</v>
      </c>
      <c r="AC93" s="72">
        <v>337.97</v>
      </c>
      <c r="AD93" s="72">
        <v>300</v>
      </c>
      <c r="AE93" s="71">
        <v>45932</v>
      </c>
      <c r="AF93" s="70" t="s">
        <v>69</v>
      </c>
      <c r="AG93" s="70" t="s">
        <v>2103</v>
      </c>
      <c r="AH93" s="70" t="s">
        <v>427</v>
      </c>
      <c r="AJ93" s="70" t="s">
        <v>428</v>
      </c>
      <c r="AK93" s="70" t="s">
        <v>2104</v>
      </c>
      <c r="AN93" s="70" t="s">
        <v>827</v>
      </c>
      <c r="AO93" s="70" t="s">
        <v>2105</v>
      </c>
      <c r="AP93" s="70" t="s">
        <v>825</v>
      </c>
      <c r="AQ93" s="70" t="s">
        <v>2106</v>
      </c>
      <c r="AR93" s="70" t="s">
        <v>826</v>
      </c>
      <c r="AS93" s="70" t="s">
        <v>2107</v>
      </c>
      <c r="AZ93" s="72">
        <v>3872.4500000000003</v>
      </c>
      <c r="BA93" s="72">
        <v>0</v>
      </c>
      <c r="BB93" s="70" t="s">
        <v>67</v>
      </c>
      <c r="BC93" s="70" t="s">
        <v>1044</v>
      </c>
      <c r="BD93" s="70" t="s">
        <v>429</v>
      </c>
      <c r="BE93" s="70" t="s">
        <v>430</v>
      </c>
      <c r="BF93" s="70" t="s">
        <v>74</v>
      </c>
      <c r="BG93" s="70" t="s">
        <v>194</v>
      </c>
      <c r="BI93" s="60" t="str">
        <f t="shared" si="3"/>
        <v>Ver en Mapa</v>
      </c>
      <c r="BL93" s="70">
        <v>2</v>
      </c>
      <c r="BM93" s="70">
        <v>2</v>
      </c>
      <c r="BN93" s="70" t="s">
        <v>2847</v>
      </c>
    </row>
    <row r="94" spans="1:66" s="68" customFormat="1" ht="14.4" customHeight="1" x14ac:dyDescent="0.3">
      <c r="A94" s="70" t="str">
        <f>H94</f>
        <v>001339</v>
      </c>
      <c r="B94" s="70" t="s">
        <v>61</v>
      </c>
      <c r="C94" s="70" t="s">
        <v>205</v>
      </c>
      <c r="D94" s="70" t="s">
        <v>382</v>
      </c>
      <c r="E94" s="70" t="s">
        <v>383</v>
      </c>
      <c r="F94" s="70" t="s">
        <v>2802</v>
      </c>
      <c r="G94" s="70" t="s">
        <v>2803</v>
      </c>
      <c r="H94" s="70" t="s">
        <v>2347</v>
      </c>
      <c r="I94" s="70" t="s">
        <v>67</v>
      </c>
      <c r="J94" s="70" t="s">
        <v>631</v>
      </c>
      <c r="K94" s="71">
        <v>45800</v>
      </c>
      <c r="L94" s="71">
        <v>45984</v>
      </c>
      <c r="M94" s="72">
        <v>5000</v>
      </c>
      <c r="N94" s="72">
        <v>5267.04</v>
      </c>
      <c r="O94" s="73">
        <v>21</v>
      </c>
      <c r="P94" s="61">
        <f t="shared" si="2"/>
        <v>30</v>
      </c>
      <c r="Q94" s="73">
        <v>6</v>
      </c>
      <c r="R94" s="70" t="s">
        <v>68</v>
      </c>
      <c r="S94" s="72">
        <v>1322.42</v>
      </c>
      <c r="T94" s="72">
        <v>348</v>
      </c>
      <c r="U94" s="72">
        <v>580</v>
      </c>
      <c r="V94" s="72">
        <v>0</v>
      </c>
      <c r="W94" s="72">
        <v>1</v>
      </c>
      <c r="X94" s="72">
        <v>2633.52</v>
      </c>
      <c r="Y94" s="72">
        <v>1892.25</v>
      </c>
      <c r="Z94" s="72">
        <v>877.84</v>
      </c>
      <c r="AA94" s="72">
        <v>386.58</v>
      </c>
      <c r="AB94" s="72">
        <v>47.83</v>
      </c>
      <c r="AC94" s="72">
        <v>580</v>
      </c>
      <c r="AD94" s="72">
        <v>1325</v>
      </c>
      <c r="AE94" s="71">
        <v>45894</v>
      </c>
      <c r="AF94" s="70" t="s">
        <v>69</v>
      </c>
      <c r="AG94" s="70" t="s">
        <v>2315</v>
      </c>
      <c r="AH94" s="70" t="s">
        <v>632</v>
      </c>
      <c r="AJ94" s="70" t="s">
        <v>256</v>
      </c>
      <c r="AK94" s="70" t="s">
        <v>257</v>
      </c>
      <c r="AN94" s="70" t="s">
        <v>932</v>
      </c>
      <c r="AO94" s="70" t="s">
        <v>2313</v>
      </c>
      <c r="AP94" s="70" t="s">
        <v>930</v>
      </c>
      <c r="AQ94" s="70" t="s">
        <v>2348</v>
      </c>
      <c r="AR94" s="70" t="s">
        <v>931</v>
      </c>
      <c r="AS94" s="70" t="s">
        <v>2349</v>
      </c>
      <c r="AZ94" s="72">
        <v>4421.08</v>
      </c>
      <c r="BA94" s="72">
        <v>0</v>
      </c>
      <c r="BB94" s="70" t="s">
        <v>67</v>
      </c>
      <c r="BC94" s="70" t="s">
        <v>1044</v>
      </c>
      <c r="BD94" s="70" t="s">
        <v>3035</v>
      </c>
      <c r="BE94" s="70" t="s">
        <v>267</v>
      </c>
      <c r="BF94" s="70" t="s">
        <v>213</v>
      </c>
      <c r="BG94" s="70" t="s">
        <v>205</v>
      </c>
      <c r="BI94" s="60" t="str">
        <f t="shared" si="3"/>
        <v>Ver en Mapa</v>
      </c>
      <c r="BL94" s="70">
        <v>1</v>
      </c>
      <c r="BM94" s="70">
        <v>1</v>
      </c>
      <c r="BN94" s="70" t="s">
        <v>2847</v>
      </c>
    </row>
    <row r="95" spans="1:66" s="68" customFormat="1" ht="14.4" customHeight="1" x14ac:dyDescent="0.3">
      <c r="A95" s="70" t="str">
        <f>H95</f>
        <v>001548</v>
      </c>
      <c r="B95" s="70" t="s">
        <v>61</v>
      </c>
      <c r="C95" s="70" t="s">
        <v>273</v>
      </c>
      <c r="D95" s="70" t="s">
        <v>1522</v>
      </c>
      <c r="E95" s="70" t="s">
        <v>614</v>
      </c>
      <c r="F95" s="70" t="s">
        <v>2785</v>
      </c>
      <c r="G95" s="70" t="s">
        <v>2786</v>
      </c>
      <c r="H95" s="70" t="s">
        <v>1639</v>
      </c>
      <c r="I95" s="70" t="s">
        <v>67</v>
      </c>
      <c r="J95" s="70" t="s">
        <v>1640</v>
      </c>
      <c r="K95" s="71">
        <v>45853</v>
      </c>
      <c r="L95" s="71">
        <v>46021</v>
      </c>
      <c r="M95" s="72">
        <v>5000</v>
      </c>
      <c r="N95" s="72">
        <v>5267.04</v>
      </c>
      <c r="O95" s="73">
        <v>21</v>
      </c>
      <c r="P95" s="61">
        <f t="shared" si="2"/>
        <v>30</v>
      </c>
      <c r="Q95" s="73">
        <v>12</v>
      </c>
      <c r="R95" s="70" t="s">
        <v>496</v>
      </c>
      <c r="S95" s="72">
        <v>673.4</v>
      </c>
      <c r="T95" s="72">
        <v>696</v>
      </c>
      <c r="U95" s="72">
        <v>1678.2</v>
      </c>
      <c r="V95" s="72">
        <v>6</v>
      </c>
      <c r="W95" s="72">
        <v>2</v>
      </c>
      <c r="X95" s="72">
        <v>3511.36</v>
      </c>
      <c r="Y95" s="72">
        <v>2967.41</v>
      </c>
      <c r="Z95" s="72">
        <v>877.84</v>
      </c>
      <c r="AA95" s="72">
        <v>352.97</v>
      </c>
      <c r="AB95" s="72">
        <v>58.4</v>
      </c>
      <c r="AC95" s="72">
        <v>1678.2</v>
      </c>
      <c r="AD95" s="72">
        <v>673</v>
      </c>
      <c r="AE95" s="71">
        <v>45929</v>
      </c>
      <c r="AF95" s="70" t="s">
        <v>69</v>
      </c>
      <c r="AG95" s="70" t="s">
        <v>1641</v>
      </c>
      <c r="AH95" s="70" t="s">
        <v>1642</v>
      </c>
      <c r="AJ95" s="70" t="s">
        <v>86</v>
      </c>
      <c r="AK95" s="70" t="s">
        <v>87</v>
      </c>
      <c r="AN95" s="70" t="s">
        <v>1643</v>
      </c>
      <c r="AO95" s="70" t="s">
        <v>1644</v>
      </c>
      <c r="AP95" s="70" t="s">
        <v>1645</v>
      </c>
      <c r="AQ95" s="70" t="s">
        <v>1646</v>
      </c>
      <c r="AR95" s="70" t="s">
        <v>1647</v>
      </c>
      <c r="AS95" s="70" t="s">
        <v>1648</v>
      </c>
      <c r="AZ95" s="72">
        <v>6659.81</v>
      </c>
      <c r="BA95" s="72">
        <v>0</v>
      </c>
      <c r="BB95" s="70" t="s">
        <v>67</v>
      </c>
      <c r="BC95" s="70" t="s">
        <v>1044</v>
      </c>
      <c r="BD95" s="70" t="s">
        <v>1649</v>
      </c>
      <c r="BE95" s="70" t="s">
        <v>1650</v>
      </c>
      <c r="BF95" s="70" t="s">
        <v>74</v>
      </c>
      <c r="BG95" s="70" t="s">
        <v>273</v>
      </c>
      <c r="BH95" s="70" t="s">
        <v>1651</v>
      </c>
      <c r="BI95" s="60" t="str">
        <f t="shared" si="3"/>
        <v>Ver en Mapa</v>
      </c>
      <c r="BL95" s="70">
        <v>4</v>
      </c>
      <c r="BM95" s="70">
        <v>4</v>
      </c>
      <c r="BN95" s="70" t="s">
        <v>2847</v>
      </c>
    </row>
    <row r="96" spans="1:66" s="68" customFormat="1" ht="14.4" customHeight="1" x14ac:dyDescent="0.3">
      <c r="A96" s="70" t="str">
        <f>H96</f>
        <v>001587</v>
      </c>
      <c r="B96" s="70" t="s">
        <v>61</v>
      </c>
      <c r="C96" s="70" t="s">
        <v>194</v>
      </c>
      <c r="D96" s="70" t="s">
        <v>588</v>
      </c>
      <c r="E96" s="70" t="s">
        <v>589</v>
      </c>
      <c r="F96" s="70" t="s">
        <v>590</v>
      </c>
      <c r="G96" s="70" t="s">
        <v>2763</v>
      </c>
      <c r="H96" s="70" t="s">
        <v>2244</v>
      </c>
      <c r="I96" s="70" t="s">
        <v>67</v>
      </c>
      <c r="J96" s="70" t="s">
        <v>1674</v>
      </c>
      <c r="K96" s="71">
        <v>45855</v>
      </c>
      <c r="L96" s="71">
        <v>46023</v>
      </c>
      <c r="M96" s="72">
        <v>10000</v>
      </c>
      <c r="N96" s="72">
        <v>10534.08</v>
      </c>
      <c r="O96" s="73">
        <v>19</v>
      </c>
      <c r="P96" s="61">
        <f t="shared" si="2"/>
        <v>30</v>
      </c>
      <c r="Q96" s="73">
        <v>12</v>
      </c>
      <c r="R96" s="70" t="s">
        <v>496</v>
      </c>
      <c r="S96" s="72">
        <v>1288.8</v>
      </c>
      <c r="T96" s="72">
        <v>696</v>
      </c>
      <c r="U96" s="72">
        <v>580</v>
      </c>
      <c r="V96" s="72">
        <v>6</v>
      </c>
      <c r="W96" s="72">
        <v>1.5</v>
      </c>
      <c r="X96" s="72">
        <v>6812.89</v>
      </c>
      <c r="Y96" s="72">
        <v>2536.8114432000002</v>
      </c>
      <c r="Z96" s="72">
        <v>1545.8500000000001</v>
      </c>
      <c r="AA96" s="72">
        <v>352.96</v>
      </c>
      <c r="AB96" s="72">
        <v>58</v>
      </c>
      <c r="AC96" s="72">
        <v>580</v>
      </c>
      <c r="AD96" s="72">
        <v>1200</v>
      </c>
      <c r="AE96" s="71">
        <v>45937</v>
      </c>
      <c r="AF96" s="70" t="s">
        <v>69</v>
      </c>
      <c r="AG96" s="70" t="s">
        <v>2245</v>
      </c>
      <c r="AH96" s="70" t="s">
        <v>1675</v>
      </c>
      <c r="AJ96" s="70" t="s">
        <v>393</v>
      </c>
      <c r="AK96" s="70" t="s">
        <v>394</v>
      </c>
      <c r="AL96" s="70" t="s">
        <v>1676</v>
      </c>
      <c r="AN96" s="70" t="s">
        <v>1677</v>
      </c>
      <c r="AO96" s="70" t="s">
        <v>2246</v>
      </c>
      <c r="AP96" s="70" t="s">
        <v>1678</v>
      </c>
      <c r="AQ96" s="70" t="s">
        <v>2247</v>
      </c>
      <c r="AR96" s="70" t="s">
        <v>1679</v>
      </c>
      <c r="AS96" s="70" t="s">
        <v>2248</v>
      </c>
      <c r="AZ96" s="72">
        <v>9921.6200000000008</v>
      </c>
      <c r="BA96" s="72">
        <v>0</v>
      </c>
      <c r="BB96" s="70" t="s">
        <v>67</v>
      </c>
      <c r="BC96" s="70" t="s">
        <v>1044</v>
      </c>
      <c r="BD96" s="70" t="s">
        <v>2867</v>
      </c>
      <c r="BE96" s="70" t="s">
        <v>1680</v>
      </c>
      <c r="BF96" s="70" t="s">
        <v>74</v>
      </c>
      <c r="BG96" s="70" t="s">
        <v>503</v>
      </c>
      <c r="BH96" s="70" t="s">
        <v>1681</v>
      </c>
      <c r="BI96" s="60" t="str">
        <f t="shared" si="3"/>
        <v>Ver en Mapa</v>
      </c>
      <c r="BL96" s="70">
        <v>6</v>
      </c>
      <c r="BM96" s="70">
        <v>6</v>
      </c>
      <c r="BN96" s="70" t="s">
        <v>2847</v>
      </c>
    </row>
    <row r="97" spans="1:66" s="68" customFormat="1" ht="14.4" customHeight="1" x14ac:dyDescent="0.3">
      <c r="A97" s="70" t="str">
        <f>H97</f>
        <v>001338</v>
      </c>
      <c r="B97" s="70" t="s">
        <v>61</v>
      </c>
      <c r="C97" s="70" t="s">
        <v>392</v>
      </c>
      <c r="D97" s="70" t="s">
        <v>657</v>
      </c>
      <c r="E97" s="70" t="s">
        <v>658</v>
      </c>
      <c r="F97" s="70" t="s">
        <v>2802</v>
      </c>
      <c r="G97" s="70" t="s">
        <v>2803</v>
      </c>
      <c r="H97" s="70" t="s">
        <v>659</v>
      </c>
      <c r="I97" s="70" t="s">
        <v>67</v>
      </c>
      <c r="J97" s="70" t="s">
        <v>660</v>
      </c>
      <c r="K97" s="71">
        <v>45803</v>
      </c>
      <c r="L97" s="71">
        <v>46168</v>
      </c>
      <c r="M97" s="72">
        <v>15000</v>
      </c>
      <c r="N97" s="72">
        <v>15801.12</v>
      </c>
      <c r="O97" s="73">
        <v>18</v>
      </c>
      <c r="P97" s="61">
        <f t="shared" si="2"/>
        <v>30</v>
      </c>
      <c r="Q97" s="73">
        <v>12</v>
      </c>
      <c r="R97" s="70" t="s">
        <v>68</v>
      </c>
      <c r="S97" s="72">
        <v>2525.04</v>
      </c>
      <c r="T97" s="72">
        <v>696</v>
      </c>
      <c r="U97" s="72">
        <v>0</v>
      </c>
      <c r="V97" s="72">
        <v>0</v>
      </c>
      <c r="W97" s="72">
        <v>0.4</v>
      </c>
      <c r="X97" s="72">
        <v>11613.19</v>
      </c>
      <c r="Y97" s="72">
        <v>1079.110576</v>
      </c>
      <c r="Z97" s="72">
        <v>1079.1100000000001</v>
      </c>
      <c r="AA97" s="72">
        <v>0</v>
      </c>
      <c r="AB97" s="72">
        <v>0</v>
      </c>
      <c r="AC97" s="72">
        <v>0</v>
      </c>
      <c r="AD97" s="72">
        <v>500</v>
      </c>
      <c r="AE97" s="71">
        <v>45943</v>
      </c>
      <c r="AF97" s="70" t="s">
        <v>69</v>
      </c>
      <c r="AG97" s="70" t="s">
        <v>661</v>
      </c>
      <c r="AH97" s="70" t="s">
        <v>662</v>
      </c>
      <c r="AJ97" s="70" t="s">
        <v>481</v>
      </c>
      <c r="AK97" s="70" t="s">
        <v>482</v>
      </c>
      <c r="AN97" s="70" t="s">
        <v>997</v>
      </c>
      <c r="AO97" s="70" t="s">
        <v>1030</v>
      </c>
      <c r="AP97" s="70" t="s">
        <v>994</v>
      </c>
      <c r="AQ97" s="70" t="s">
        <v>995</v>
      </c>
      <c r="AR97" s="70" t="s">
        <v>996</v>
      </c>
      <c r="AS97" s="70" t="s">
        <v>1031</v>
      </c>
      <c r="AZ97" s="72">
        <v>20815.41</v>
      </c>
      <c r="BA97" s="72">
        <v>0</v>
      </c>
      <c r="BB97" s="70" t="s">
        <v>67</v>
      </c>
      <c r="BC97" s="70" t="s">
        <v>1044</v>
      </c>
      <c r="BD97" s="70" t="s">
        <v>2896</v>
      </c>
      <c r="BE97" s="70" t="s">
        <v>664</v>
      </c>
      <c r="BF97" s="70" t="s">
        <v>74</v>
      </c>
      <c r="BG97" s="70" t="s">
        <v>392</v>
      </c>
      <c r="BI97" s="60" t="str">
        <f t="shared" si="3"/>
        <v>Ver en Mapa</v>
      </c>
      <c r="BL97" s="70">
        <v>3</v>
      </c>
      <c r="BM97" s="70">
        <v>3</v>
      </c>
      <c r="BN97" s="70" t="s">
        <v>2847</v>
      </c>
    </row>
    <row r="98" spans="1:66" s="68" customFormat="1" ht="14.4" customHeight="1" x14ac:dyDescent="0.3">
      <c r="A98" s="70" t="str">
        <f>H98</f>
        <v>001167</v>
      </c>
      <c r="B98" s="70" t="s">
        <v>61</v>
      </c>
      <c r="C98" s="70" t="s">
        <v>62</v>
      </c>
      <c r="D98" s="70" t="s">
        <v>183</v>
      </c>
      <c r="E98" s="70" t="s">
        <v>184</v>
      </c>
      <c r="F98" s="70" t="s">
        <v>590</v>
      </c>
      <c r="G98" s="70" t="s">
        <v>2763</v>
      </c>
      <c r="H98" s="70" t="s">
        <v>1865</v>
      </c>
      <c r="I98" s="70" t="s">
        <v>67</v>
      </c>
      <c r="J98" s="70" t="s">
        <v>160</v>
      </c>
      <c r="K98" s="71">
        <v>45684</v>
      </c>
      <c r="L98" s="71">
        <v>46049</v>
      </c>
      <c r="M98" s="72">
        <v>35000</v>
      </c>
      <c r="N98" s="72">
        <v>36869.270000000004</v>
      </c>
      <c r="O98" s="73">
        <v>15</v>
      </c>
      <c r="P98" s="61">
        <f t="shared" si="2"/>
        <v>15</v>
      </c>
      <c r="Q98" s="73">
        <v>12</v>
      </c>
      <c r="R98" s="70" t="s">
        <v>68</v>
      </c>
      <c r="S98" s="72">
        <v>5232.78</v>
      </c>
      <c r="T98" s="72">
        <v>696</v>
      </c>
      <c r="U98" s="72">
        <v>0</v>
      </c>
      <c r="V98" s="72">
        <v>0</v>
      </c>
      <c r="W98" s="72">
        <v>0.4</v>
      </c>
      <c r="X98" s="72">
        <v>18540.060000000001</v>
      </c>
      <c r="Y98" s="72">
        <v>1811.9</v>
      </c>
      <c r="Z98" s="72">
        <v>1811.9</v>
      </c>
      <c r="AA98" s="72">
        <v>0</v>
      </c>
      <c r="AB98" s="72">
        <v>0</v>
      </c>
      <c r="AC98" s="72">
        <v>0</v>
      </c>
      <c r="AD98" s="72">
        <v>4000</v>
      </c>
      <c r="AE98" s="71">
        <v>45936</v>
      </c>
      <c r="AF98" s="70" t="s">
        <v>69</v>
      </c>
      <c r="AG98" s="70" t="s">
        <v>1866</v>
      </c>
      <c r="AH98" s="70" t="s">
        <v>161</v>
      </c>
      <c r="AJ98" s="70" t="s">
        <v>162</v>
      </c>
      <c r="AK98" s="70" t="s">
        <v>1867</v>
      </c>
      <c r="AL98" s="70" t="s">
        <v>163</v>
      </c>
      <c r="AM98" s="70" t="s">
        <v>1868</v>
      </c>
      <c r="AN98" s="70" t="s">
        <v>722</v>
      </c>
      <c r="AO98" s="70" t="s">
        <v>1869</v>
      </c>
      <c r="AP98" s="70" t="s">
        <v>720</v>
      </c>
      <c r="AQ98" s="70" t="s">
        <v>1870</v>
      </c>
      <c r="AR98" s="70" t="s">
        <v>721</v>
      </c>
      <c r="AS98" s="70" t="s">
        <v>1870</v>
      </c>
      <c r="AT98" s="70" t="s">
        <v>122</v>
      </c>
      <c r="AU98" s="68" t="s">
        <v>164</v>
      </c>
      <c r="AV98" s="70" t="s">
        <v>165</v>
      </c>
      <c r="AZ98" s="72">
        <v>18540.060000000001</v>
      </c>
      <c r="BA98" s="72">
        <v>0</v>
      </c>
      <c r="BB98" s="70" t="s">
        <v>135</v>
      </c>
      <c r="BC98" s="70" t="s">
        <v>136</v>
      </c>
      <c r="BD98" s="70" t="s">
        <v>2972</v>
      </c>
      <c r="BE98" s="70" t="s">
        <v>88</v>
      </c>
      <c r="BF98" s="70" t="s">
        <v>74</v>
      </c>
      <c r="BG98" s="70" t="s">
        <v>75</v>
      </c>
      <c r="BI98" s="60" t="str">
        <f t="shared" si="3"/>
        <v>Ver en Mapa</v>
      </c>
      <c r="BL98" s="70">
        <v>3</v>
      </c>
      <c r="BM98" s="70">
        <v>2</v>
      </c>
      <c r="BN98" s="70" t="s">
        <v>2847</v>
      </c>
    </row>
    <row r="99" spans="1:66" s="68" customFormat="1" ht="14.4" customHeight="1" x14ac:dyDescent="0.3">
      <c r="A99" s="70" t="str">
        <f>H99</f>
        <v>001433</v>
      </c>
      <c r="B99" s="70" t="s">
        <v>61</v>
      </c>
      <c r="C99" s="70" t="s">
        <v>62</v>
      </c>
      <c r="D99" s="70" t="s">
        <v>1429</v>
      </c>
      <c r="E99" s="70" t="s">
        <v>617</v>
      </c>
      <c r="F99" s="70" t="s">
        <v>590</v>
      </c>
      <c r="G99" s="70" t="s">
        <v>2763</v>
      </c>
      <c r="H99" s="70" t="s">
        <v>1983</v>
      </c>
      <c r="I99" s="70" t="s">
        <v>67</v>
      </c>
      <c r="J99" s="70" t="s">
        <v>1387</v>
      </c>
      <c r="K99" s="71">
        <v>45838</v>
      </c>
      <c r="L99" s="71">
        <v>46023</v>
      </c>
      <c r="M99" s="72">
        <v>5000</v>
      </c>
      <c r="N99" s="72">
        <v>5267.04</v>
      </c>
      <c r="O99" s="73">
        <v>13</v>
      </c>
      <c r="P99" s="61">
        <f t="shared" si="2"/>
        <v>15</v>
      </c>
      <c r="Q99" s="73">
        <v>6</v>
      </c>
      <c r="R99" s="70" t="s">
        <v>68</v>
      </c>
      <c r="S99" s="72">
        <v>1324.52</v>
      </c>
      <c r="T99" s="72">
        <v>348</v>
      </c>
      <c r="U99" s="72">
        <v>580</v>
      </c>
      <c r="V99" s="72">
        <v>0</v>
      </c>
      <c r="W99" s="72">
        <v>1</v>
      </c>
      <c r="X99" s="72">
        <v>3511.36</v>
      </c>
      <c r="Y99" s="72">
        <v>1803.56</v>
      </c>
      <c r="Z99" s="72">
        <v>877.84</v>
      </c>
      <c r="AA99" s="72">
        <v>345.72</v>
      </c>
      <c r="AB99" s="72">
        <v>0</v>
      </c>
      <c r="AC99" s="72">
        <v>580</v>
      </c>
      <c r="AD99" s="72">
        <v>1400</v>
      </c>
      <c r="AE99" s="71">
        <v>45901</v>
      </c>
      <c r="AF99" s="70" t="s">
        <v>69</v>
      </c>
      <c r="AG99" s="70" t="s">
        <v>1984</v>
      </c>
      <c r="AH99" s="70" t="s">
        <v>1388</v>
      </c>
      <c r="AJ99" s="70" t="s">
        <v>283</v>
      </c>
      <c r="AK99" s="70" t="s">
        <v>284</v>
      </c>
      <c r="AL99" s="70" t="s">
        <v>1389</v>
      </c>
      <c r="AM99" s="70" t="s">
        <v>1984</v>
      </c>
      <c r="AN99" s="70" t="s">
        <v>1390</v>
      </c>
      <c r="AO99" s="70" t="s">
        <v>1985</v>
      </c>
      <c r="AP99" s="70" t="s">
        <v>1391</v>
      </c>
      <c r="AQ99" s="70" t="s">
        <v>1986</v>
      </c>
      <c r="AR99" s="70" t="s">
        <v>1392</v>
      </c>
      <c r="AS99" s="70" t="s">
        <v>1987</v>
      </c>
      <c r="AZ99" s="72">
        <v>5603.11</v>
      </c>
      <c r="BA99" s="72">
        <v>0</v>
      </c>
      <c r="BB99" s="70" t="s">
        <v>67</v>
      </c>
      <c r="BC99" s="70" t="s">
        <v>1044</v>
      </c>
      <c r="BD99" s="70" t="s">
        <v>2906</v>
      </c>
      <c r="BE99" s="70" t="s">
        <v>335</v>
      </c>
      <c r="BF99" s="70" t="s">
        <v>74</v>
      </c>
      <c r="BG99" s="70" t="s">
        <v>338</v>
      </c>
      <c r="BH99" s="70" t="s">
        <v>1393</v>
      </c>
      <c r="BI99" s="60" t="str">
        <f t="shared" si="3"/>
        <v>Ver en Mapa</v>
      </c>
      <c r="BL99" s="70">
        <v>1</v>
      </c>
      <c r="BM99" s="70">
        <v>1</v>
      </c>
      <c r="BN99" s="70" t="s">
        <v>2847</v>
      </c>
    </row>
    <row r="100" spans="1:66" s="68" customFormat="1" ht="14.4" customHeight="1" x14ac:dyDescent="0.3">
      <c r="A100" s="70" t="str">
        <f>H100</f>
        <v>001520</v>
      </c>
      <c r="B100" s="70" t="s">
        <v>61</v>
      </c>
      <c r="C100" s="70" t="s">
        <v>194</v>
      </c>
      <c r="D100" s="70" t="s">
        <v>588</v>
      </c>
      <c r="E100" s="70" t="s">
        <v>589</v>
      </c>
      <c r="F100" s="70" t="s">
        <v>2800</v>
      </c>
      <c r="G100" s="70" t="s">
        <v>2801</v>
      </c>
      <c r="H100" s="70" t="s">
        <v>2184</v>
      </c>
      <c r="I100" s="70" t="s">
        <v>67</v>
      </c>
      <c r="J100" s="70" t="s">
        <v>1735</v>
      </c>
      <c r="K100" s="71">
        <v>45861</v>
      </c>
      <c r="L100" s="71">
        <v>46029</v>
      </c>
      <c r="M100" s="72">
        <v>10000</v>
      </c>
      <c r="N100" s="72">
        <v>10534.08</v>
      </c>
      <c r="O100" s="73">
        <v>13</v>
      </c>
      <c r="P100" s="61">
        <f t="shared" si="2"/>
        <v>15</v>
      </c>
      <c r="Q100" s="73">
        <v>12</v>
      </c>
      <c r="R100" s="70" t="s">
        <v>496</v>
      </c>
      <c r="S100" s="72">
        <v>1288.8</v>
      </c>
      <c r="T100" s="72">
        <v>696</v>
      </c>
      <c r="U100" s="72">
        <v>580</v>
      </c>
      <c r="V100" s="72">
        <v>5</v>
      </c>
      <c r="W100" s="72">
        <v>1</v>
      </c>
      <c r="X100" s="72">
        <v>7022.72</v>
      </c>
      <c r="Y100" s="72">
        <v>1866.01</v>
      </c>
      <c r="Z100" s="72">
        <v>877.84</v>
      </c>
      <c r="AA100" s="72">
        <v>352.96</v>
      </c>
      <c r="AB100" s="72">
        <v>55.21</v>
      </c>
      <c r="AC100" s="72">
        <v>580</v>
      </c>
      <c r="AD100" s="72">
        <v>1290</v>
      </c>
      <c r="AE100" s="71">
        <v>45917</v>
      </c>
      <c r="AF100" s="70" t="s">
        <v>69</v>
      </c>
      <c r="AG100" s="70" t="s">
        <v>2185</v>
      </c>
      <c r="AH100" s="70" t="s">
        <v>1736</v>
      </c>
      <c r="AJ100" s="70" t="s">
        <v>684</v>
      </c>
      <c r="AK100" s="70" t="s">
        <v>1471</v>
      </c>
      <c r="AL100" s="70" t="s">
        <v>1737</v>
      </c>
      <c r="AN100" s="70" t="s">
        <v>1738</v>
      </c>
      <c r="AO100" s="70" t="s">
        <v>2186</v>
      </c>
      <c r="AP100" s="70" t="s">
        <v>1739</v>
      </c>
      <c r="AQ100" s="70" t="s">
        <v>2187</v>
      </c>
      <c r="AR100" s="70" t="s">
        <v>1740</v>
      </c>
      <c r="AS100" s="70" t="s">
        <v>2188</v>
      </c>
      <c r="AZ100" s="72">
        <v>10481.620000000001</v>
      </c>
      <c r="BA100" s="72">
        <v>0</v>
      </c>
      <c r="BB100" s="70" t="s">
        <v>67</v>
      </c>
      <c r="BC100" s="70" t="s">
        <v>1044</v>
      </c>
      <c r="BD100" s="70" t="s">
        <v>1741</v>
      </c>
      <c r="BE100" s="70" t="s">
        <v>503</v>
      </c>
      <c r="BF100" s="70" t="s">
        <v>74</v>
      </c>
      <c r="BG100" s="70" t="s">
        <v>503</v>
      </c>
      <c r="BH100" s="70" t="s">
        <v>1742</v>
      </c>
      <c r="BI100" s="60" t="str">
        <f t="shared" si="3"/>
        <v>Ver en Mapa</v>
      </c>
      <c r="BL100" s="70">
        <v>1</v>
      </c>
      <c r="BM100" s="70">
        <v>1</v>
      </c>
      <c r="BN100" s="70" t="s">
        <v>2847</v>
      </c>
    </row>
    <row r="101" spans="1:66" s="68" customFormat="1" ht="14.4" customHeight="1" x14ac:dyDescent="0.3">
      <c r="A101" s="70" t="str">
        <f>H101</f>
        <v>001349</v>
      </c>
      <c r="B101" s="70" t="s">
        <v>61</v>
      </c>
      <c r="C101" s="70" t="s">
        <v>62</v>
      </c>
      <c r="D101" s="70" t="s">
        <v>183</v>
      </c>
      <c r="E101" s="70" t="s">
        <v>184</v>
      </c>
      <c r="F101" s="70" t="s">
        <v>590</v>
      </c>
      <c r="G101" s="70" t="s">
        <v>2763</v>
      </c>
      <c r="H101" s="70" t="s">
        <v>1999</v>
      </c>
      <c r="I101" s="70" t="s">
        <v>67</v>
      </c>
      <c r="J101" s="70" t="s">
        <v>1032</v>
      </c>
      <c r="K101" s="71">
        <v>45810</v>
      </c>
      <c r="L101" s="71">
        <v>46146</v>
      </c>
      <c r="M101" s="72">
        <v>15000</v>
      </c>
      <c r="N101" s="72">
        <v>15801.12</v>
      </c>
      <c r="O101" s="73">
        <v>8</v>
      </c>
      <c r="P101" s="61">
        <f t="shared" si="2"/>
        <v>15</v>
      </c>
      <c r="Q101" s="73">
        <v>24</v>
      </c>
      <c r="R101" s="70" t="s">
        <v>496</v>
      </c>
      <c r="S101" s="72">
        <v>1245.82</v>
      </c>
      <c r="T101" s="72">
        <v>1392</v>
      </c>
      <c r="U101" s="72">
        <v>1160</v>
      </c>
      <c r="V101" s="72">
        <v>9</v>
      </c>
      <c r="W101" s="72">
        <v>1</v>
      </c>
      <c r="X101" s="72">
        <v>10534.08</v>
      </c>
      <c r="Y101" s="72">
        <v>2372.41</v>
      </c>
      <c r="Z101" s="72">
        <v>658.38</v>
      </c>
      <c r="AA101" s="72">
        <v>529.45000000000005</v>
      </c>
      <c r="AB101" s="72">
        <v>24.580000000000002</v>
      </c>
      <c r="AC101" s="72">
        <v>1160</v>
      </c>
      <c r="AD101" s="72">
        <v>1250</v>
      </c>
      <c r="AE101" s="71">
        <v>45936</v>
      </c>
      <c r="AF101" s="70" t="s">
        <v>69</v>
      </c>
      <c r="AG101" s="70" t="s">
        <v>2000</v>
      </c>
      <c r="AH101" s="70" t="s">
        <v>1033</v>
      </c>
      <c r="AJ101" s="70" t="s">
        <v>526</v>
      </c>
      <c r="AK101" s="70" t="s">
        <v>527</v>
      </c>
      <c r="AL101" s="70" t="s">
        <v>1034</v>
      </c>
      <c r="AM101" s="70" t="s">
        <v>2000</v>
      </c>
      <c r="AN101" s="70" t="s">
        <v>1035</v>
      </c>
      <c r="AO101" s="70" t="s">
        <v>2001</v>
      </c>
      <c r="AP101" s="70" t="s">
        <v>1036</v>
      </c>
      <c r="AQ101" s="70" t="s">
        <v>2002</v>
      </c>
      <c r="AR101" s="70" t="s">
        <v>1037</v>
      </c>
      <c r="AS101" s="70" t="s">
        <v>2003</v>
      </c>
      <c r="AZ101" s="72">
        <v>20189.75</v>
      </c>
      <c r="BA101" s="72">
        <v>0</v>
      </c>
      <c r="BB101" s="70" t="s">
        <v>67</v>
      </c>
      <c r="BC101" s="70" t="s">
        <v>1044</v>
      </c>
      <c r="BD101" s="70" t="s">
        <v>2986</v>
      </c>
      <c r="BE101" s="70" t="s">
        <v>88</v>
      </c>
      <c r="BF101" s="70" t="s">
        <v>74</v>
      </c>
      <c r="BG101" s="70" t="s">
        <v>75</v>
      </c>
      <c r="BI101" s="60" t="str">
        <f t="shared" si="3"/>
        <v>Ver en Mapa</v>
      </c>
      <c r="BL101" s="70">
        <v>3</v>
      </c>
      <c r="BM101" s="70">
        <v>2</v>
      </c>
      <c r="BN101" s="70" t="s">
        <v>2847</v>
      </c>
    </row>
    <row r="102" spans="1:66" s="68" customFormat="1" ht="14.4" customHeight="1" x14ac:dyDescent="0.3">
      <c r="A102" s="70" t="str">
        <f>H102</f>
        <v>001374</v>
      </c>
      <c r="B102" s="70" t="s">
        <v>61</v>
      </c>
      <c r="C102" s="70" t="s">
        <v>194</v>
      </c>
      <c r="D102" s="70" t="s">
        <v>588</v>
      </c>
      <c r="E102" s="70" t="s">
        <v>589</v>
      </c>
      <c r="F102" s="70" t="s">
        <v>590</v>
      </c>
      <c r="G102" s="70" t="s">
        <v>2763</v>
      </c>
      <c r="H102" s="70" t="s">
        <v>2225</v>
      </c>
      <c r="I102" s="70" t="s">
        <v>67</v>
      </c>
      <c r="J102" s="70" t="s">
        <v>1109</v>
      </c>
      <c r="K102" s="71">
        <v>45814</v>
      </c>
      <c r="L102" s="71">
        <v>46179</v>
      </c>
      <c r="M102" s="72">
        <v>20000</v>
      </c>
      <c r="N102" s="72">
        <v>21068.16</v>
      </c>
      <c r="O102" s="73">
        <v>8</v>
      </c>
      <c r="P102" s="61">
        <f t="shared" si="2"/>
        <v>15</v>
      </c>
      <c r="Q102" s="73">
        <v>12</v>
      </c>
      <c r="R102" s="70" t="s">
        <v>68</v>
      </c>
      <c r="S102" s="72">
        <v>3347.38</v>
      </c>
      <c r="T102" s="72">
        <v>696</v>
      </c>
      <c r="U102" s="72">
        <v>580</v>
      </c>
      <c r="V102" s="72">
        <v>0</v>
      </c>
      <c r="W102" s="72">
        <v>1</v>
      </c>
      <c r="X102" s="72">
        <v>15801.12</v>
      </c>
      <c r="Y102" s="72">
        <v>3901.5341013333332</v>
      </c>
      <c r="Z102" s="72">
        <v>1755.68</v>
      </c>
      <c r="AA102" s="72">
        <v>1533.7</v>
      </c>
      <c r="AB102" s="72">
        <v>32.15</v>
      </c>
      <c r="AC102" s="72">
        <v>580</v>
      </c>
      <c r="AD102" s="72">
        <v>3350</v>
      </c>
      <c r="AE102" s="71">
        <v>45908</v>
      </c>
      <c r="AF102" s="70" t="s">
        <v>69</v>
      </c>
      <c r="AG102" s="70" t="s">
        <v>2226</v>
      </c>
      <c r="AH102" s="70" t="s">
        <v>1110</v>
      </c>
      <c r="AJ102" s="70" t="s">
        <v>481</v>
      </c>
      <c r="AK102" s="70" t="s">
        <v>482</v>
      </c>
      <c r="AN102" s="70" t="s">
        <v>1111</v>
      </c>
      <c r="AO102" s="70" t="s">
        <v>2227</v>
      </c>
      <c r="AP102" s="70" t="s">
        <v>1112</v>
      </c>
      <c r="AQ102" s="70" t="s">
        <v>2228</v>
      </c>
      <c r="AR102" s="70" t="s">
        <v>1113</v>
      </c>
      <c r="AS102" s="70" t="s">
        <v>2204</v>
      </c>
      <c r="AZ102" s="72">
        <v>30216.600000000002</v>
      </c>
      <c r="BA102" s="72">
        <v>0</v>
      </c>
      <c r="BB102" s="70" t="s">
        <v>67</v>
      </c>
      <c r="BC102" s="70" t="s">
        <v>1044</v>
      </c>
      <c r="BD102" s="70" t="s">
        <v>2893</v>
      </c>
      <c r="BE102" s="70" t="s">
        <v>1114</v>
      </c>
      <c r="BF102" s="70" t="s">
        <v>74</v>
      </c>
      <c r="BG102" s="70" t="s">
        <v>646</v>
      </c>
      <c r="BH102" s="70" t="s">
        <v>1115</v>
      </c>
      <c r="BI102" s="60" t="str">
        <f t="shared" si="3"/>
        <v>Ver en Mapa</v>
      </c>
      <c r="BL102" s="70">
        <v>2</v>
      </c>
      <c r="BM102" s="70">
        <v>1</v>
      </c>
      <c r="BN102" s="70" t="s">
        <v>2847</v>
      </c>
    </row>
    <row r="103" spans="1:66" s="68" customFormat="1" ht="14.4" customHeight="1" x14ac:dyDescent="0.3">
      <c r="A103" s="70" t="str">
        <f>H103</f>
        <v>001557</v>
      </c>
      <c r="B103" s="70" t="s">
        <v>61</v>
      </c>
      <c r="C103" s="70" t="s">
        <v>194</v>
      </c>
      <c r="D103" s="70" t="s">
        <v>588</v>
      </c>
      <c r="E103" s="70" t="s">
        <v>589</v>
      </c>
      <c r="F103" s="70" t="s">
        <v>590</v>
      </c>
      <c r="G103" s="70" t="s">
        <v>2763</v>
      </c>
      <c r="H103" s="70" t="s">
        <v>2566</v>
      </c>
      <c r="I103" s="70" t="s">
        <v>67</v>
      </c>
      <c r="J103" s="70" t="s">
        <v>2567</v>
      </c>
      <c r="K103" s="71">
        <v>45873</v>
      </c>
      <c r="L103" s="71">
        <v>46238</v>
      </c>
      <c r="M103" s="72">
        <v>100000</v>
      </c>
      <c r="N103" s="72">
        <v>105340.78</v>
      </c>
      <c r="O103" s="73">
        <v>8</v>
      </c>
      <c r="P103" s="61">
        <f t="shared" si="2"/>
        <v>15</v>
      </c>
      <c r="Q103" s="73">
        <v>12</v>
      </c>
      <c r="R103" s="70" t="s">
        <v>68</v>
      </c>
      <c r="S103" s="72">
        <v>16504.91</v>
      </c>
      <c r="T103" s="72">
        <v>696</v>
      </c>
      <c r="U103" s="72">
        <v>580</v>
      </c>
      <c r="V103" s="72">
        <v>0</v>
      </c>
      <c r="W103" s="72">
        <v>1</v>
      </c>
      <c r="X103" s="72">
        <v>96562.38</v>
      </c>
      <c r="Y103" s="72">
        <v>17084.829008111101</v>
      </c>
      <c r="Z103" s="72">
        <v>8778.4</v>
      </c>
      <c r="AA103" s="72">
        <v>7668.51</v>
      </c>
      <c r="AB103" s="72">
        <v>57.92</v>
      </c>
      <c r="AC103" s="72">
        <v>580</v>
      </c>
      <c r="AD103" s="72">
        <v>17085</v>
      </c>
      <c r="AE103" s="71">
        <v>45908</v>
      </c>
      <c r="AF103" s="70" t="s">
        <v>69</v>
      </c>
      <c r="AG103" s="70" t="s">
        <v>2568</v>
      </c>
      <c r="AH103" s="70" t="s">
        <v>2569</v>
      </c>
      <c r="AJ103" s="70" t="s">
        <v>82</v>
      </c>
      <c r="AK103" s="70" t="s">
        <v>83</v>
      </c>
      <c r="AL103" s="70" t="s">
        <v>2570</v>
      </c>
      <c r="AN103" s="70" t="s">
        <v>2571</v>
      </c>
      <c r="AO103" s="70" t="s">
        <v>2572</v>
      </c>
      <c r="AP103" s="70" t="s">
        <v>2573</v>
      </c>
      <c r="AQ103" s="70" t="s">
        <v>2574</v>
      </c>
      <c r="AR103" s="70" t="s">
        <v>2575</v>
      </c>
      <c r="AS103" s="70" t="s">
        <v>2576</v>
      </c>
      <c r="AT103" s="70" t="s">
        <v>122</v>
      </c>
      <c r="AU103" s="68" t="s">
        <v>2577</v>
      </c>
      <c r="AV103" s="70" t="s">
        <v>2578</v>
      </c>
      <c r="AZ103" s="72">
        <v>181553.97</v>
      </c>
      <c r="BA103" s="72">
        <v>0</v>
      </c>
      <c r="BB103" s="70" t="s">
        <v>76</v>
      </c>
      <c r="BC103" s="70" t="s">
        <v>1600</v>
      </c>
      <c r="BD103" s="70" t="s">
        <v>2982</v>
      </c>
      <c r="BE103" s="70" t="s">
        <v>651</v>
      </c>
      <c r="BF103" s="70" t="s">
        <v>74</v>
      </c>
      <c r="BG103" s="70" t="s">
        <v>646</v>
      </c>
      <c r="BH103" s="70" t="s">
        <v>2579</v>
      </c>
      <c r="BI103" s="60" t="str">
        <f t="shared" si="3"/>
        <v>Ver en Mapa</v>
      </c>
      <c r="BL103" s="70">
        <v>2</v>
      </c>
      <c r="BM103" s="70">
        <v>2</v>
      </c>
      <c r="BN103" s="70" t="s">
        <v>2847</v>
      </c>
    </row>
    <row r="104" spans="1:66" s="68" customFormat="1" ht="14.4" customHeight="1" x14ac:dyDescent="0.3">
      <c r="A104" s="70" t="str">
        <f>H104</f>
        <v>001298</v>
      </c>
      <c r="B104" s="70" t="s">
        <v>61</v>
      </c>
      <c r="C104" s="70" t="s">
        <v>194</v>
      </c>
      <c r="D104" s="70" t="s">
        <v>408</v>
      </c>
      <c r="E104" s="70" t="s">
        <v>409</v>
      </c>
      <c r="F104" s="70" t="s">
        <v>2800</v>
      </c>
      <c r="G104" s="70" t="s">
        <v>2801</v>
      </c>
      <c r="H104" s="70" t="s">
        <v>531</v>
      </c>
      <c r="I104" s="70" t="s">
        <v>67</v>
      </c>
      <c r="J104" s="70" t="s">
        <v>532</v>
      </c>
      <c r="K104" s="71">
        <v>45783</v>
      </c>
      <c r="L104" s="71">
        <v>45967</v>
      </c>
      <c r="M104" s="72">
        <v>6000</v>
      </c>
      <c r="N104" s="72">
        <v>6320.45</v>
      </c>
      <c r="O104" s="73">
        <v>8</v>
      </c>
      <c r="P104" s="61">
        <f t="shared" si="2"/>
        <v>15</v>
      </c>
      <c r="Q104" s="73">
        <v>6</v>
      </c>
      <c r="R104" s="70" t="s">
        <v>68</v>
      </c>
      <c r="S104" s="72">
        <v>1575.3</v>
      </c>
      <c r="T104" s="72">
        <v>348</v>
      </c>
      <c r="U104" s="72">
        <v>580</v>
      </c>
      <c r="V104" s="72">
        <v>0</v>
      </c>
      <c r="W104" s="72">
        <v>1</v>
      </c>
      <c r="X104" s="72">
        <v>2106.8200000000002</v>
      </c>
      <c r="Y104" s="72">
        <v>2154.6063622222218</v>
      </c>
      <c r="Z104" s="72">
        <v>1053.4100000000001</v>
      </c>
      <c r="AA104" s="72">
        <v>463.89</v>
      </c>
      <c r="AB104" s="72">
        <v>57.300000000000004</v>
      </c>
      <c r="AC104" s="72">
        <v>580</v>
      </c>
      <c r="AD104" s="72">
        <v>1575.3</v>
      </c>
      <c r="AE104" s="71">
        <v>45908</v>
      </c>
      <c r="AF104" s="70" t="s">
        <v>69</v>
      </c>
      <c r="AG104" s="70" t="s">
        <v>533</v>
      </c>
      <c r="AH104" s="70" t="s">
        <v>534</v>
      </c>
      <c r="AJ104" s="70" t="s">
        <v>526</v>
      </c>
      <c r="AK104" s="70" t="s">
        <v>527</v>
      </c>
      <c r="AN104" s="70" t="s">
        <v>788</v>
      </c>
      <c r="AO104" s="70" t="s">
        <v>1262</v>
      </c>
      <c r="AP104" s="70" t="s">
        <v>785</v>
      </c>
      <c r="AQ104" s="70" t="s">
        <v>786</v>
      </c>
      <c r="AR104" s="70" t="s">
        <v>787</v>
      </c>
      <c r="AS104" s="70" t="s">
        <v>1263</v>
      </c>
      <c r="AZ104" s="72">
        <v>3671.91</v>
      </c>
      <c r="BA104" s="72">
        <v>0</v>
      </c>
      <c r="BB104" s="70" t="s">
        <v>67</v>
      </c>
      <c r="BC104" s="70" t="s">
        <v>1044</v>
      </c>
      <c r="BD104" s="70" t="s">
        <v>2987</v>
      </c>
      <c r="BE104" s="70" t="s">
        <v>535</v>
      </c>
      <c r="BF104" s="70" t="s">
        <v>74</v>
      </c>
      <c r="BG104" s="70" t="s">
        <v>194</v>
      </c>
      <c r="BI104" s="60" t="str">
        <f t="shared" si="3"/>
        <v>Ver en Mapa</v>
      </c>
      <c r="BL104" s="70">
        <v>2</v>
      </c>
      <c r="BM104" s="70">
        <v>1</v>
      </c>
      <c r="BN104" s="70" t="s">
        <v>2847</v>
      </c>
    </row>
    <row r="105" spans="1:66" s="68" customFormat="1" ht="14.4" customHeight="1" x14ac:dyDescent="0.3">
      <c r="A105" s="70" t="str">
        <f>H105</f>
        <v>001301</v>
      </c>
      <c r="B105" s="70" t="s">
        <v>61</v>
      </c>
      <c r="C105" s="70" t="s">
        <v>194</v>
      </c>
      <c r="D105" s="70" t="s">
        <v>408</v>
      </c>
      <c r="E105" s="70" t="s">
        <v>409</v>
      </c>
      <c r="F105" s="70" t="s">
        <v>2800</v>
      </c>
      <c r="G105" s="70" t="s">
        <v>2801</v>
      </c>
      <c r="H105" s="70" t="s">
        <v>2071</v>
      </c>
      <c r="I105" s="70" t="s">
        <v>67</v>
      </c>
      <c r="J105" s="70" t="s">
        <v>536</v>
      </c>
      <c r="K105" s="71">
        <v>45783</v>
      </c>
      <c r="L105" s="71">
        <v>45967</v>
      </c>
      <c r="M105" s="72">
        <v>5000</v>
      </c>
      <c r="N105" s="72">
        <v>5267.04</v>
      </c>
      <c r="O105" s="73">
        <v>8</v>
      </c>
      <c r="P105" s="61">
        <f t="shared" si="2"/>
        <v>15</v>
      </c>
      <c r="Q105" s="73">
        <v>12</v>
      </c>
      <c r="R105" s="70" t="s">
        <v>453</v>
      </c>
      <c r="S105" s="72">
        <v>690.21</v>
      </c>
      <c r="T105" s="72">
        <v>696</v>
      </c>
      <c r="U105" s="72">
        <v>1105.4000000000001</v>
      </c>
      <c r="V105" s="72">
        <v>0</v>
      </c>
      <c r="W105" s="72">
        <v>1</v>
      </c>
      <c r="X105" s="72">
        <v>1316.76</v>
      </c>
      <c r="Y105" s="72">
        <v>1737.6200000000001</v>
      </c>
      <c r="Z105" s="72">
        <v>438.92</v>
      </c>
      <c r="AA105" s="72">
        <v>193.3</v>
      </c>
      <c r="AB105" s="72">
        <v>0</v>
      </c>
      <c r="AC105" s="72">
        <v>1105.4000000000001</v>
      </c>
      <c r="AD105" s="72">
        <v>691</v>
      </c>
      <c r="AE105" s="71">
        <v>45936</v>
      </c>
      <c r="AF105" s="70" t="s">
        <v>69</v>
      </c>
      <c r="AG105" s="70" t="s">
        <v>2072</v>
      </c>
      <c r="AH105" s="70" t="s">
        <v>562</v>
      </c>
      <c r="AJ105" s="70" t="s">
        <v>537</v>
      </c>
      <c r="AK105" s="70" t="s">
        <v>1457</v>
      </c>
      <c r="AN105" s="70" t="s">
        <v>791</v>
      </c>
      <c r="AO105" s="70" t="s">
        <v>2073</v>
      </c>
      <c r="AP105" s="70" t="s">
        <v>789</v>
      </c>
      <c r="AQ105" s="70" t="s">
        <v>2074</v>
      </c>
      <c r="AR105" s="70" t="s">
        <v>790</v>
      </c>
      <c r="AS105" s="70" t="s">
        <v>2075</v>
      </c>
      <c r="AZ105" s="72">
        <v>3002.03</v>
      </c>
      <c r="BA105" s="72">
        <v>0</v>
      </c>
      <c r="BB105" s="70" t="s">
        <v>67</v>
      </c>
      <c r="BC105" s="70" t="s">
        <v>1044</v>
      </c>
      <c r="BD105" s="70" t="s">
        <v>3002</v>
      </c>
      <c r="BE105" s="70" t="s">
        <v>381</v>
      </c>
      <c r="BF105" s="70" t="s">
        <v>74</v>
      </c>
      <c r="BG105" s="70" t="s">
        <v>194</v>
      </c>
      <c r="BI105" s="60" t="str">
        <f t="shared" si="3"/>
        <v>Ver en Mapa</v>
      </c>
      <c r="BL105" s="70">
        <v>3</v>
      </c>
      <c r="BM105" s="70">
        <v>3</v>
      </c>
      <c r="BN105" s="70" t="s">
        <v>2847</v>
      </c>
    </row>
    <row r="106" spans="1:66" s="68" customFormat="1" ht="14.4" customHeight="1" x14ac:dyDescent="0.3">
      <c r="A106" s="70" t="str">
        <f>H106</f>
        <v>001176</v>
      </c>
      <c r="B106" s="70" t="s">
        <v>61</v>
      </c>
      <c r="C106" s="70" t="s">
        <v>62</v>
      </c>
      <c r="D106" s="70" t="s">
        <v>408</v>
      </c>
      <c r="E106" s="70" t="s">
        <v>409</v>
      </c>
      <c r="F106" s="70" t="s">
        <v>2848</v>
      </c>
      <c r="G106" s="70" t="s">
        <v>2849</v>
      </c>
      <c r="H106" s="70" t="s">
        <v>1877</v>
      </c>
      <c r="I106" s="70" t="s">
        <v>67</v>
      </c>
      <c r="J106" s="70" t="s">
        <v>521</v>
      </c>
      <c r="K106" s="71">
        <v>45784</v>
      </c>
      <c r="L106" s="71">
        <v>46149</v>
      </c>
      <c r="M106" s="72">
        <v>15000</v>
      </c>
      <c r="N106" s="72">
        <v>15801.12</v>
      </c>
      <c r="O106" s="73">
        <v>7</v>
      </c>
      <c r="P106" s="61">
        <f t="shared" si="2"/>
        <v>7</v>
      </c>
      <c r="Q106" s="73">
        <v>12</v>
      </c>
      <c r="R106" s="70" t="s">
        <v>68</v>
      </c>
      <c r="S106" s="72">
        <v>2525.04</v>
      </c>
      <c r="T106" s="72">
        <v>696</v>
      </c>
      <c r="U106" s="72">
        <v>560</v>
      </c>
      <c r="V106" s="72">
        <v>0</v>
      </c>
      <c r="W106" s="72">
        <v>0.5</v>
      </c>
      <c r="X106" s="72">
        <v>10406.51</v>
      </c>
      <c r="Y106" s="72">
        <v>1749.19</v>
      </c>
      <c r="Z106" s="72">
        <v>1189.19</v>
      </c>
      <c r="AA106" s="72">
        <v>0</v>
      </c>
      <c r="AB106" s="72">
        <v>0</v>
      </c>
      <c r="AC106" s="72">
        <v>560</v>
      </c>
      <c r="AD106" s="72">
        <v>20</v>
      </c>
      <c r="AE106" s="71">
        <v>45939</v>
      </c>
      <c r="AF106" s="70" t="s">
        <v>69</v>
      </c>
      <c r="AG106" s="70" t="s">
        <v>1878</v>
      </c>
      <c r="AH106" s="70" t="s">
        <v>522</v>
      </c>
      <c r="AJ106" s="70" t="s">
        <v>523</v>
      </c>
      <c r="AK106" s="70" t="s">
        <v>1879</v>
      </c>
      <c r="AN106" s="70" t="s">
        <v>736</v>
      </c>
      <c r="AO106" s="70" t="s">
        <v>1880</v>
      </c>
      <c r="AP106" s="70" t="s">
        <v>734</v>
      </c>
      <c r="AQ106" s="70" t="s">
        <v>1881</v>
      </c>
      <c r="AR106" s="70" t="s">
        <v>735</v>
      </c>
      <c r="AS106" s="70" t="s">
        <v>1882</v>
      </c>
      <c r="AZ106" s="72">
        <v>19018.45</v>
      </c>
      <c r="BA106" s="72">
        <v>0</v>
      </c>
      <c r="BB106" s="70" t="s">
        <v>67</v>
      </c>
      <c r="BC106" s="70" t="s">
        <v>1044</v>
      </c>
      <c r="BD106" s="70" t="s">
        <v>524</v>
      </c>
      <c r="BE106" s="70" t="s">
        <v>172</v>
      </c>
      <c r="BF106" s="70" t="s">
        <v>74</v>
      </c>
      <c r="BG106" s="70" t="s">
        <v>75</v>
      </c>
      <c r="BI106" s="60" t="str">
        <f t="shared" si="3"/>
        <v>Ver en Mapa</v>
      </c>
      <c r="BL106" s="70">
        <v>5</v>
      </c>
      <c r="BM106" s="70">
        <v>5</v>
      </c>
      <c r="BN106" s="70" t="s">
        <v>2847</v>
      </c>
    </row>
    <row r="107" spans="1:66" s="68" customFormat="1" ht="14.4" customHeight="1" x14ac:dyDescent="0.3">
      <c r="A107" s="70" t="str">
        <f>H107</f>
        <v>001149</v>
      </c>
      <c r="B107" s="70" t="s">
        <v>61</v>
      </c>
      <c r="C107" s="70" t="s">
        <v>62</v>
      </c>
      <c r="D107" s="70" t="s">
        <v>183</v>
      </c>
      <c r="E107" s="70" t="s">
        <v>184</v>
      </c>
      <c r="F107" s="70" t="s">
        <v>2848</v>
      </c>
      <c r="G107" s="70" t="s">
        <v>2849</v>
      </c>
      <c r="H107" s="70" t="s">
        <v>1871</v>
      </c>
      <c r="I107" s="70" t="s">
        <v>67</v>
      </c>
      <c r="J107" s="70" t="s">
        <v>361</v>
      </c>
      <c r="K107" s="71">
        <v>45723</v>
      </c>
      <c r="L107" s="71">
        <v>46088</v>
      </c>
      <c r="M107" s="72">
        <v>40000</v>
      </c>
      <c r="N107" s="72">
        <v>42136.31</v>
      </c>
      <c r="O107" s="73">
        <v>7</v>
      </c>
      <c r="P107" s="61">
        <f t="shared" si="2"/>
        <v>7</v>
      </c>
      <c r="Q107" s="73">
        <v>12</v>
      </c>
      <c r="R107" s="70" t="s">
        <v>68</v>
      </c>
      <c r="S107" s="72">
        <v>6064.3</v>
      </c>
      <c r="T107" s="72">
        <v>696</v>
      </c>
      <c r="U107" s="72">
        <v>580</v>
      </c>
      <c r="V107" s="72">
        <v>0</v>
      </c>
      <c r="W107" s="72">
        <v>1</v>
      </c>
      <c r="X107" s="72">
        <v>21068.15</v>
      </c>
      <c r="Y107" s="72">
        <v>6644.0782992222221</v>
      </c>
      <c r="Z107" s="72">
        <v>3511.35</v>
      </c>
      <c r="AA107" s="72">
        <v>2494.9299999999998</v>
      </c>
      <c r="AB107" s="72">
        <v>57.79</v>
      </c>
      <c r="AC107" s="72">
        <v>580</v>
      </c>
      <c r="AD107" s="72">
        <v>6638</v>
      </c>
      <c r="AE107" s="71">
        <v>45933</v>
      </c>
      <c r="AF107" s="70" t="s">
        <v>69</v>
      </c>
      <c r="AG107" s="70" t="s">
        <v>1872</v>
      </c>
      <c r="AH107" s="70" t="s">
        <v>362</v>
      </c>
      <c r="AJ107" s="70" t="s">
        <v>192</v>
      </c>
      <c r="AK107" s="70" t="s">
        <v>193</v>
      </c>
      <c r="AL107" s="70" t="s">
        <v>363</v>
      </c>
      <c r="AM107" s="70" t="s">
        <v>1873</v>
      </c>
      <c r="AN107" s="70" t="s">
        <v>725</v>
      </c>
      <c r="AO107" s="70" t="s">
        <v>1874</v>
      </c>
      <c r="AP107" s="70" t="s">
        <v>723</v>
      </c>
      <c r="AQ107" s="70" t="s">
        <v>1875</v>
      </c>
      <c r="AR107" s="70" t="s">
        <v>724</v>
      </c>
      <c r="AS107" s="70" t="s">
        <v>1876</v>
      </c>
      <c r="AT107" s="70" t="s">
        <v>122</v>
      </c>
      <c r="AU107" s="68" t="s">
        <v>364</v>
      </c>
      <c r="AV107" s="70" t="s">
        <v>365</v>
      </c>
      <c r="AZ107" s="72">
        <v>36675.56</v>
      </c>
      <c r="BA107" s="72">
        <v>0</v>
      </c>
      <c r="BB107" s="70" t="s">
        <v>67</v>
      </c>
      <c r="BC107" s="70" t="s">
        <v>1044</v>
      </c>
      <c r="BD107" s="70" t="s">
        <v>2948</v>
      </c>
      <c r="BE107" s="70" t="s">
        <v>125</v>
      </c>
      <c r="BF107" s="70" t="s">
        <v>74</v>
      </c>
      <c r="BG107" s="70" t="s">
        <v>75</v>
      </c>
      <c r="BI107" s="60" t="str">
        <f t="shared" si="3"/>
        <v>Ver en Mapa</v>
      </c>
      <c r="BL107" s="70">
        <v>4</v>
      </c>
      <c r="BM107" s="70">
        <v>4</v>
      </c>
      <c r="BN107" s="70" t="s">
        <v>2847</v>
      </c>
    </row>
    <row r="108" spans="1:66" s="68" customFormat="1" ht="14.4" customHeight="1" x14ac:dyDescent="0.3">
      <c r="A108" s="70" t="str">
        <f>H108</f>
        <v>001196</v>
      </c>
      <c r="B108" s="70" t="s">
        <v>61</v>
      </c>
      <c r="C108" s="70" t="s">
        <v>273</v>
      </c>
      <c r="D108" s="70" t="s">
        <v>408</v>
      </c>
      <c r="E108" s="70" t="s">
        <v>409</v>
      </c>
      <c r="F108" s="70" t="s">
        <v>590</v>
      </c>
      <c r="G108" s="70" t="s">
        <v>2763</v>
      </c>
      <c r="H108" s="70" t="s">
        <v>2646</v>
      </c>
      <c r="I108" s="70" t="s">
        <v>76</v>
      </c>
      <c r="J108" s="70" t="s">
        <v>2647</v>
      </c>
      <c r="K108" s="71">
        <v>45876</v>
      </c>
      <c r="L108" s="71">
        <v>46241</v>
      </c>
      <c r="M108" s="72">
        <v>350000</v>
      </c>
      <c r="N108" s="72">
        <v>368692.72000000003</v>
      </c>
      <c r="O108" s="73">
        <v>7</v>
      </c>
      <c r="P108" s="61">
        <f t="shared" si="2"/>
        <v>7</v>
      </c>
      <c r="Q108" s="73">
        <v>12</v>
      </c>
      <c r="R108" s="70" t="s">
        <v>68</v>
      </c>
      <c r="S108" s="72">
        <v>47915.51</v>
      </c>
      <c r="T108" s="72">
        <v>696</v>
      </c>
      <c r="U108" s="72">
        <v>580</v>
      </c>
      <c r="V108" s="72">
        <v>0</v>
      </c>
      <c r="W108" s="72">
        <v>0</v>
      </c>
      <c r="X108" s="72">
        <v>307823.93</v>
      </c>
      <c r="Y108" s="72">
        <v>1159.9972949473549</v>
      </c>
      <c r="Z108" s="72">
        <v>580</v>
      </c>
      <c r="AA108" s="72">
        <v>0</v>
      </c>
      <c r="AB108" s="72">
        <v>0</v>
      </c>
      <c r="AC108" s="72">
        <v>580</v>
      </c>
      <c r="AD108" s="72">
        <v>47915.51</v>
      </c>
      <c r="AE108" s="71">
        <v>45937</v>
      </c>
      <c r="AF108" s="70" t="s">
        <v>69</v>
      </c>
      <c r="AG108" s="70" t="s">
        <v>2648</v>
      </c>
      <c r="AH108" s="70" t="s">
        <v>2649</v>
      </c>
      <c r="AJ108" s="70" t="s">
        <v>86</v>
      </c>
      <c r="AK108" s="70" t="s">
        <v>87</v>
      </c>
      <c r="AL108" s="70" t="s">
        <v>2650</v>
      </c>
      <c r="AN108" s="70" t="s">
        <v>2651</v>
      </c>
      <c r="AO108" s="70" t="s">
        <v>2652</v>
      </c>
      <c r="AP108" s="70" t="s">
        <v>2653</v>
      </c>
      <c r="AQ108" s="70" t="s">
        <v>2654</v>
      </c>
      <c r="AR108" s="70" t="s">
        <v>2655</v>
      </c>
      <c r="AS108" s="70" t="s">
        <v>2656</v>
      </c>
      <c r="AT108" s="70" t="s">
        <v>122</v>
      </c>
      <c r="AU108" s="68" t="s">
        <v>2657</v>
      </c>
      <c r="AV108" s="70" t="s">
        <v>2658</v>
      </c>
      <c r="AZ108" s="72">
        <v>479735.08</v>
      </c>
      <c r="BA108" s="72">
        <v>0</v>
      </c>
      <c r="BB108" s="70" t="s">
        <v>76</v>
      </c>
      <c r="BC108" s="70" t="s">
        <v>1600</v>
      </c>
      <c r="BD108" s="70" t="s">
        <v>2659</v>
      </c>
      <c r="BE108" s="70" t="s">
        <v>335</v>
      </c>
      <c r="BF108" s="70" t="s">
        <v>74</v>
      </c>
      <c r="BG108" s="70" t="s">
        <v>2660</v>
      </c>
      <c r="BI108" s="60" t="str">
        <f t="shared" si="3"/>
        <v>Ver en Mapa</v>
      </c>
      <c r="BL108" s="70">
        <v>2</v>
      </c>
      <c r="BM108" s="70">
        <v>2</v>
      </c>
      <c r="BN108" s="70" t="s">
        <v>2847</v>
      </c>
    </row>
    <row r="109" spans="1:66" s="68" customFormat="1" ht="14.4" customHeight="1" x14ac:dyDescent="0.3">
      <c r="A109" s="70" t="str">
        <f>H109</f>
        <v>001392</v>
      </c>
      <c r="B109" s="70" t="s">
        <v>61</v>
      </c>
      <c r="C109" s="70" t="s">
        <v>392</v>
      </c>
      <c r="D109" s="70" t="s">
        <v>657</v>
      </c>
      <c r="E109" s="70" t="s">
        <v>658</v>
      </c>
      <c r="F109" s="70" t="s">
        <v>590</v>
      </c>
      <c r="G109" s="70" t="s">
        <v>2763</v>
      </c>
      <c r="H109" s="70" t="s">
        <v>1539</v>
      </c>
      <c r="I109" s="70" t="s">
        <v>67</v>
      </c>
      <c r="J109" s="70" t="s">
        <v>1208</v>
      </c>
      <c r="K109" s="71">
        <v>45825</v>
      </c>
      <c r="L109" s="71">
        <v>45993</v>
      </c>
      <c r="M109" s="72">
        <v>8000</v>
      </c>
      <c r="N109" s="72">
        <v>8427.26</v>
      </c>
      <c r="O109" s="73">
        <v>7</v>
      </c>
      <c r="P109" s="61">
        <f t="shared" si="2"/>
        <v>7</v>
      </c>
      <c r="Q109" s="73">
        <v>12</v>
      </c>
      <c r="R109" s="70" t="s">
        <v>496</v>
      </c>
      <c r="S109" s="72">
        <v>1042.6400000000001</v>
      </c>
      <c r="T109" s="72">
        <v>696</v>
      </c>
      <c r="U109" s="72">
        <v>0</v>
      </c>
      <c r="V109" s="72">
        <v>8</v>
      </c>
      <c r="W109" s="72">
        <v>0.2</v>
      </c>
      <c r="X109" s="72">
        <v>2968.2200000000003</v>
      </c>
      <c r="Y109" s="72">
        <v>159.13330000000002</v>
      </c>
      <c r="Z109" s="72">
        <v>159.13</v>
      </c>
      <c r="AA109" s="72">
        <v>0</v>
      </c>
      <c r="AB109" s="72">
        <v>0</v>
      </c>
      <c r="AC109" s="72">
        <v>0</v>
      </c>
      <c r="AD109" s="72">
        <v>1050</v>
      </c>
      <c r="AE109" s="71">
        <v>45940</v>
      </c>
      <c r="AF109" s="70" t="s">
        <v>69</v>
      </c>
      <c r="AG109" s="70" t="s">
        <v>1540</v>
      </c>
      <c r="AH109" s="70" t="s">
        <v>1209</v>
      </c>
      <c r="AJ109" s="70" t="s">
        <v>98</v>
      </c>
      <c r="AK109" s="70" t="s">
        <v>99</v>
      </c>
      <c r="AN109" s="70" t="s">
        <v>1210</v>
      </c>
      <c r="AO109" s="70" t="s">
        <v>1541</v>
      </c>
      <c r="AP109" s="70" t="s">
        <v>1211</v>
      </c>
      <c r="AQ109" s="70" t="s">
        <v>1542</v>
      </c>
      <c r="AR109" s="70" t="s">
        <v>1212</v>
      </c>
      <c r="AS109" s="70" t="s">
        <v>1543</v>
      </c>
      <c r="AZ109" s="72">
        <v>4097.6900000000005</v>
      </c>
      <c r="BA109" s="72">
        <v>0</v>
      </c>
      <c r="BB109" s="70" t="s">
        <v>67</v>
      </c>
      <c r="BC109" s="70" t="s">
        <v>1044</v>
      </c>
      <c r="BD109" s="70" t="s">
        <v>2875</v>
      </c>
      <c r="BE109" s="70" t="s">
        <v>1214</v>
      </c>
      <c r="BF109" s="70" t="s">
        <v>74</v>
      </c>
      <c r="BG109" s="70" t="s">
        <v>670</v>
      </c>
      <c r="BH109" s="70" t="s">
        <v>1215</v>
      </c>
      <c r="BI109" s="60" t="str">
        <f t="shared" si="3"/>
        <v>Ver en Mapa</v>
      </c>
      <c r="BL109" s="70">
        <v>5</v>
      </c>
      <c r="BM109" s="70">
        <v>4</v>
      </c>
      <c r="BN109" s="70" t="s">
        <v>2847</v>
      </c>
    </row>
    <row r="110" spans="1:66" s="68" customFormat="1" ht="14.4" customHeight="1" x14ac:dyDescent="0.3">
      <c r="A110" s="70" t="str">
        <f>H110</f>
        <v>001242</v>
      </c>
      <c r="B110" s="70" t="s">
        <v>61</v>
      </c>
      <c r="C110" s="70" t="s">
        <v>62</v>
      </c>
      <c r="D110" s="70" t="s">
        <v>408</v>
      </c>
      <c r="E110" s="70" t="s">
        <v>409</v>
      </c>
      <c r="F110" s="70" t="s">
        <v>590</v>
      </c>
      <c r="G110" s="70" t="s">
        <v>2763</v>
      </c>
      <c r="H110" s="70" t="s">
        <v>1899</v>
      </c>
      <c r="I110" s="70" t="s">
        <v>67</v>
      </c>
      <c r="J110" s="70" t="s">
        <v>358</v>
      </c>
      <c r="K110" s="71">
        <v>45756</v>
      </c>
      <c r="L110" s="71">
        <v>46121</v>
      </c>
      <c r="M110" s="72">
        <v>30000</v>
      </c>
      <c r="N110" s="72">
        <v>31602.23</v>
      </c>
      <c r="O110" s="73">
        <v>5</v>
      </c>
      <c r="P110" s="61">
        <f t="shared" si="2"/>
        <v>7</v>
      </c>
      <c r="Q110" s="73">
        <v>12</v>
      </c>
      <c r="R110" s="70" t="s">
        <v>68</v>
      </c>
      <c r="S110" s="72">
        <v>4412.13</v>
      </c>
      <c r="T110" s="72">
        <v>696</v>
      </c>
      <c r="U110" s="72">
        <v>580</v>
      </c>
      <c r="V110" s="72">
        <v>0</v>
      </c>
      <c r="W110" s="72">
        <v>1</v>
      </c>
      <c r="X110" s="72">
        <v>18434.63</v>
      </c>
      <c r="Y110" s="72">
        <v>4991.7750000000005</v>
      </c>
      <c r="Z110" s="72">
        <v>2633.52</v>
      </c>
      <c r="AA110" s="72">
        <v>1720.6100000000001</v>
      </c>
      <c r="AB110" s="72">
        <v>57.65</v>
      </c>
      <c r="AC110" s="72">
        <v>580</v>
      </c>
      <c r="AD110" s="72">
        <v>4989</v>
      </c>
      <c r="AE110" s="71">
        <v>45929</v>
      </c>
      <c r="AF110" s="70" t="s">
        <v>69</v>
      </c>
      <c r="AG110" s="70" t="s">
        <v>1900</v>
      </c>
      <c r="AH110" s="70" t="s">
        <v>2782</v>
      </c>
      <c r="AJ110" s="70" t="s">
        <v>121</v>
      </c>
      <c r="AK110" s="70" t="s">
        <v>1901</v>
      </c>
      <c r="AL110" s="70" t="s">
        <v>451</v>
      </c>
      <c r="AM110" s="70" t="s">
        <v>1900</v>
      </c>
      <c r="AN110" s="70" t="s">
        <v>748</v>
      </c>
      <c r="AO110" s="70" t="s">
        <v>1902</v>
      </c>
      <c r="AP110" s="70" t="s">
        <v>746</v>
      </c>
      <c r="AQ110" s="70" t="s">
        <v>1903</v>
      </c>
      <c r="AR110" s="70" t="s">
        <v>747</v>
      </c>
      <c r="AS110" s="70" t="s">
        <v>1904</v>
      </c>
      <c r="AT110" s="70" t="s">
        <v>122</v>
      </c>
      <c r="AU110" s="75" t="s">
        <v>359</v>
      </c>
      <c r="AV110" s="70" t="s">
        <v>360</v>
      </c>
      <c r="AZ110" s="72">
        <v>31116.55</v>
      </c>
      <c r="BA110" s="72">
        <v>0</v>
      </c>
      <c r="BB110" s="70" t="s">
        <v>67</v>
      </c>
      <c r="BC110" s="70" t="s">
        <v>1044</v>
      </c>
      <c r="BD110" s="70" t="s">
        <v>2955</v>
      </c>
      <c r="BE110" s="70" t="s">
        <v>452</v>
      </c>
      <c r="BF110" s="70" t="s">
        <v>74</v>
      </c>
      <c r="BG110" s="70" t="s">
        <v>75</v>
      </c>
      <c r="BI110" s="60" t="str">
        <f t="shared" si="3"/>
        <v>Ver en Mapa</v>
      </c>
      <c r="BL110" s="70">
        <v>2</v>
      </c>
      <c r="BM110" s="70">
        <v>2</v>
      </c>
      <c r="BN110" s="70" t="s">
        <v>2847</v>
      </c>
    </row>
    <row r="111" spans="1:66" s="68" customFormat="1" ht="14.4" customHeight="1" x14ac:dyDescent="0.3">
      <c r="A111" s="70" t="str">
        <f>H111</f>
        <v>001384</v>
      </c>
      <c r="B111" s="70" t="s">
        <v>61</v>
      </c>
      <c r="C111" s="70" t="s">
        <v>273</v>
      </c>
      <c r="D111" s="70" t="s">
        <v>1533</v>
      </c>
      <c r="E111" s="70" t="s">
        <v>599</v>
      </c>
      <c r="F111" s="70" t="s">
        <v>590</v>
      </c>
      <c r="G111" s="70" t="s">
        <v>2763</v>
      </c>
      <c r="H111" s="70" t="s">
        <v>2441</v>
      </c>
      <c r="I111" s="70" t="s">
        <v>67</v>
      </c>
      <c r="J111" s="70" t="s">
        <v>1124</v>
      </c>
      <c r="K111" s="71">
        <v>45817</v>
      </c>
      <c r="L111" s="71">
        <v>46182</v>
      </c>
      <c r="M111" s="72">
        <v>30000</v>
      </c>
      <c r="N111" s="72">
        <v>31602.23</v>
      </c>
      <c r="O111" s="73">
        <v>5</v>
      </c>
      <c r="P111" s="61">
        <f t="shared" si="2"/>
        <v>7</v>
      </c>
      <c r="Q111" s="73">
        <v>12</v>
      </c>
      <c r="R111" s="70" t="s">
        <v>68</v>
      </c>
      <c r="S111" s="72">
        <v>4992.07</v>
      </c>
      <c r="T111" s="72">
        <v>696</v>
      </c>
      <c r="U111" s="72">
        <v>580</v>
      </c>
      <c r="V111" s="72">
        <v>0</v>
      </c>
      <c r="W111" s="72">
        <v>1</v>
      </c>
      <c r="X111" s="72">
        <v>23701.670000000002</v>
      </c>
      <c r="Y111" s="72">
        <v>5571.2966999999999</v>
      </c>
      <c r="Z111" s="72">
        <v>2633.52</v>
      </c>
      <c r="AA111" s="72">
        <v>2300.56</v>
      </c>
      <c r="AB111" s="72">
        <v>57.22</v>
      </c>
      <c r="AC111" s="72">
        <v>580</v>
      </c>
      <c r="AD111" s="72">
        <v>5571</v>
      </c>
      <c r="AE111" s="71">
        <v>45917</v>
      </c>
      <c r="AF111" s="70" t="s">
        <v>69</v>
      </c>
      <c r="AG111" s="70" t="s">
        <v>2442</v>
      </c>
      <c r="AH111" s="70" t="s">
        <v>1125</v>
      </c>
      <c r="AJ111" s="70" t="s">
        <v>86</v>
      </c>
      <c r="AK111" s="70" t="s">
        <v>87</v>
      </c>
      <c r="AL111" s="70" t="s">
        <v>1126</v>
      </c>
      <c r="AM111" s="70" t="s">
        <v>2442</v>
      </c>
      <c r="AN111" s="70" t="s">
        <v>1127</v>
      </c>
      <c r="AO111" s="70" t="s">
        <v>2443</v>
      </c>
      <c r="AP111" s="70" t="s">
        <v>1128</v>
      </c>
      <c r="AQ111" s="70" t="s">
        <v>2444</v>
      </c>
      <c r="AR111" s="70" t="s">
        <v>1129</v>
      </c>
      <c r="AS111" s="70" t="s">
        <v>2445</v>
      </c>
      <c r="AZ111" s="72">
        <v>45043.88</v>
      </c>
      <c r="BA111" s="72">
        <v>0</v>
      </c>
      <c r="BB111" s="70" t="s">
        <v>67</v>
      </c>
      <c r="BC111" s="70" t="s">
        <v>1044</v>
      </c>
      <c r="BD111" s="70" t="s">
        <v>2880</v>
      </c>
      <c r="BE111" s="70" t="s">
        <v>1029</v>
      </c>
      <c r="BF111" s="70" t="s">
        <v>74</v>
      </c>
      <c r="BG111" s="70" t="s">
        <v>204</v>
      </c>
      <c r="BH111" s="70" t="s">
        <v>1130</v>
      </c>
      <c r="BI111" s="60" t="str">
        <f t="shared" si="3"/>
        <v>Ver en Mapa</v>
      </c>
      <c r="BL111" s="70">
        <v>2</v>
      </c>
      <c r="BM111" s="70">
        <v>2</v>
      </c>
      <c r="BN111" s="70" t="s">
        <v>2847</v>
      </c>
    </row>
    <row r="112" spans="1:66" s="68" customFormat="1" ht="14.4" customHeight="1" x14ac:dyDescent="0.3">
      <c r="A112" s="70" t="str">
        <f>H112</f>
        <v>001371</v>
      </c>
      <c r="B112" s="70" t="s">
        <v>61</v>
      </c>
      <c r="C112" s="70" t="s">
        <v>273</v>
      </c>
      <c r="D112" s="70" t="s">
        <v>408</v>
      </c>
      <c r="E112" s="70" t="s">
        <v>409</v>
      </c>
      <c r="F112" s="70" t="s">
        <v>590</v>
      </c>
      <c r="G112" s="70" t="s">
        <v>2763</v>
      </c>
      <c r="H112" s="70" t="s">
        <v>2535</v>
      </c>
      <c r="I112" s="70" t="s">
        <v>67</v>
      </c>
      <c r="J112" s="70" t="s">
        <v>2536</v>
      </c>
      <c r="K112" s="71">
        <v>45817</v>
      </c>
      <c r="L112" s="71">
        <v>46182</v>
      </c>
      <c r="M112" s="72">
        <v>300000</v>
      </c>
      <c r="N112" s="72">
        <v>300000</v>
      </c>
      <c r="O112" s="73">
        <v>5</v>
      </c>
      <c r="P112" s="61">
        <f t="shared" si="2"/>
        <v>7</v>
      </c>
      <c r="Q112" s="73">
        <v>12</v>
      </c>
      <c r="R112" s="70" t="s">
        <v>68</v>
      </c>
      <c r="S112" s="72">
        <v>18000</v>
      </c>
      <c r="T112" s="72">
        <v>0</v>
      </c>
      <c r="U112" s="72">
        <v>0</v>
      </c>
      <c r="V112" s="72">
        <v>0</v>
      </c>
      <c r="W112" s="72">
        <v>1</v>
      </c>
      <c r="X112" s="72">
        <v>300000</v>
      </c>
      <c r="Y112" s="72">
        <v>18000</v>
      </c>
      <c r="Z112" s="72">
        <v>0</v>
      </c>
      <c r="AA112" s="72">
        <v>18000</v>
      </c>
      <c r="AB112" s="72">
        <v>0</v>
      </c>
      <c r="AC112" s="72">
        <v>0</v>
      </c>
      <c r="AD112" s="72">
        <v>18000</v>
      </c>
      <c r="AE112" s="71">
        <v>45918</v>
      </c>
      <c r="AF112" s="70" t="s">
        <v>69</v>
      </c>
      <c r="AG112" s="70" t="s">
        <v>2537</v>
      </c>
      <c r="AH112" s="70" t="s">
        <v>2538</v>
      </c>
      <c r="AJ112" s="70" t="s">
        <v>2539</v>
      </c>
      <c r="AK112" s="70" t="s">
        <v>2540</v>
      </c>
      <c r="AL112" s="70" t="s">
        <v>2541</v>
      </c>
      <c r="AM112" s="70" t="s">
        <v>2542</v>
      </c>
      <c r="AN112" s="70" t="s">
        <v>2543</v>
      </c>
      <c r="AO112" s="70" t="s">
        <v>2544</v>
      </c>
      <c r="AP112" s="70" t="s">
        <v>2545</v>
      </c>
      <c r="AQ112" s="70" t="s">
        <v>2546</v>
      </c>
      <c r="AR112" s="70" t="s">
        <v>2547</v>
      </c>
      <c r="AS112" s="70" t="s">
        <v>2548</v>
      </c>
      <c r="AZ112" s="72">
        <v>318000</v>
      </c>
      <c r="BA112" s="72">
        <v>0</v>
      </c>
      <c r="BB112" s="70" t="s">
        <v>2549</v>
      </c>
      <c r="BC112" s="70" t="s">
        <v>2550</v>
      </c>
      <c r="BD112" s="70" t="s">
        <v>2551</v>
      </c>
      <c r="BE112" s="70" t="s">
        <v>2552</v>
      </c>
      <c r="BF112" s="70" t="s">
        <v>74</v>
      </c>
      <c r="BG112" s="70" t="s">
        <v>334</v>
      </c>
      <c r="BI112" s="60" t="str">
        <f t="shared" si="3"/>
        <v>Ver en Mapa</v>
      </c>
      <c r="BL112" s="70">
        <v>4</v>
      </c>
      <c r="BM112" s="70">
        <v>4</v>
      </c>
      <c r="BN112" s="70" t="s">
        <v>2847</v>
      </c>
    </row>
    <row r="113" spans="1:66" s="68" customFormat="1" ht="14.4" customHeight="1" x14ac:dyDescent="0.3">
      <c r="A113" s="70" t="str">
        <f>H113</f>
        <v>001294</v>
      </c>
      <c r="B113" s="70" t="s">
        <v>61</v>
      </c>
      <c r="C113" s="70" t="s">
        <v>62</v>
      </c>
      <c r="D113" s="70" t="s">
        <v>2836</v>
      </c>
      <c r="E113" s="70" t="s">
        <v>2837</v>
      </c>
      <c r="F113" s="70" t="s">
        <v>590</v>
      </c>
      <c r="G113" s="70" t="s">
        <v>2763</v>
      </c>
      <c r="H113" s="70" t="s">
        <v>1911</v>
      </c>
      <c r="I113" s="70" t="s">
        <v>76</v>
      </c>
      <c r="J113" s="70" t="s">
        <v>525</v>
      </c>
      <c r="K113" s="71">
        <v>45912</v>
      </c>
      <c r="L113" s="71">
        <v>46080</v>
      </c>
      <c r="M113" s="72">
        <v>7000</v>
      </c>
      <c r="N113" s="72">
        <v>7373.85</v>
      </c>
      <c r="O113" s="73">
        <v>4</v>
      </c>
      <c r="P113" s="61">
        <f t="shared" si="2"/>
        <v>7</v>
      </c>
      <c r="Q113" s="73">
        <v>12</v>
      </c>
      <c r="R113" s="70" t="s">
        <v>496</v>
      </c>
      <c r="S113" s="72">
        <v>919.56000000000006</v>
      </c>
      <c r="T113" s="72">
        <v>696</v>
      </c>
      <c r="U113" s="72">
        <v>580</v>
      </c>
      <c r="V113" s="72">
        <v>2</v>
      </c>
      <c r="W113" s="72">
        <v>1</v>
      </c>
      <c r="X113" s="72">
        <v>6759.3600000000006</v>
      </c>
      <c r="Y113" s="72">
        <v>1499.5650000000001</v>
      </c>
      <c r="Z113" s="72">
        <v>614.49</v>
      </c>
      <c r="AA113" s="72">
        <v>247.08</v>
      </c>
      <c r="AB113" s="72">
        <v>58</v>
      </c>
      <c r="AC113" s="72">
        <v>580</v>
      </c>
      <c r="AD113" s="72">
        <v>919.56000000000006</v>
      </c>
      <c r="AE113" s="71">
        <v>45926</v>
      </c>
      <c r="AF113" s="70" t="s">
        <v>69</v>
      </c>
      <c r="AG113" s="70" t="s">
        <v>1912</v>
      </c>
      <c r="AH113" s="70" t="s">
        <v>2838</v>
      </c>
      <c r="AJ113" s="70" t="s">
        <v>526</v>
      </c>
      <c r="AK113" s="70" t="s">
        <v>527</v>
      </c>
      <c r="AL113" s="70" t="s">
        <v>2839</v>
      </c>
      <c r="AM113" s="70" t="s">
        <v>1912</v>
      </c>
      <c r="AN113" s="70" t="s">
        <v>757</v>
      </c>
      <c r="AO113" s="70" t="s">
        <v>1913</v>
      </c>
      <c r="AP113" s="70" t="s">
        <v>755</v>
      </c>
      <c r="AQ113" s="70" t="s">
        <v>1914</v>
      </c>
      <c r="AR113" s="70" t="s">
        <v>756</v>
      </c>
      <c r="AS113" s="70" t="s">
        <v>2840</v>
      </c>
      <c r="AZ113" s="72">
        <v>10115.17</v>
      </c>
      <c r="BA113" s="72">
        <v>0</v>
      </c>
      <c r="BB113" s="70" t="s">
        <v>67</v>
      </c>
      <c r="BC113" s="70" t="s">
        <v>1044</v>
      </c>
      <c r="BD113" s="70" t="s">
        <v>528</v>
      </c>
      <c r="BE113" s="70" t="s">
        <v>529</v>
      </c>
      <c r="BF113" s="70" t="s">
        <v>74</v>
      </c>
      <c r="BG113" s="70" t="s">
        <v>338</v>
      </c>
      <c r="BI113" s="60" t="str">
        <f t="shared" si="3"/>
        <v>Ver en Mapa</v>
      </c>
      <c r="BL113" s="70">
        <v>1</v>
      </c>
      <c r="BM113" s="70">
        <v>1</v>
      </c>
      <c r="BN113" s="70" t="s">
        <v>2847</v>
      </c>
    </row>
    <row r="114" spans="1:66" s="68" customFormat="1" x14ac:dyDescent="0.3">
      <c r="A114" s="70" t="str">
        <f>H114</f>
        <v>001562</v>
      </c>
      <c r="B114" s="70" t="s">
        <v>61</v>
      </c>
      <c r="C114" s="70" t="s">
        <v>62</v>
      </c>
      <c r="D114" s="70" t="s">
        <v>1429</v>
      </c>
      <c r="E114" s="70" t="s">
        <v>617</v>
      </c>
      <c r="F114" s="70" t="s">
        <v>590</v>
      </c>
      <c r="G114" s="70" t="s">
        <v>2763</v>
      </c>
      <c r="H114" s="70" t="s">
        <v>2058</v>
      </c>
      <c r="I114" s="70" t="s">
        <v>67</v>
      </c>
      <c r="J114" s="70" t="s">
        <v>1704</v>
      </c>
      <c r="K114" s="71">
        <v>45856</v>
      </c>
      <c r="L114" s="71">
        <v>45968</v>
      </c>
      <c r="M114" s="72">
        <v>10000</v>
      </c>
      <c r="N114" s="72">
        <v>10534.08</v>
      </c>
      <c r="O114" s="73">
        <v>4</v>
      </c>
      <c r="P114" s="61">
        <f t="shared" si="2"/>
        <v>7</v>
      </c>
      <c r="Q114" s="73">
        <v>16</v>
      </c>
      <c r="R114" s="70" t="s">
        <v>469</v>
      </c>
      <c r="S114" s="72">
        <v>892.86</v>
      </c>
      <c r="T114" s="72">
        <v>928</v>
      </c>
      <c r="U114" s="72">
        <v>580</v>
      </c>
      <c r="V114" s="72">
        <v>12</v>
      </c>
      <c r="W114" s="72">
        <v>1</v>
      </c>
      <c r="X114" s="72">
        <v>3291.9</v>
      </c>
      <c r="Y114" s="72">
        <v>1471.4714432000001</v>
      </c>
      <c r="Z114" s="72">
        <v>658.38</v>
      </c>
      <c r="AA114" s="72">
        <v>176.48</v>
      </c>
      <c r="AB114" s="72">
        <v>56.61</v>
      </c>
      <c r="AC114" s="72">
        <v>580</v>
      </c>
      <c r="AD114" s="72">
        <v>893</v>
      </c>
      <c r="AE114" s="71">
        <v>45933</v>
      </c>
      <c r="AF114" s="70" t="s">
        <v>69</v>
      </c>
      <c r="AG114" s="70" t="s">
        <v>2059</v>
      </c>
      <c r="AH114" s="70" t="s">
        <v>1705</v>
      </c>
      <c r="AJ114" s="70" t="s">
        <v>565</v>
      </c>
      <c r="AK114" s="70" t="s">
        <v>1907</v>
      </c>
      <c r="AL114" s="70" t="s">
        <v>1706</v>
      </c>
      <c r="AM114" s="70" t="s">
        <v>2059</v>
      </c>
      <c r="AN114" s="70" t="s">
        <v>1707</v>
      </c>
      <c r="AO114" s="70" t="s">
        <v>2060</v>
      </c>
      <c r="AP114" s="70" t="s">
        <v>1708</v>
      </c>
      <c r="AQ114" s="70" t="s">
        <v>2061</v>
      </c>
      <c r="AR114" s="70" t="s">
        <v>1709</v>
      </c>
      <c r="AS114" s="70" t="s">
        <v>2062</v>
      </c>
      <c r="AZ114" s="72">
        <v>4810.92</v>
      </c>
      <c r="BA114" s="72">
        <v>0</v>
      </c>
      <c r="BB114" s="70" t="s">
        <v>67</v>
      </c>
      <c r="BC114" s="70" t="s">
        <v>1044</v>
      </c>
      <c r="BD114" s="70" t="s">
        <v>2991</v>
      </c>
      <c r="BE114" s="70" t="s">
        <v>1711</v>
      </c>
      <c r="BF114" s="70" t="s">
        <v>74</v>
      </c>
      <c r="BG114" s="70" t="s">
        <v>1402</v>
      </c>
      <c r="BH114" s="70" t="s">
        <v>1712</v>
      </c>
      <c r="BI114" s="60" t="str">
        <f t="shared" si="3"/>
        <v>Ver en Mapa</v>
      </c>
      <c r="BL114" s="70">
        <v>1</v>
      </c>
      <c r="BM114" s="70">
        <v>1</v>
      </c>
      <c r="BN114" s="70" t="s">
        <v>2847</v>
      </c>
    </row>
    <row r="115" spans="1:66" s="68" customFormat="1" x14ac:dyDescent="0.3">
      <c r="A115" s="70" t="str">
        <f>H115</f>
        <v>001098</v>
      </c>
      <c r="B115" s="70" t="s">
        <v>61</v>
      </c>
      <c r="C115" s="70" t="s">
        <v>62</v>
      </c>
      <c r="D115" s="70" t="s">
        <v>1853</v>
      </c>
      <c r="E115" s="70" t="s">
        <v>137</v>
      </c>
      <c r="F115" s="70" t="s">
        <v>590</v>
      </c>
      <c r="G115" s="70" t="s">
        <v>2763</v>
      </c>
      <c r="H115" s="70" t="s">
        <v>1854</v>
      </c>
      <c r="I115" s="70" t="s">
        <v>67</v>
      </c>
      <c r="J115" s="70" t="s">
        <v>166</v>
      </c>
      <c r="K115" s="71">
        <v>45576</v>
      </c>
      <c r="L115" s="71">
        <v>45941</v>
      </c>
      <c r="M115" s="72">
        <v>45000</v>
      </c>
      <c r="N115" s="72">
        <v>47403.35</v>
      </c>
      <c r="O115" s="73">
        <v>1</v>
      </c>
      <c r="P115" s="61">
        <f t="shared" si="2"/>
        <v>7</v>
      </c>
      <c r="Q115" s="73">
        <v>12</v>
      </c>
      <c r="R115" s="70" t="s">
        <v>68</v>
      </c>
      <c r="S115" s="72">
        <v>6711.3</v>
      </c>
      <c r="T115" s="72">
        <v>696</v>
      </c>
      <c r="U115" s="72">
        <v>580</v>
      </c>
      <c r="V115" s="72">
        <v>0</v>
      </c>
      <c r="W115" s="72">
        <v>1</v>
      </c>
      <c r="X115" s="72">
        <v>6098.25</v>
      </c>
      <c r="Y115" s="72">
        <v>7290</v>
      </c>
      <c r="Z115" s="72">
        <v>6098.26</v>
      </c>
      <c r="AA115" s="72">
        <v>555.04</v>
      </c>
      <c r="AB115" s="72">
        <v>56.7</v>
      </c>
      <c r="AC115" s="72">
        <v>580</v>
      </c>
      <c r="AD115" s="72">
        <v>6711</v>
      </c>
      <c r="AE115" s="71">
        <v>45911</v>
      </c>
      <c r="AF115" s="70" t="s">
        <v>69</v>
      </c>
      <c r="AG115" s="70" t="s">
        <v>1855</v>
      </c>
      <c r="AH115" s="70" t="s">
        <v>167</v>
      </c>
      <c r="AJ115" s="70" t="s">
        <v>168</v>
      </c>
      <c r="AK115" s="70" t="s">
        <v>1856</v>
      </c>
      <c r="AL115" s="70" t="s">
        <v>169</v>
      </c>
      <c r="AN115" s="70" t="s">
        <v>702</v>
      </c>
      <c r="AO115" s="70" t="s">
        <v>1857</v>
      </c>
      <c r="AP115" s="70" t="s">
        <v>700</v>
      </c>
      <c r="AQ115" s="70" t="s">
        <v>1858</v>
      </c>
      <c r="AR115" s="70" t="s">
        <v>701</v>
      </c>
      <c r="AS115" s="70" t="s">
        <v>1859</v>
      </c>
      <c r="AT115" s="70" t="s">
        <v>122</v>
      </c>
      <c r="AU115" s="68" t="s">
        <v>170</v>
      </c>
      <c r="AV115" s="70" t="s">
        <v>171</v>
      </c>
      <c r="AZ115" s="72">
        <v>7289.99</v>
      </c>
      <c r="BA115" s="72">
        <v>0</v>
      </c>
      <c r="BB115" s="70" t="s">
        <v>135</v>
      </c>
      <c r="BC115" s="70" t="s">
        <v>136</v>
      </c>
      <c r="BD115" s="70" t="s">
        <v>3015</v>
      </c>
      <c r="BE115" s="70" t="s">
        <v>172</v>
      </c>
      <c r="BF115" s="70" t="s">
        <v>74</v>
      </c>
      <c r="BG115" s="70" t="s">
        <v>75</v>
      </c>
      <c r="BI115" s="60" t="str">
        <f t="shared" si="3"/>
        <v>Ver en Mapa</v>
      </c>
      <c r="BL115" s="70">
        <v>2</v>
      </c>
      <c r="BM115" s="70">
        <v>1</v>
      </c>
      <c r="BN115" s="70" t="s">
        <v>2847</v>
      </c>
    </row>
    <row r="116" spans="1:66" s="68" customFormat="1" x14ac:dyDescent="0.3">
      <c r="A116" s="70" t="str">
        <f>H116</f>
        <v>001393</v>
      </c>
      <c r="B116" s="70" t="s">
        <v>61</v>
      </c>
      <c r="C116" s="70" t="s">
        <v>194</v>
      </c>
      <c r="D116" s="70" t="s">
        <v>588</v>
      </c>
      <c r="E116" s="70" t="s">
        <v>589</v>
      </c>
      <c r="F116" s="70" t="s">
        <v>590</v>
      </c>
      <c r="G116" s="70" t="s">
        <v>2763</v>
      </c>
      <c r="H116" s="70" t="s">
        <v>2214</v>
      </c>
      <c r="I116" s="70" t="s">
        <v>67</v>
      </c>
      <c r="J116" s="70" t="s">
        <v>1149</v>
      </c>
      <c r="K116" s="71">
        <v>45820</v>
      </c>
      <c r="L116" s="71">
        <v>46003</v>
      </c>
      <c r="M116" s="72">
        <v>10000</v>
      </c>
      <c r="N116" s="72">
        <v>10534.08</v>
      </c>
      <c r="O116" s="73">
        <v>1</v>
      </c>
      <c r="P116" s="61">
        <f t="shared" si="2"/>
        <v>7</v>
      </c>
      <c r="Q116" s="73">
        <v>6</v>
      </c>
      <c r="R116" s="70" t="s">
        <v>68</v>
      </c>
      <c r="S116" s="72">
        <v>2582.63</v>
      </c>
      <c r="T116" s="72">
        <v>348</v>
      </c>
      <c r="U116" s="72">
        <v>580</v>
      </c>
      <c r="V116" s="72">
        <v>0</v>
      </c>
      <c r="W116" s="72">
        <v>1</v>
      </c>
      <c r="X116" s="72">
        <v>5267.04</v>
      </c>
      <c r="Y116" s="72">
        <v>3161.9009056</v>
      </c>
      <c r="Z116" s="72">
        <v>1755.68</v>
      </c>
      <c r="AA116" s="72">
        <v>768.95</v>
      </c>
      <c r="AB116" s="72">
        <v>57.27</v>
      </c>
      <c r="AC116" s="72">
        <v>580</v>
      </c>
      <c r="AD116" s="72">
        <v>2583</v>
      </c>
      <c r="AE116" s="71">
        <v>45917</v>
      </c>
      <c r="AF116" s="70" t="s">
        <v>69</v>
      </c>
      <c r="AG116" s="70" t="s">
        <v>2215</v>
      </c>
      <c r="AH116" s="70" t="s">
        <v>1150</v>
      </c>
      <c r="AJ116" s="70" t="s">
        <v>1151</v>
      </c>
      <c r="AK116" s="70" t="s">
        <v>2216</v>
      </c>
      <c r="AL116" s="70" t="s">
        <v>1152</v>
      </c>
      <c r="AN116" s="70" t="s">
        <v>1153</v>
      </c>
      <c r="AO116" s="70" t="s">
        <v>2217</v>
      </c>
      <c r="AP116" s="70" t="s">
        <v>1154</v>
      </c>
      <c r="AQ116" s="70" t="s">
        <v>2218</v>
      </c>
      <c r="AR116" s="70" t="s">
        <v>1155</v>
      </c>
      <c r="AS116" s="70" t="s">
        <v>2219</v>
      </c>
      <c r="AZ116" s="72">
        <v>8211.17</v>
      </c>
      <c r="BA116" s="72">
        <v>0</v>
      </c>
      <c r="BB116" s="70" t="s">
        <v>67</v>
      </c>
      <c r="BC116" s="70" t="s">
        <v>1044</v>
      </c>
      <c r="BD116" s="70" t="s">
        <v>2971</v>
      </c>
      <c r="BE116" s="70" t="s">
        <v>651</v>
      </c>
      <c r="BF116" s="70" t="s">
        <v>74</v>
      </c>
      <c r="BG116" s="70" t="s">
        <v>646</v>
      </c>
      <c r="BH116" s="70" t="s">
        <v>1156</v>
      </c>
      <c r="BI116" s="60" t="str">
        <f t="shared" si="3"/>
        <v>Ver en Mapa</v>
      </c>
      <c r="BL116" s="70">
        <v>3</v>
      </c>
      <c r="BM116" s="70">
        <v>3</v>
      </c>
      <c r="BN116" s="70" t="s">
        <v>2847</v>
      </c>
    </row>
    <row r="117" spans="1:66" s="68" customFormat="1" x14ac:dyDescent="0.3">
      <c r="A117" s="70" t="str">
        <f>H117</f>
        <v>001756</v>
      </c>
      <c r="B117" s="70" t="s">
        <v>61</v>
      </c>
      <c r="C117" s="70" t="s">
        <v>194</v>
      </c>
      <c r="D117" s="70" t="s">
        <v>594</v>
      </c>
      <c r="E117" s="70" t="s">
        <v>595</v>
      </c>
      <c r="F117" s="70" t="s">
        <v>590</v>
      </c>
      <c r="G117" s="70" t="s">
        <v>2763</v>
      </c>
      <c r="H117" s="70" t="s">
        <v>2606</v>
      </c>
      <c r="I117" s="70" t="s">
        <v>67</v>
      </c>
      <c r="J117" s="70" t="s">
        <v>2607</v>
      </c>
      <c r="K117" s="71">
        <v>45880</v>
      </c>
      <c r="L117" s="71">
        <v>46245</v>
      </c>
      <c r="M117" s="72">
        <v>30000</v>
      </c>
      <c r="N117" s="72">
        <v>31602.23</v>
      </c>
      <c r="O117" s="73">
        <v>1</v>
      </c>
      <c r="P117" s="61">
        <f t="shared" si="2"/>
        <v>7</v>
      </c>
      <c r="Q117" s="73">
        <v>12</v>
      </c>
      <c r="R117" s="70" t="s">
        <v>68</v>
      </c>
      <c r="S117" s="72">
        <v>4992.07</v>
      </c>
      <c r="T117" s="72">
        <v>696</v>
      </c>
      <c r="U117" s="72">
        <v>580</v>
      </c>
      <c r="V117" s="72">
        <v>0</v>
      </c>
      <c r="W117" s="72">
        <v>1</v>
      </c>
      <c r="X117" s="72">
        <v>28968.71</v>
      </c>
      <c r="Y117" s="72">
        <v>5572.0783000000001</v>
      </c>
      <c r="Z117" s="72">
        <v>2633.52</v>
      </c>
      <c r="AA117" s="72">
        <v>2300.56</v>
      </c>
      <c r="AB117" s="72">
        <v>58</v>
      </c>
      <c r="AC117" s="72">
        <v>580</v>
      </c>
      <c r="AD117" s="72">
        <v>4992.07</v>
      </c>
      <c r="AE117" s="71">
        <v>45911</v>
      </c>
      <c r="AF117" s="70" t="s">
        <v>69</v>
      </c>
      <c r="AG117" s="70" t="s">
        <v>2608</v>
      </c>
      <c r="AH117" s="70" t="s">
        <v>2609</v>
      </c>
      <c r="AJ117" s="70" t="s">
        <v>336</v>
      </c>
      <c r="AK117" s="70" t="s">
        <v>1850</v>
      </c>
      <c r="AL117" s="70" t="s">
        <v>2610</v>
      </c>
      <c r="AN117" s="70" t="s">
        <v>2611</v>
      </c>
      <c r="AO117" s="70" t="s">
        <v>2612</v>
      </c>
      <c r="AP117" s="70" t="s">
        <v>2613</v>
      </c>
      <c r="AQ117" s="70" t="s">
        <v>2614</v>
      </c>
      <c r="AR117" s="70" t="s">
        <v>2615</v>
      </c>
      <c r="AS117" s="70" t="s">
        <v>2616</v>
      </c>
      <c r="AZ117" s="72">
        <v>54912.81</v>
      </c>
      <c r="BA117" s="72">
        <v>0</v>
      </c>
      <c r="BB117" s="70" t="s">
        <v>67</v>
      </c>
      <c r="BC117" s="70" t="s">
        <v>1044</v>
      </c>
      <c r="BD117" s="70" t="s">
        <v>3014</v>
      </c>
      <c r="BE117" s="70" t="s">
        <v>2617</v>
      </c>
      <c r="BF117" s="70" t="s">
        <v>74</v>
      </c>
      <c r="BG117" s="70" t="s">
        <v>194</v>
      </c>
      <c r="BH117" s="70" t="s">
        <v>2618</v>
      </c>
      <c r="BI117" s="60" t="str">
        <f t="shared" si="3"/>
        <v>Ver en Mapa</v>
      </c>
      <c r="BL117" s="70">
        <v>1</v>
      </c>
      <c r="BM117" s="70">
        <v>1</v>
      </c>
      <c r="BN117" s="70" t="s">
        <v>2847</v>
      </c>
    </row>
    <row r="118" spans="1:66" s="68" customFormat="1" x14ac:dyDescent="0.3">
      <c r="A118" s="70" t="str">
        <f>H118</f>
        <v>001510</v>
      </c>
      <c r="B118" s="70" t="s">
        <v>61</v>
      </c>
      <c r="C118" s="70" t="s">
        <v>194</v>
      </c>
      <c r="D118" s="70" t="s">
        <v>588</v>
      </c>
      <c r="E118" s="70" t="s">
        <v>589</v>
      </c>
      <c r="F118" s="70" t="s">
        <v>590</v>
      </c>
      <c r="G118" s="70" t="s">
        <v>2763</v>
      </c>
      <c r="H118" s="70" t="s">
        <v>2234</v>
      </c>
      <c r="I118" s="70" t="s">
        <v>67</v>
      </c>
      <c r="J118" s="70" t="s">
        <v>1610</v>
      </c>
      <c r="K118" s="71">
        <v>45849</v>
      </c>
      <c r="L118" s="71">
        <v>46214</v>
      </c>
      <c r="M118" s="72">
        <v>15000</v>
      </c>
      <c r="N118" s="72">
        <v>15801.12</v>
      </c>
      <c r="O118" s="73">
        <v>1</v>
      </c>
      <c r="P118" s="61">
        <f t="shared" si="2"/>
        <v>7</v>
      </c>
      <c r="Q118" s="73">
        <v>12</v>
      </c>
      <c r="R118" s="70" t="s">
        <v>68</v>
      </c>
      <c r="S118" s="72">
        <v>2525.04</v>
      </c>
      <c r="T118" s="72">
        <v>696</v>
      </c>
      <c r="U118" s="72">
        <v>580</v>
      </c>
      <c r="V118" s="72">
        <v>0</v>
      </c>
      <c r="W118" s="72">
        <v>1</v>
      </c>
      <c r="X118" s="72">
        <v>13167.6</v>
      </c>
      <c r="Y118" s="72">
        <v>3104.072932</v>
      </c>
      <c r="Z118" s="72">
        <v>1316.76</v>
      </c>
      <c r="AA118" s="72">
        <v>1150.27</v>
      </c>
      <c r="AB118" s="72">
        <v>57.04</v>
      </c>
      <c r="AC118" s="72">
        <v>580</v>
      </c>
      <c r="AD118" s="72">
        <v>3106</v>
      </c>
      <c r="AE118" s="71">
        <v>45913</v>
      </c>
      <c r="AF118" s="70" t="s">
        <v>69</v>
      </c>
      <c r="AG118" s="70" t="s">
        <v>2235</v>
      </c>
      <c r="AH118" s="70" t="s">
        <v>1611</v>
      </c>
      <c r="AJ118" s="70" t="s">
        <v>86</v>
      </c>
      <c r="AK118" s="70" t="s">
        <v>87</v>
      </c>
      <c r="AN118" s="70" t="s">
        <v>1612</v>
      </c>
      <c r="AO118" s="70" t="s">
        <v>2236</v>
      </c>
      <c r="AP118" s="70" t="s">
        <v>1613</v>
      </c>
      <c r="AQ118" s="70" t="s">
        <v>2237</v>
      </c>
      <c r="AR118" s="70" t="s">
        <v>1614</v>
      </c>
      <c r="AS118" s="70" t="s">
        <v>2238</v>
      </c>
      <c r="AZ118" s="72">
        <v>25307.41</v>
      </c>
      <c r="BA118" s="72">
        <v>0</v>
      </c>
      <c r="BB118" s="70" t="s">
        <v>67</v>
      </c>
      <c r="BC118" s="70" t="s">
        <v>1044</v>
      </c>
      <c r="BD118" s="70" t="s">
        <v>2888</v>
      </c>
      <c r="BE118" s="70" t="s">
        <v>503</v>
      </c>
      <c r="BF118" s="70" t="s">
        <v>74</v>
      </c>
      <c r="BG118" s="70" t="s">
        <v>503</v>
      </c>
      <c r="BH118" s="70" t="s">
        <v>1615</v>
      </c>
      <c r="BI118" s="60" t="str">
        <f t="shared" si="3"/>
        <v>Ver en Mapa</v>
      </c>
      <c r="BL118" s="70">
        <v>2</v>
      </c>
      <c r="BM118" s="70">
        <v>2</v>
      </c>
      <c r="BN118" s="70" t="s">
        <v>2847</v>
      </c>
    </row>
    <row r="119" spans="1:66" s="68" customFormat="1" x14ac:dyDescent="0.3">
      <c r="A119" s="70" t="str">
        <f>H119</f>
        <v>001511</v>
      </c>
      <c r="B119" s="70" t="s">
        <v>61</v>
      </c>
      <c r="C119" s="70" t="s">
        <v>194</v>
      </c>
      <c r="D119" s="70" t="s">
        <v>588</v>
      </c>
      <c r="E119" s="70" t="s">
        <v>589</v>
      </c>
      <c r="F119" s="70" t="s">
        <v>590</v>
      </c>
      <c r="G119" s="70" t="s">
        <v>2763</v>
      </c>
      <c r="H119" s="70" t="s">
        <v>2239</v>
      </c>
      <c r="I119" s="70" t="s">
        <v>67</v>
      </c>
      <c r="J119" s="70" t="s">
        <v>1616</v>
      </c>
      <c r="K119" s="71">
        <v>45849</v>
      </c>
      <c r="L119" s="71">
        <v>46214</v>
      </c>
      <c r="M119" s="72">
        <v>10000</v>
      </c>
      <c r="N119" s="72">
        <v>10534.08</v>
      </c>
      <c r="O119" s="73">
        <v>1</v>
      </c>
      <c r="P119" s="61">
        <f t="shared" si="2"/>
        <v>7</v>
      </c>
      <c r="Q119" s="73">
        <v>12</v>
      </c>
      <c r="R119" s="70" t="s">
        <v>68</v>
      </c>
      <c r="S119" s="72">
        <v>1702.69</v>
      </c>
      <c r="T119" s="72">
        <v>696</v>
      </c>
      <c r="U119" s="72">
        <v>580</v>
      </c>
      <c r="V119" s="72">
        <v>0</v>
      </c>
      <c r="W119" s="72">
        <v>1</v>
      </c>
      <c r="X119" s="72">
        <v>8778.4</v>
      </c>
      <c r="Y119" s="72">
        <v>2282.08</v>
      </c>
      <c r="Z119" s="72">
        <v>877.84</v>
      </c>
      <c r="AA119" s="72">
        <v>766.86</v>
      </c>
      <c r="AB119" s="72">
        <v>57.38</v>
      </c>
      <c r="AC119" s="72">
        <v>580</v>
      </c>
      <c r="AD119" s="72">
        <v>2283</v>
      </c>
      <c r="AE119" s="71">
        <v>45922</v>
      </c>
      <c r="AF119" s="70" t="s">
        <v>69</v>
      </c>
      <c r="AG119" s="70" t="s">
        <v>2240</v>
      </c>
      <c r="AH119" s="70" t="s">
        <v>1617</v>
      </c>
      <c r="AJ119" s="70" t="s">
        <v>86</v>
      </c>
      <c r="AK119" s="70" t="s">
        <v>87</v>
      </c>
      <c r="AN119" s="70" t="s">
        <v>1618</v>
      </c>
      <c r="AO119" s="70" t="s">
        <v>2241</v>
      </c>
      <c r="AP119" s="70" t="s">
        <v>1619</v>
      </c>
      <c r="AQ119" s="70" t="s">
        <v>2242</v>
      </c>
      <c r="AR119" s="70" t="s">
        <v>1620</v>
      </c>
      <c r="AS119" s="70" t="s">
        <v>2243</v>
      </c>
      <c r="AZ119" s="72">
        <v>17084.3</v>
      </c>
      <c r="BA119" s="72">
        <v>0</v>
      </c>
      <c r="BB119" s="70" t="s">
        <v>67</v>
      </c>
      <c r="BC119" s="70" t="s">
        <v>1044</v>
      </c>
      <c r="BD119" s="70" t="s">
        <v>2889</v>
      </c>
      <c r="BE119" s="70" t="s">
        <v>1621</v>
      </c>
      <c r="BF119" s="70" t="s">
        <v>74</v>
      </c>
      <c r="BG119" s="70" t="s">
        <v>503</v>
      </c>
      <c r="BH119" s="70" t="s">
        <v>1622</v>
      </c>
      <c r="BI119" s="60" t="str">
        <f t="shared" si="3"/>
        <v>Ver en Mapa</v>
      </c>
      <c r="BL119" s="70">
        <v>2</v>
      </c>
      <c r="BM119" s="70">
        <v>2</v>
      </c>
      <c r="BN119" s="70" t="s">
        <v>2847</v>
      </c>
    </row>
    <row r="120" spans="1:66" s="68" customFormat="1" x14ac:dyDescent="0.3">
      <c r="A120" s="70" t="str">
        <f>H120</f>
        <v>001350</v>
      </c>
      <c r="B120" s="70" t="s">
        <v>61</v>
      </c>
      <c r="C120" s="70" t="s">
        <v>194</v>
      </c>
      <c r="D120" s="70" t="s">
        <v>594</v>
      </c>
      <c r="E120" s="70" t="s">
        <v>595</v>
      </c>
      <c r="F120" s="70" t="s">
        <v>590</v>
      </c>
      <c r="G120" s="70" t="s">
        <v>2763</v>
      </c>
      <c r="H120" s="70" t="s">
        <v>2199</v>
      </c>
      <c r="I120" s="70" t="s">
        <v>76</v>
      </c>
      <c r="J120" s="70" t="s">
        <v>679</v>
      </c>
      <c r="K120" s="71">
        <v>45915</v>
      </c>
      <c r="L120" s="71">
        <v>46083</v>
      </c>
      <c r="M120" s="72">
        <v>10000</v>
      </c>
      <c r="N120" s="72">
        <v>10534.08</v>
      </c>
      <c r="O120" s="73">
        <v>1</v>
      </c>
      <c r="P120" s="61">
        <f t="shared" si="2"/>
        <v>7</v>
      </c>
      <c r="Q120" s="73">
        <v>12</v>
      </c>
      <c r="R120" s="70" t="s">
        <v>496</v>
      </c>
      <c r="S120" s="72">
        <v>1288.8</v>
      </c>
      <c r="T120" s="72">
        <v>696</v>
      </c>
      <c r="U120" s="72">
        <v>580</v>
      </c>
      <c r="V120" s="72">
        <v>2</v>
      </c>
      <c r="W120" s="72">
        <v>1</v>
      </c>
      <c r="X120" s="72">
        <v>9656.24</v>
      </c>
      <c r="Y120" s="72">
        <v>1868.6038143999999</v>
      </c>
      <c r="Z120" s="72">
        <v>877.84</v>
      </c>
      <c r="AA120" s="72">
        <v>352.96</v>
      </c>
      <c r="AB120" s="72">
        <v>57.800000000000004</v>
      </c>
      <c r="AC120" s="72">
        <v>580</v>
      </c>
      <c r="AD120" s="72">
        <v>1289</v>
      </c>
      <c r="AE120" s="71">
        <v>45929</v>
      </c>
      <c r="AF120" s="70" t="s">
        <v>69</v>
      </c>
      <c r="AG120" s="70" t="s">
        <v>2200</v>
      </c>
      <c r="AH120" s="70" t="s">
        <v>680</v>
      </c>
      <c r="AJ120" s="70" t="s">
        <v>283</v>
      </c>
      <c r="AK120" s="70" t="s">
        <v>284</v>
      </c>
      <c r="AN120" s="70" t="s">
        <v>851</v>
      </c>
      <c r="AO120" s="70" t="s">
        <v>2841</v>
      </c>
      <c r="AP120" s="70" t="s">
        <v>849</v>
      </c>
      <c r="AQ120" s="70" t="s">
        <v>2201</v>
      </c>
      <c r="AR120" s="70" t="s">
        <v>850</v>
      </c>
      <c r="AS120" s="70" t="s">
        <v>2202</v>
      </c>
      <c r="AZ120" s="72">
        <v>14176.62</v>
      </c>
      <c r="BA120" s="72">
        <v>0</v>
      </c>
      <c r="BB120" s="70" t="s">
        <v>67</v>
      </c>
      <c r="BC120" s="70" t="s">
        <v>1044</v>
      </c>
      <c r="BD120" s="70" t="s">
        <v>2938</v>
      </c>
      <c r="BE120" s="70" t="s">
        <v>681</v>
      </c>
      <c r="BF120" s="70" t="s">
        <v>74</v>
      </c>
      <c r="BG120" s="70" t="s">
        <v>194</v>
      </c>
      <c r="BI120" s="60" t="str">
        <f t="shared" si="3"/>
        <v>Ver en Mapa</v>
      </c>
      <c r="BL120" s="70">
        <v>1</v>
      </c>
      <c r="BM120" s="70">
        <v>1</v>
      </c>
      <c r="BN120" s="70" t="s">
        <v>2847</v>
      </c>
    </row>
    <row r="121" spans="1:66" s="68" customFormat="1" x14ac:dyDescent="0.3">
      <c r="A121" s="70" t="str">
        <f>H121</f>
        <v>001395</v>
      </c>
      <c r="B121" s="70" t="s">
        <v>61</v>
      </c>
      <c r="C121" s="70" t="s">
        <v>273</v>
      </c>
      <c r="D121" s="70" t="s">
        <v>1533</v>
      </c>
      <c r="E121" s="70" t="s">
        <v>599</v>
      </c>
      <c r="F121" s="70" t="s">
        <v>590</v>
      </c>
      <c r="G121" s="70" t="s">
        <v>2763</v>
      </c>
      <c r="H121" s="70" t="s">
        <v>2481</v>
      </c>
      <c r="I121" s="70" t="s">
        <v>67</v>
      </c>
      <c r="J121" s="70" t="s">
        <v>1175</v>
      </c>
      <c r="K121" s="71">
        <v>45824</v>
      </c>
      <c r="L121" s="71">
        <v>45992</v>
      </c>
      <c r="M121" s="72">
        <v>5000</v>
      </c>
      <c r="N121" s="72">
        <v>5267.04</v>
      </c>
      <c r="O121" s="73">
        <v>1</v>
      </c>
      <c r="P121" s="61">
        <f t="shared" si="2"/>
        <v>7</v>
      </c>
      <c r="Q121" s="73">
        <v>24</v>
      </c>
      <c r="R121" s="70" t="s">
        <v>469</v>
      </c>
      <c r="S121" s="72">
        <v>365.7</v>
      </c>
      <c r="T121" s="72">
        <v>1392</v>
      </c>
      <c r="U121" s="72">
        <v>580</v>
      </c>
      <c r="V121" s="72">
        <v>17</v>
      </c>
      <c r="W121" s="72">
        <v>1</v>
      </c>
      <c r="X121" s="72">
        <v>1755.68</v>
      </c>
      <c r="Y121" s="72">
        <v>940.91</v>
      </c>
      <c r="Z121" s="72">
        <v>219.46</v>
      </c>
      <c r="AA121" s="72">
        <v>88.24</v>
      </c>
      <c r="AB121" s="72">
        <v>53.21</v>
      </c>
      <c r="AC121" s="72">
        <v>580</v>
      </c>
      <c r="AD121" s="72">
        <v>366</v>
      </c>
      <c r="AE121" s="71">
        <v>45936</v>
      </c>
      <c r="AF121" s="70" t="s">
        <v>69</v>
      </c>
      <c r="AG121" s="70" t="s">
        <v>2482</v>
      </c>
      <c r="AH121" s="70" t="s">
        <v>1176</v>
      </c>
      <c r="AJ121" s="70" t="s">
        <v>283</v>
      </c>
      <c r="AK121" s="70" t="s">
        <v>284</v>
      </c>
      <c r="AL121" s="70" t="s">
        <v>1177</v>
      </c>
      <c r="AM121" s="70" t="s">
        <v>2483</v>
      </c>
      <c r="AN121" s="70" t="s">
        <v>1178</v>
      </c>
      <c r="AO121" s="70" t="s">
        <v>2484</v>
      </c>
      <c r="AP121" s="70" t="s">
        <v>1179</v>
      </c>
      <c r="AQ121" s="70" t="s">
        <v>2485</v>
      </c>
      <c r="AR121" s="70" t="s">
        <v>1180</v>
      </c>
      <c r="AS121" s="70" t="s">
        <v>2486</v>
      </c>
      <c r="AZ121" s="72">
        <v>3094.81</v>
      </c>
      <c r="BA121" s="72">
        <v>0</v>
      </c>
      <c r="BB121" s="70" t="s">
        <v>67</v>
      </c>
      <c r="BC121" s="70" t="s">
        <v>1044</v>
      </c>
      <c r="BD121" s="70" t="s">
        <v>1181</v>
      </c>
      <c r="BE121" s="70" t="s">
        <v>1182</v>
      </c>
      <c r="BF121" s="70" t="s">
        <v>74</v>
      </c>
      <c r="BG121" s="70" t="s">
        <v>204</v>
      </c>
      <c r="BH121" s="70" t="s">
        <v>1183</v>
      </c>
      <c r="BI121" s="60" t="str">
        <f t="shared" si="3"/>
        <v>Ver en Mapa</v>
      </c>
      <c r="BL121" s="70">
        <v>1</v>
      </c>
      <c r="BM121" s="70">
        <v>1</v>
      </c>
      <c r="BN121" s="70" t="s">
        <v>2847</v>
      </c>
    </row>
    <row r="122" spans="1:66" ht="14.4" customHeight="1" x14ac:dyDescent="0.3"/>
    <row r="123" spans="1:66" ht="14.4" customHeight="1" x14ac:dyDescent="0.3"/>
    <row r="124" spans="1:66" ht="14.4" customHeight="1" x14ac:dyDescent="0.3"/>
  </sheetData>
  <autoFilter ref="B6:BL6" xr:uid="{6C62E36E-0DA8-4936-B9A8-E39370A4AF29}"/>
  <mergeCells count="2">
    <mergeCell ref="BM5:BP5"/>
    <mergeCell ref="BQ5:BU5"/>
  </mergeCells>
  <phoneticPr fontId="7" type="noConversion"/>
  <conditionalFormatting sqref="O1:O4">
    <cfRule type="colorScale" priority="14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14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14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14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13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13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13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13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13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12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12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12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12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11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11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11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11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10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10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10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10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10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9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9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9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9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8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8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8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7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7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7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7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6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6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4">
    <cfRule type="colorScale" priority="5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4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:O6">
    <cfRule type="colorScale" priority="4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3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2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1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6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7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8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8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0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0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1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1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2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2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3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3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4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4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5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5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6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6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7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7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8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8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9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9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0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0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1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1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2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2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4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4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5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5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6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6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7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7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8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8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9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9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0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0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1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1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2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2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3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3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4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4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5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5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6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6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7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7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8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8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9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9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0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0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1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1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2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2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3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3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4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4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5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5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6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6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7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7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8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8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9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9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0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0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1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1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2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2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3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3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4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4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5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5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6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6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7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7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8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8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9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9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0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0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1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1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2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2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3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3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4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4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5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5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6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6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7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8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8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9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9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70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70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71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71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72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72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73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73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74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74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75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75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76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76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77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77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78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78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79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79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80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80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81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81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82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82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8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83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84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84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85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85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86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86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8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8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88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88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89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89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0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0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1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1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2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2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3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3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4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4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5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6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6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8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8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9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9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00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00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01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01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02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02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03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03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04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04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05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05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0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0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0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07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08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08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09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09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1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1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11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11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12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12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13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13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14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1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15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15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1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1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1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17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1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1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19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19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20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20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2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2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E7D34-6990-4796-A8F2-1C0B7D222BCE}">
  <sheetPr codeName="Hoja9"/>
  <dimension ref="A3:BM11"/>
  <sheetViews>
    <sheetView topLeftCell="B1" workbookViewId="0">
      <selection activeCell="B6" sqref="B6"/>
    </sheetView>
  </sheetViews>
  <sheetFormatPr baseColWidth="10" defaultRowHeight="14.4" x14ac:dyDescent="0.3"/>
  <cols>
    <col min="1" max="1" width="0" hidden="1" customWidth="1"/>
    <col min="2" max="2" width="19.109375" bestFit="1" customWidth="1"/>
    <col min="3" max="3" width="13.88671875" bestFit="1" customWidth="1"/>
    <col min="4" max="4" width="10" bestFit="1" customWidth="1"/>
    <col min="5" max="5" width="30.21875" bestFit="1" customWidth="1"/>
    <col min="6" max="6" width="10.88671875" bestFit="1" customWidth="1"/>
    <col min="7" max="7" width="30.21875" bestFit="1" customWidth="1"/>
    <col min="8" max="8" width="11.21875" bestFit="1" customWidth="1"/>
    <col min="9" max="9" width="5.88671875" bestFit="1" customWidth="1"/>
    <col min="10" max="10" width="33.5546875" bestFit="1" customWidth="1"/>
    <col min="11" max="12" width="10.5546875" bestFit="1" customWidth="1"/>
    <col min="13" max="13" width="10.77734375" bestFit="1" customWidth="1"/>
    <col min="14" max="14" width="10" bestFit="1" customWidth="1"/>
    <col min="15" max="15" width="13.77734375" bestFit="1" customWidth="1"/>
    <col min="16" max="16" width="9.77734375" bestFit="1" customWidth="1"/>
    <col min="17" max="17" width="13.109375" bestFit="1" customWidth="1"/>
    <col min="18" max="18" width="10.44140625" bestFit="1" customWidth="1"/>
    <col min="19" max="19" width="10.21875" bestFit="1" customWidth="1"/>
    <col min="20" max="20" width="10.44140625" bestFit="1" customWidth="1"/>
    <col min="21" max="21" width="16.5546875" bestFit="1" customWidth="1"/>
    <col min="22" max="22" width="9.88671875" bestFit="1" customWidth="1"/>
    <col min="23" max="23" width="10" bestFit="1" customWidth="1"/>
    <col min="24" max="24" width="8.77734375" bestFit="1" customWidth="1"/>
    <col min="25" max="25" width="21.88671875" bestFit="1" customWidth="1"/>
    <col min="26" max="26" width="22.21875" bestFit="1" customWidth="1"/>
    <col min="27" max="27" width="24.33203125" bestFit="1" customWidth="1"/>
    <col min="28" max="28" width="15.5546875" bestFit="1" customWidth="1"/>
    <col min="29" max="29" width="9" bestFit="1" customWidth="1"/>
    <col min="30" max="30" width="10.5546875" bestFit="1" customWidth="1"/>
    <col min="31" max="31" width="10" bestFit="1" customWidth="1"/>
    <col min="33" max="33" width="30.109375" bestFit="1" customWidth="1"/>
    <col min="35" max="35" width="63.109375" bestFit="1" customWidth="1"/>
    <col min="36" max="36" width="10.5546875" bestFit="1" customWidth="1"/>
    <col min="37" max="37" width="30.88671875" bestFit="1" customWidth="1"/>
    <col min="38" max="38" width="11" bestFit="1" customWidth="1"/>
    <col min="39" max="39" width="29.44140625" bestFit="1" customWidth="1"/>
    <col min="40" max="40" width="21.88671875" bestFit="1" customWidth="1"/>
    <col min="41" max="41" width="29" bestFit="1" customWidth="1"/>
    <col min="42" max="42" width="21.88671875" bestFit="1" customWidth="1"/>
    <col min="43" max="43" width="28.88671875" bestFit="1" customWidth="1"/>
    <col min="44" max="44" width="21.88671875" bestFit="1" customWidth="1"/>
    <col min="45" max="45" width="15.5546875" bestFit="1" customWidth="1"/>
    <col min="46" max="46" width="11.33203125" bestFit="1" customWidth="1"/>
    <col min="47" max="47" width="10.77734375" bestFit="1" customWidth="1"/>
    <col min="48" max="48" width="15.5546875" bestFit="1" customWidth="1"/>
    <col min="49" max="49" width="11.33203125" bestFit="1" customWidth="1"/>
    <col min="50" max="50" width="10.77734375" bestFit="1" customWidth="1"/>
    <col min="51" max="51" width="10" bestFit="1" customWidth="1"/>
    <col min="52" max="52" width="10.44140625" bestFit="1" customWidth="1"/>
    <col min="53" max="53" width="9.6640625" bestFit="1" customWidth="1"/>
    <col min="54" max="54" width="19" bestFit="1" customWidth="1"/>
    <col min="55" max="55" width="23.44140625" bestFit="1" customWidth="1"/>
    <col min="56" max="56" width="23.88671875" bestFit="1" customWidth="1"/>
    <col min="57" max="57" width="10.77734375" bestFit="1" customWidth="1"/>
    <col min="58" max="58" width="12.88671875" bestFit="1" customWidth="1"/>
    <col min="59" max="59" width="26" bestFit="1" customWidth="1"/>
    <col min="60" max="60" width="30.77734375" bestFit="1" customWidth="1"/>
    <col min="61" max="61" width="10.6640625" bestFit="1" customWidth="1"/>
    <col min="62" max="62" width="9.44140625" bestFit="1" customWidth="1"/>
    <col min="63" max="63" width="11.77734375" bestFit="1" customWidth="1"/>
    <col min="64" max="64" width="10.21875" bestFit="1" customWidth="1"/>
  </cols>
  <sheetData>
    <row r="3" spans="1:65" x14ac:dyDescent="0.3">
      <c r="E3" s="6" t="s">
        <v>1763</v>
      </c>
    </row>
    <row r="6" spans="1:65" s="43" customFormat="1" ht="69" x14ac:dyDescent="0.25">
      <c r="A6" s="56" t="s">
        <v>6</v>
      </c>
      <c r="B6" s="36" t="s">
        <v>0</v>
      </c>
      <c r="C6" s="36" t="s">
        <v>1</v>
      </c>
      <c r="D6" s="37" t="s">
        <v>2</v>
      </c>
      <c r="E6" s="37" t="s">
        <v>3</v>
      </c>
      <c r="F6" s="37" t="s">
        <v>4</v>
      </c>
      <c r="G6" s="37" t="s">
        <v>5</v>
      </c>
      <c r="H6" s="37" t="s">
        <v>6</v>
      </c>
      <c r="I6" s="36" t="s">
        <v>7</v>
      </c>
      <c r="J6" s="36" t="s">
        <v>8</v>
      </c>
      <c r="K6" s="38" t="s">
        <v>9</v>
      </c>
      <c r="L6" s="38" t="s">
        <v>10</v>
      </c>
      <c r="M6" s="39" t="s">
        <v>11</v>
      </c>
      <c r="N6" s="39" t="s">
        <v>12</v>
      </c>
      <c r="O6" s="44" t="s">
        <v>13</v>
      </c>
      <c r="P6" s="40" t="s">
        <v>14</v>
      </c>
      <c r="Q6" s="36" t="s">
        <v>15</v>
      </c>
      <c r="R6" s="39" t="s">
        <v>16</v>
      </c>
      <c r="S6" s="39" t="s">
        <v>17</v>
      </c>
      <c r="T6" s="39" t="s">
        <v>18</v>
      </c>
      <c r="U6" s="41" t="s">
        <v>19</v>
      </c>
      <c r="V6" s="39" t="s">
        <v>20</v>
      </c>
      <c r="W6" s="39" t="s">
        <v>21</v>
      </c>
      <c r="X6" s="39" t="s">
        <v>22</v>
      </c>
      <c r="Y6" s="41" t="s">
        <v>23</v>
      </c>
      <c r="Z6" s="41" t="s">
        <v>24</v>
      </c>
      <c r="AA6" s="41" t="s">
        <v>25</v>
      </c>
      <c r="AB6" s="41" t="s">
        <v>26</v>
      </c>
      <c r="AC6" s="39" t="s">
        <v>27</v>
      </c>
      <c r="AD6" s="38" t="s">
        <v>28</v>
      </c>
      <c r="AE6" s="37" t="s">
        <v>29</v>
      </c>
      <c r="AF6" s="37" t="s">
        <v>30</v>
      </c>
      <c r="AG6" s="37" t="s">
        <v>31</v>
      </c>
      <c r="AH6" s="37" t="s">
        <v>32</v>
      </c>
      <c r="AI6" s="37" t="s">
        <v>33</v>
      </c>
      <c r="AJ6" s="37" t="s">
        <v>34</v>
      </c>
      <c r="AK6" s="37" t="s">
        <v>35</v>
      </c>
      <c r="AL6" s="37" t="s">
        <v>36</v>
      </c>
      <c r="AM6" s="36" t="s">
        <v>1005</v>
      </c>
      <c r="AN6" s="36" t="s">
        <v>1006</v>
      </c>
      <c r="AO6" s="36" t="s">
        <v>1007</v>
      </c>
      <c r="AP6" s="36" t="s">
        <v>1008</v>
      </c>
      <c r="AQ6" s="36" t="s">
        <v>1009</v>
      </c>
      <c r="AR6" s="36" t="s">
        <v>1010</v>
      </c>
      <c r="AS6" s="36" t="s">
        <v>43</v>
      </c>
      <c r="AT6" s="42" t="s">
        <v>44</v>
      </c>
      <c r="AU6" s="36" t="s">
        <v>45</v>
      </c>
      <c r="AV6" s="36" t="s">
        <v>46</v>
      </c>
      <c r="AW6" s="42" t="s">
        <v>47</v>
      </c>
      <c r="AX6" s="36" t="s">
        <v>48</v>
      </c>
      <c r="AY6" s="39" t="s">
        <v>49</v>
      </c>
      <c r="AZ6" s="39" t="s">
        <v>50</v>
      </c>
      <c r="BA6" s="37" t="s">
        <v>51</v>
      </c>
      <c r="BB6" s="37" t="s">
        <v>52</v>
      </c>
      <c r="BC6" s="36" t="s">
        <v>53</v>
      </c>
      <c r="BD6" s="36" t="s">
        <v>54</v>
      </c>
      <c r="BE6" s="37" t="s">
        <v>55</v>
      </c>
      <c r="BF6" s="36" t="s">
        <v>56</v>
      </c>
      <c r="BG6" s="36" t="s">
        <v>1011</v>
      </c>
      <c r="BH6" s="36" t="s">
        <v>1085</v>
      </c>
      <c r="BI6" s="38" t="s">
        <v>57</v>
      </c>
      <c r="BJ6" s="37" t="s">
        <v>58</v>
      </c>
      <c r="BK6" s="36" t="s">
        <v>59</v>
      </c>
      <c r="BL6" s="36" t="s">
        <v>60</v>
      </c>
    </row>
    <row r="7" spans="1:65" x14ac:dyDescent="0.3">
      <c r="A7" s="1" t="str">
        <f>H7</f>
        <v>001562</v>
      </c>
      <c r="B7" s="1" t="s">
        <v>61</v>
      </c>
      <c r="C7" s="1" t="s">
        <v>62</v>
      </c>
      <c r="D7" s="1" t="s">
        <v>1429</v>
      </c>
      <c r="E7" s="1" t="s">
        <v>617</v>
      </c>
      <c r="F7" s="1" t="s">
        <v>590</v>
      </c>
      <c r="G7" s="1" t="s">
        <v>2763</v>
      </c>
      <c r="H7" s="1" t="s">
        <v>2058</v>
      </c>
      <c r="I7" s="1" t="s">
        <v>67</v>
      </c>
      <c r="J7" s="1" t="s">
        <v>1704</v>
      </c>
      <c r="K7" s="2">
        <v>45856</v>
      </c>
      <c r="L7" s="2">
        <v>45968</v>
      </c>
      <c r="M7" s="3">
        <v>10000</v>
      </c>
      <c r="N7" s="3">
        <v>10534.08</v>
      </c>
      <c r="O7" s="4">
        <v>0</v>
      </c>
      <c r="P7" s="4">
        <v>16</v>
      </c>
      <c r="Q7" s="1" t="s">
        <v>469</v>
      </c>
      <c r="R7" s="3">
        <v>892.86</v>
      </c>
      <c r="S7" s="3">
        <v>928</v>
      </c>
      <c r="T7" s="3">
        <v>0</v>
      </c>
      <c r="U7" s="3">
        <v>11</v>
      </c>
      <c r="V7" s="3">
        <v>1</v>
      </c>
      <c r="W7" s="3">
        <v>3950.28</v>
      </c>
      <c r="X7" s="3">
        <v>891.61048960000005</v>
      </c>
      <c r="Y7" s="3">
        <v>658.38</v>
      </c>
      <c r="Z7" s="3">
        <v>176.48</v>
      </c>
      <c r="AA7" s="3">
        <v>56.75</v>
      </c>
      <c r="AB7" s="3">
        <v>0</v>
      </c>
      <c r="AC7" s="3">
        <v>893</v>
      </c>
      <c r="AD7" s="2">
        <v>45926</v>
      </c>
      <c r="AE7" s="1" t="s">
        <v>69</v>
      </c>
      <c r="AF7" s="1" t="s">
        <v>2059</v>
      </c>
      <c r="AG7" s="1" t="s">
        <v>1705</v>
      </c>
      <c r="AI7" s="1" t="s">
        <v>565</v>
      </c>
      <c r="AJ7" s="1" t="s">
        <v>1907</v>
      </c>
      <c r="AK7" s="1" t="s">
        <v>1706</v>
      </c>
      <c r="AL7" s="1" t="s">
        <v>2059</v>
      </c>
      <c r="AM7" s="1" t="s">
        <v>1707</v>
      </c>
      <c r="AN7" s="1" t="s">
        <v>2060</v>
      </c>
      <c r="AO7" s="1" t="s">
        <v>1708</v>
      </c>
      <c r="AP7" s="1" t="s">
        <v>2061</v>
      </c>
      <c r="AQ7" s="1" t="s">
        <v>1709</v>
      </c>
      <c r="AR7" s="1" t="s">
        <v>2062</v>
      </c>
      <c r="AY7" s="3">
        <v>5065.92</v>
      </c>
      <c r="AZ7" s="3">
        <v>0</v>
      </c>
      <c r="BA7" s="1" t="s">
        <v>67</v>
      </c>
      <c r="BB7" s="1" t="s">
        <v>1044</v>
      </c>
      <c r="BC7" s="1" t="s">
        <v>1710</v>
      </c>
      <c r="BD7" s="1" t="s">
        <v>1711</v>
      </c>
      <c r="BE7" s="1" t="s">
        <v>74</v>
      </c>
      <c r="BF7" s="1" t="s">
        <v>1402</v>
      </c>
      <c r="BG7" s="1" t="s">
        <v>1712</v>
      </c>
      <c r="BH7" s="60" t="str">
        <f>HYPERLINK("https://www.google.com/maps/search/?api=1&amp;query=" &amp; SUBSTITUTE(SUBSTITUTE(BG7, "°", "%20"), """", ""), "Ver en Mapa")</f>
        <v>Ver en Mapa</v>
      </c>
      <c r="BK7" s="1">
        <v>1</v>
      </c>
      <c r="BL7" s="1">
        <v>1</v>
      </c>
      <c r="BM7" s="1" t="s">
        <v>2847</v>
      </c>
    </row>
    <row r="8" spans="1:65" x14ac:dyDescent="0.3">
      <c r="A8" s="1" t="str">
        <f>H8</f>
        <v>001347</v>
      </c>
      <c r="B8" s="1" t="s">
        <v>61</v>
      </c>
      <c r="C8" s="1" t="s">
        <v>62</v>
      </c>
      <c r="D8" s="1" t="s">
        <v>1429</v>
      </c>
      <c r="E8" s="1" t="s">
        <v>617</v>
      </c>
      <c r="F8" s="1" t="s">
        <v>2848</v>
      </c>
      <c r="G8" s="1" t="s">
        <v>2849</v>
      </c>
      <c r="H8" s="1" t="s">
        <v>1967</v>
      </c>
      <c r="I8" s="1" t="s">
        <v>67</v>
      </c>
      <c r="J8" s="1" t="s">
        <v>676</v>
      </c>
      <c r="K8" s="2">
        <v>45805</v>
      </c>
      <c r="L8" s="2">
        <v>45989</v>
      </c>
      <c r="M8" s="3">
        <v>5000</v>
      </c>
      <c r="N8" s="3">
        <v>5267.04</v>
      </c>
      <c r="O8" s="4">
        <v>0</v>
      </c>
      <c r="P8" s="4">
        <v>6</v>
      </c>
      <c r="Q8" s="1" t="s">
        <v>68</v>
      </c>
      <c r="R8" s="3">
        <v>1322.42</v>
      </c>
      <c r="S8" s="3">
        <v>348</v>
      </c>
      <c r="T8" s="3">
        <v>540.66999999999996</v>
      </c>
      <c r="U8" s="3">
        <v>0</v>
      </c>
      <c r="V8" s="3">
        <v>0</v>
      </c>
      <c r="W8" s="3">
        <v>1755.68</v>
      </c>
      <c r="X8" s="3">
        <v>482.67</v>
      </c>
      <c r="Y8" s="3">
        <v>0</v>
      </c>
      <c r="Z8" s="3">
        <v>0</v>
      </c>
      <c r="AA8" s="59">
        <v>0</v>
      </c>
      <c r="AB8" s="3">
        <v>540.66999999999996</v>
      </c>
      <c r="AC8" s="3">
        <v>2000</v>
      </c>
      <c r="AD8" s="2">
        <v>45931</v>
      </c>
      <c r="AE8" s="1" t="s">
        <v>69</v>
      </c>
      <c r="AF8" s="1" t="s">
        <v>1968</v>
      </c>
      <c r="AG8" s="1" t="s">
        <v>677</v>
      </c>
      <c r="AI8" s="1" t="s">
        <v>526</v>
      </c>
      <c r="AJ8" s="1" t="s">
        <v>527</v>
      </c>
      <c r="AM8" s="1" t="s">
        <v>777</v>
      </c>
      <c r="AN8" s="1" t="s">
        <v>1969</v>
      </c>
      <c r="AO8" s="1" t="s">
        <v>776</v>
      </c>
      <c r="AP8" s="1" t="s">
        <v>1970</v>
      </c>
      <c r="AQ8" s="1" t="s">
        <v>873</v>
      </c>
      <c r="AR8" s="1" t="s">
        <v>1971</v>
      </c>
      <c r="AY8" s="3">
        <v>3011.5</v>
      </c>
      <c r="AZ8" s="3">
        <v>0</v>
      </c>
      <c r="BA8" s="1" t="s">
        <v>67</v>
      </c>
      <c r="BB8" s="1" t="s">
        <v>1044</v>
      </c>
      <c r="BC8" s="1" t="s">
        <v>678</v>
      </c>
      <c r="BD8" s="1" t="s">
        <v>97</v>
      </c>
      <c r="BE8" s="1" t="s">
        <v>74</v>
      </c>
      <c r="BF8" s="1" t="s">
        <v>75</v>
      </c>
      <c r="BH8" s="60" t="str">
        <f>HYPERLINK("https://www.google.com/maps/search/?api=1&amp;query=" &amp; SUBSTITUTE(SUBSTITUTE(BG8, "°", "%20"), """", ""), "Ver en Mapa")</f>
        <v>Ver en Mapa</v>
      </c>
      <c r="BK8" s="1">
        <v>2</v>
      </c>
      <c r="BL8" s="1">
        <v>2</v>
      </c>
      <c r="BM8" s="1" t="s">
        <v>2847</v>
      </c>
    </row>
    <row r="9" spans="1:65" x14ac:dyDescent="0.3">
      <c r="A9" s="1" t="str">
        <f>H9</f>
        <v>001402</v>
      </c>
      <c r="B9" s="1" t="s">
        <v>61</v>
      </c>
      <c r="C9" s="1" t="s">
        <v>194</v>
      </c>
      <c r="D9" s="1" t="s">
        <v>588</v>
      </c>
      <c r="E9" s="1" t="s">
        <v>589</v>
      </c>
      <c r="F9" s="1" t="s">
        <v>590</v>
      </c>
      <c r="G9" s="1" t="s">
        <v>2763</v>
      </c>
      <c r="H9" s="1" t="s">
        <v>2285</v>
      </c>
      <c r="I9" s="1" t="s">
        <v>67</v>
      </c>
      <c r="J9" s="1" t="s">
        <v>1157</v>
      </c>
      <c r="K9" s="2">
        <v>45821</v>
      </c>
      <c r="L9" s="2">
        <v>45989</v>
      </c>
      <c r="M9" s="3">
        <v>5000</v>
      </c>
      <c r="N9" s="3">
        <v>5267.04</v>
      </c>
      <c r="O9" s="4">
        <v>0</v>
      </c>
      <c r="P9" s="4">
        <v>12</v>
      </c>
      <c r="Q9" s="1" t="s">
        <v>496</v>
      </c>
      <c r="R9" s="3">
        <v>673.4</v>
      </c>
      <c r="S9" s="3">
        <v>696</v>
      </c>
      <c r="T9" s="3">
        <v>0</v>
      </c>
      <c r="U9" s="3">
        <v>8</v>
      </c>
      <c r="V9" s="3">
        <v>1</v>
      </c>
      <c r="W9" s="3">
        <v>2195.61</v>
      </c>
      <c r="X9" s="3">
        <v>674.41</v>
      </c>
      <c r="Y9" s="3">
        <v>439.93</v>
      </c>
      <c r="Z9" s="3">
        <v>176.48</v>
      </c>
      <c r="AA9" s="3">
        <v>58</v>
      </c>
      <c r="AB9" s="3">
        <v>0</v>
      </c>
      <c r="AC9" s="3">
        <v>673</v>
      </c>
      <c r="AD9" s="2">
        <v>45919</v>
      </c>
      <c r="AE9" s="1" t="s">
        <v>69</v>
      </c>
      <c r="AF9" s="1" t="s">
        <v>2286</v>
      </c>
      <c r="AG9" s="1" t="s">
        <v>1158</v>
      </c>
      <c r="AI9" s="1" t="s">
        <v>1159</v>
      </c>
      <c r="AJ9" s="1" t="s">
        <v>2287</v>
      </c>
      <c r="AK9" s="1" t="s">
        <v>1160</v>
      </c>
      <c r="AM9" s="1" t="s">
        <v>1161</v>
      </c>
      <c r="AN9" s="1" t="s">
        <v>2288</v>
      </c>
      <c r="AO9" s="1" t="s">
        <v>1162</v>
      </c>
      <c r="AP9" s="1" t="s">
        <v>2289</v>
      </c>
      <c r="AQ9" s="1" t="s">
        <v>1163</v>
      </c>
      <c r="AR9" s="1" t="s">
        <v>2290</v>
      </c>
      <c r="AY9" s="3">
        <v>3136.01</v>
      </c>
      <c r="AZ9" s="3">
        <v>0</v>
      </c>
      <c r="BA9" s="1" t="s">
        <v>67</v>
      </c>
      <c r="BB9" s="1" t="s">
        <v>1044</v>
      </c>
      <c r="BC9" s="1" t="s">
        <v>1164</v>
      </c>
      <c r="BD9" s="1" t="s">
        <v>415</v>
      </c>
      <c r="BE9" s="1" t="s">
        <v>74</v>
      </c>
      <c r="BF9" s="1" t="s">
        <v>415</v>
      </c>
      <c r="BG9" s="1" t="s">
        <v>1165</v>
      </c>
      <c r="BH9" s="60" t="str">
        <f>HYPERLINK("https://www.google.com/maps/search/?api=1&amp;query=" &amp; SUBSTITUTE(SUBSTITUTE(BG9, "°", "%20"), """", ""), "Ver en Mapa")</f>
        <v>Ver en Mapa</v>
      </c>
      <c r="BK9" s="1">
        <v>3</v>
      </c>
      <c r="BL9" s="1">
        <v>2</v>
      </c>
      <c r="BM9" s="1" t="s">
        <v>2847</v>
      </c>
    </row>
    <row r="10" spans="1:65" x14ac:dyDescent="0.3">
      <c r="A10" s="1" t="str">
        <f>H10</f>
        <v>001686</v>
      </c>
      <c r="B10" s="1" t="s">
        <v>61</v>
      </c>
      <c r="C10" s="1" t="s">
        <v>273</v>
      </c>
      <c r="D10" s="1" t="s">
        <v>1533</v>
      </c>
      <c r="E10" s="1" t="s">
        <v>599</v>
      </c>
      <c r="F10" s="1" t="s">
        <v>590</v>
      </c>
      <c r="G10" s="1" t="s">
        <v>2763</v>
      </c>
      <c r="H10" s="1" t="s">
        <v>2673</v>
      </c>
      <c r="I10" s="1" t="s">
        <v>67</v>
      </c>
      <c r="J10" s="1" t="s">
        <v>2674</v>
      </c>
      <c r="K10" s="2">
        <v>45877</v>
      </c>
      <c r="L10" s="2">
        <v>46045</v>
      </c>
      <c r="M10" s="3">
        <v>5000</v>
      </c>
      <c r="N10" s="3">
        <v>5267.04</v>
      </c>
      <c r="O10" s="4">
        <v>0</v>
      </c>
      <c r="P10" s="4">
        <v>12</v>
      </c>
      <c r="Q10" s="1" t="s">
        <v>496</v>
      </c>
      <c r="R10" s="3">
        <v>673.4</v>
      </c>
      <c r="S10" s="3">
        <v>696</v>
      </c>
      <c r="T10" s="3">
        <v>0</v>
      </c>
      <c r="U10" s="3">
        <v>4</v>
      </c>
      <c r="V10" s="3">
        <v>1</v>
      </c>
      <c r="W10" s="3">
        <v>3950.28</v>
      </c>
      <c r="X10" s="3">
        <v>671.60381440000003</v>
      </c>
      <c r="Y10" s="3">
        <v>438.92</v>
      </c>
      <c r="Z10" s="3">
        <v>176.48</v>
      </c>
      <c r="AA10" s="3">
        <v>56.2</v>
      </c>
      <c r="AB10" s="3">
        <v>0</v>
      </c>
      <c r="AC10" s="3">
        <v>674</v>
      </c>
      <c r="AD10" s="2">
        <v>45919</v>
      </c>
      <c r="AE10" s="1" t="s">
        <v>69</v>
      </c>
      <c r="AF10" s="1" t="s">
        <v>2675</v>
      </c>
      <c r="AG10" s="1" t="s">
        <v>2676</v>
      </c>
      <c r="AI10" s="1" t="s">
        <v>86</v>
      </c>
      <c r="AJ10" s="1" t="s">
        <v>87</v>
      </c>
      <c r="AK10" s="1" t="s">
        <v>2677</v>
      </c>
      <c r="AM10" s="1" t="s">
        <v>2678</v>
      </c>
      <c r="AN10" s="1" t="s">
        <v>2679</v>
      </c>
      <c r="AO10" s="1" t="s">
        <v>2680</v>
      </c>
      <c r="AP10" s="1" t="s">
        <v>2681</v>
      </c>
      <c r="AQ10" s="1" t="s">
        <v>2682</v>
      </c>
      <c r="AR10" s="1" t="s">
        <v>2683</v>
      </c>
      <c r="AY10" s="3">
        <v>5594.81</v>
      </c>
      <c r="AZ10" s="3">
        <v>0</v>
      </c>
      <c r="BA10" s="1" t="s">
        <v>67</v>
      </c>
      <c r="BB10" s="1" t="s">
        <v>1044</v>
      </c>
      <c r="BC10" s="1" t="s">
        <v>2684</v>
      </c>
      <c r="BD10" s="1" t="s">
        <v>2685</v>
      </c>
      <c r="BE10" s="1" t="s">
        <v>74</v>
      </c>
      <c r="BF10" s="1" t="s">
        <v>296</v>
      </c>
      <c r="BG10" s="1" t="s">
        <v>2686</v>
      </c>
      <c r="BH10" s="60" t="str">
        <f>HYPERLINK("https://www.google.com/maps/search/?api=1&amp;query=" &amp; SUBSTITUTE(SUBSTITUTE(BG10, "°", "%20"), """", ""), "Ver en Mapa")</f>
        <v>Ver en Mapa</v>
      </c>
      <c r="BK10" s="1">
        <v>1</v>
      </c>
      <c r="BL10" s="1">
        <v>1</v>
      </c>
      <c r="BM10" s="1" t="s">
        <v>2847</v>
      </c>
    </row>
    <row r="11" spans="1:65" x14ac:dyDescent="0.3">
      <c r="A11" s="1" t="str">
        <f>H11</f>
        <v>001364</v>
      </c>
      <c r="B11" s="1" t="s">
        <v>61</v>
      </c>
      <c r="C11" s="1" t="s">
        <v>392</v>
      </c>
      <c r="D11" s="1" t="s">
        <v>1545</v>
      </c>
      <c r="E11" s="1" t="s">
        <v>665</v>
      </c>
      <c r="F11" s="1" t="s">
        <v>590</v>
      </c>
      <c r="G11" s="1" t="s">
        <v>2763</v>
      </c>
      <c r="H11" s="1" t="s">
        <v>2522</v>
      </c>
      <c r="I11" s="1" t="s">
        <v>67</v>
      </c>
      <c r="J11" s="1" t="s">
        <v>1058</v>
      </c>
      <c r="K11" s="2">
        <v>45811</v>
      </c>
      <c r="L11" s="2">
        <v>45994</v>
      </c>
      <c r="M11" s="3">
        <v>10000</v>
      </c>
      <c r="N11" s="3">
        <v>10534.08</v>
      </c>
      <c r="O11" s="4">
        <v>0</v>
      </c>
      <c r="P11" s="4">
        <v>6</v>
      </c>
      <c r="Q11" s="1" t="s">
        <v>68</v>
      </c>
      <c r="R11" s="3">
        <v>2582.63</v>
      </c>
      <c r="S11" s="3">
        <v>348</v>
      </c>
      <c r="T11" s="3">
        <v>0</v>
      </c>
      <c r="U11" s="3">
        <v>0</v>
      </c>
      <c r="V11" s="3">
        <v>1</v>
      </c>
      <c r="W11" s="3">
        <v>5267.04</v>
      </c>
      <c r="X11" s="3">
        <v>2548.5309056000001</v>
      </c>
      <c r="Y11" s="3">
        <v>1755.68</v>
      </c>
      <c r="Z11" s="3">
        <v>768.95</v>
      </c>
      <c r="AA11" s="3">
        <v>23.900000000000002</v>
      </c>
      <c r="AB11" s="3">
        <v>0</v>
      </c>
      <c r="AC11" s="3">
        <v>2582</v>
      </c>
      <c r="AD11" s="2">
        <v>45903</v>
      </c>
      <c r="AE11" s="1" t="s">
        <v>69</v>
      </c>
      <c r="AF11" s="1" t="s">
        <v>2523</v>
      </c>
      <c r="AG11" s="1" t="s">
        <v>1059</v>
      </c>
      <c r="AI11" s="1" t="s">
        <v>1060</v>
      </c>
      <c r="AJ11" s="1" t="s">
        <v>2524</v>
      </c>
      <c r="AK11" s="1" t="s">
        <v>1061</v>
      </c>
      <c r="AL11" s="1" t="s">
        <v>2523</v>
      </c>
      <c r="AM11" s="1" t="s">
        <v>1062</v>
      </c>
      <c r="AN11" s="1" t="s">
        <v>2525</v>
      </c>
      <c r="AO11" s="1" t="s">
        <v>1063</v>
      </c>
      <c r="AP11" s="1" t="s">
        <v>2526</v>
      </c>
      <c r="AQ11" s="1" t="s">
        <v>1064</v>
      </c>
      <c r="AR11" s="1" t="s">
        <v>2527</v>
      </c>
      <c r="AY11" s="3">
        <v>7597.8</v>
      </c>
      <c r="AZ11" s="3">
        <v>0</v>
      </c>
      <c r="BA11" s="1" t="s">
        <v>67</v>
      </c>
      <c r="BB11" s="1" t="s">
        <v>1044</v>
      </c>
      <c r="BC11" s="1" t="s">
        <v>343</v>
      </c>
      <c r="BD11" s="1" t="s">
        <v>1065</v>
      </c>
      <c r="BE11" s="1" t="s">
        <v>74</v>
      </c>
      <c r="BF11" s="1" t="s">
        <v>1066</v>
      </c>
      <c r="BG11" s="1" t="s">
        <v>1067</v>
      </c>
      <c r="BH11" s="60" t="str">
        <f>HYPERLINK("https://www.google.com/maps/search/?api=1&amp;query=" &amp; SUBSTITUTE(SUBSTITUTE(BG11, "°", "%20"), """", ""), "Ver en Mapa")</f>
        <v>Ver en Mapa</v>
      </c>
      <c r="BK11" s="1">
        <v>1</v>
      </c>
      <c r="BL11" s="1">
        <v>1</v>
      </c>
      <c r="BM11" s="1" t="s">
        <v>2847</v>
      </c>
    </row>
  </sheetData>
  <autoFilter ref="A6:BL6" xr:uid="{B96E7D34-6990-4796-A8F2-1C0B7D222BCE}"/>
  <conditionalFormatting sqref="O6">
    <cfRule type="colorScale" priority="11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3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">
    <cfRule type="colorScale" priority="11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">
    <cfRule type="colorScale" priority="113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">
    <cfRule type="colorScale" priority="11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">
    <cfRule type="colorScale" priority="11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">
    <cfRule type="colorScale" priority="11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">
    <cfRule type="colorScale" priority="11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2:O1048576 O1:O6">
    <cfRule type="colorScale" priority="112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">
    <cfRule type="colorScale" priority="112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">
    <cfRule type="colorScale" priority="112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">
    <cfRule type="colorScale" priority="112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 O1:O6">
    <cfRule type="colorScale" priority="11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2:O1048576">
    <cfRule type="colorScale" priority="10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2:O1048576">
    <cfRule type="colorScale" priority="10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2:O1048576">
    <cfRule type="colorScale" priority="103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">
    <cfRule type="colorScale" priority="10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">
    <cfRule type="colorScale" priority="98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">
    <cfRule type="colorScale" priority="96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">
    <cfRule type="colorScale" priority="9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">
    <cfRule type="colorScale" priority="9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">
    <cfRule type="colorScale" priority="89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">
    <cfRule type="colorScale" priority="86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">
    <cfRule type="colorScale" priority="84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">
    <cfRule type="colorScale" priority="8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">
    <cfRule type="colorScale" priority="79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">
    <cfRule type="colorScale" priority="76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">
    <cfRule type="colorScale" priority="7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">
    <cfRule type="colorScale" priority="7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">
    <cfRule type="colorScale" priority="6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">
    <cfRule type="colorScale" priority="66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">
    <cfRule type="colorScale" priority="63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">
    <cfRule type="colorScale" priority="60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">
    <cfRule type="colorScale" priority="57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">
    <cfRule type="colorScale" priority="54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">
    <cfRule type="colorScale" priority="5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">
    <cfRule type="colorScale" priority="4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">
    <cfRule type="colorScale" priority="45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">
    <cfRule type="colorScale" priority="4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">
    <cfRule type="colorScale" priority="37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">
    <cfRule type="colorScale" priority="32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">
    <cfRule type="colorScale" priority="27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">
    <cfRule type="colorScale" priority="2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2:O1048576">
    <cfRule type="colorScale" priority="18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">
    <cfRule type="colorScale" priority="13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">
    <cfRule type="colorScale" priority="9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1048576 O1:O6">
    <cfRule type="colorScale" priority="4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8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0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E763B-B4B9-4A46-AA04-456B5F54763E}">
  <sheetPr codeName="Hoja10"/>
  <dimension ref="B3:M11"/>
  <sheetViews>
    <sheetView showGridLines="0" tabSelected="1" topLeftCell="G1" workbookViewId="0">
      <selection activeCell="I7" sqref="I7"/>
    </sheetView>
  </sheetViews>
  <sheetFormatPr baseColWidth="10" defaultRowHeight="14.4" x14ac:dyDescent="0.3"/>
  <cols>
    <col min="4" max="4" width="36.77734375" bestFit="1" customWidth="1"/>
    <col min="5" max="8" width="14.77734375" customWidth="1"/>
    <col min="9" max="9" width="14.77734375" style="68" customWidth="1"/>
    <col min="10" max="12" width="14.77734375" customWidth="1"/>
  </cols>
  <sheetData>
    <row r="3" spans="2:13" ht="18" x14ac:dyDescent="0.35">
      <c r="E3" s="46" t="s">
        <v>2582</v>
      </c>
    </row>
    <row r="6" spans="2:13" x14ac:dyDescent="0.3">
      <c r="E6" s="65" t="s">
        <v>2583</v>
      </c>
      <c r="F6" s="66"/>
      <c r="G6" s="66"/>
    </row>
    <row r="7" spans="2:13" ht="69" x14ac:dyDescent="0.3">
      <c r="B7" s="47" t="s">
        <v>6</v>
      </c>
      <c r="C7" s="48" t="s">
        <v>7</v>
      </c>
      <c r="D7" s="47" t="s">
        <v>2584</v>
      </c>
      <c r="E7" s="47" t="s">
        <v>24</v>
      </c>
      <c r="F7" s="47" t="s">
        <v>25</v>
      </c>
      <c r="G7" s="47" t="s">
        <v>26</v>
      </c>
      <c r="H7" s="47" t="s">
        <v>2585</v>
      </c>
      <c r="I7" s="47" t="s">
        <v>50</v>
      </c>
      <c r="J7" s="47" t="s">
        <v>2586</v>
      </c>
      <c r="K7" s="47" t="s">
        <v>2587</v>
      </c>
      <c r="L7" s="55" t="s">
        <v>2590</v>
      </c>
      <c r="M7" s="47" t="s">
        <v>2588</v>
      </c>
    </row>
    <row r="8" spans="2:13" ht="69" customHeight="1" x14ac:dyDescent="0.3">
      <c r="B8" s="54" t="s">
        <v>2042</v>
      </c>
      <c r="C8" s="49" t="str">
        <f>VLOOKUP($B$8,'13102025'!$A:$BL,9,FALSE)</f>
        <v>01</v>
      </c>
      <c r="D8" s="49" t="str">
        <f>VLOOKUP($B$8,'13102025'!$A:$BL,10,FALSE)</f>
        <v>ALVARADO NORBERTO ELENA NATALIA</v>
      </c>
      <c r="E8" s="50">
        <f>VLOOKUP($B$8,'13102025'!$A:$BL,26,FALSE)</f>
        <v>384.48</v>
      </c>
      <c r="F8" s="50">
        <f>VLOOKUP($B$8,'13102025'!$A:$BL,27,FALSE)</f>
        <v>38.630000000000003</v>
      </c>
      <c r="G8" s="50">
        <f>VLOOKUP($B$8,'13102025'!$A:$BL,28,FALSE)</f>
        <v>580</v>
      </c>
      <c r="H8" s="50">
        <f>VLOOKUP($B$8,'13102025'!$A:$BL,23,FALSE)</f>
        <v>3511.36</v>
      </c>
      <c r="I8" s="50">
        <f>VLOOKUP($B$8,'13102025'!$A:$BL,52,FALSE)</f>
        <v>0</v>
      </c>
      <c r="J8" s="51"/>
      <c r="K8" s="51"/>
      <c r="L8" s="52">
        <f>SUM($E$8,$F$8,$G$8,$H$8,$J$8,$K$8)-$I$8</f>
        <v>4514.47</v>
      </c>
      <c r="M8" s="53"/>
    </row>
    <row r="11" spans="2:13" x14ac:dyDescent="0.3">
      <c r="C11" t="s">
        <v>2589</v>
      </c>
    </row>
  </sheetData>
  <mergeCells count="1">
    <mergeCell ref="E6:G6"/>
  </mergeCells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</vt:i4>
      </vt:variant>
    </vt:vector>
  </HeadingPairs>
  <TitlesOfParts>
    <vt:vector size="11" baseType="lpstr">
      <vt:lpstr>Rep_completo</vt:lpstr>
      <vt:lpstr>13102025</vt:lpstr>
      <vt:lpstr>Valle</vt:lpstr>
      <vt:lpstr>Tenancingo</vt:lpstr>
      <vt:lpstr>Metepec</vt:lpstr>
      <vt:lpstr>Maravatio</vt:lpstr>
      <vt:lpstr>Atlacomulco</vt:lpstr>
      <vt:lpstr>Mora</vt:lpstr>
      <vt:lpstr>Cuentas_con_saldo_vencido</vt:lpstr>
      <vt:lpstr>Liquidación Anticipada</vt:lpstr>
      <vt:lpstr>BI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Yesenia</dc:creator>
  <cp:lastModifiedBy>carlos mejia</cp:lastModifiedBy>
  <dcterms:created xsi:type="dcterms:W3CDTF">2025-03-14T16:14:59Z</dcterms:created>
  <dcterms:modified xsi:type="dcterms:W3CDTF">2025-10-14T17:05:48Z</dcterms:modified>
</cp:coreProperties>
</file>