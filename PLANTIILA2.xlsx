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uzzie\Documents\Jale\automatizador-crediflexi\"/>
    </mc:Choice>
  </mc:AlternateContent>
  <xr:revisionPtr revIDLastSave="0" documentId="13_ncr:1_{8A44E271-0E2D-47A8-8770-8D6FFEDCD5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X_Coordinación" sheetId="19" r:id="rId1"/>
    <sheet name="X_Recuperador" sheetId="20" r:id="rId2"/>
    <sheet name="Recuperación" sheetId="17" state="hidden" r:id="rId3"/>
    <sheet name="Asignación" sheetId="13" state="hidden" r:id="rId4"/>
    <sheet name="R_Completo" sheetId="1" r:id="rId5"/>
  </sheets>
  <definedNames>
    <definedName name="_xlnm._FilterDatabase" localSheetId="2" hidden="1">Recuperación!$A$3:$CV$24</definedName>
    <definedName name="_xlnm._FilterDatabase" localSheetId="0" hidden="1">X_Coordinación!$A$6:$H$6</definedName>
  </definedNames>
  <calcPr calcId="191029"/>
  <pivotCaches>
    <pivotCache cacheId="5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20" l="1"/>
  <c r="J24" i="20"/>
  <c r="H16" i="19"/>
  <c r="H11" i="19"/>
  <c r="H10" i="19" l="1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9" i="20"/>
  <c r="H12" i="19"/>
  <c r="H13" i="19"/>
  <c r="H14" i="19"/>
</calcChain>
</file>

<file path=xl/sharedStrings.xml><?xml version="1.0" encoding="utf-8"?>
<sst xmlns="http://schemas.openxmlformats.org/spreadsheetml/2006/main" count="8710" uniqueCount="3092">
  <si>
    <t>Código acreditado</t>
  </si>
  <si>
    <t>Nom. región</t>
  </si>
  <si>
    <t>Coordinación</t>
  </si>
  <si>
    <t>Código promotor</t>
  </si>
  <si>
    <t>Nombre promotor</t>
  </si>
  <si>
    <t>Código recuperador</t>
  </si>
  <si>
    <t>Nombre recuperador</t>
  </si>
  <si>
    <t>Ciclo</t>
  </si>
  <si>
    <t>Nombre acreditado</t>
  </si>
  <si>
    <t>Inicio ciclo</t>
  </si>
  <si>
    <t>Fin ciclo</t>
  </si>
  <si>
    <t>Cantidad entregada</t>
  </si>
  <si>
    <t>Cantidad Prestada</t>
  </si>
  <si>
    <t>Días de mora</t>
  </si>
  <si>
    <t>PAR</t>
  </si>
  <si>
    <t>Plazo del crédito</t>
  </si>
  <si>
    <t>Periodicidad</t>
  </si>
  <si>
    <t>Parcialidad + Parcialidad comisión</t>
  </si>
  <si>
    <t>Comisión a pagar</t>
  </si>
  <si>
    <t>Interés moratorio saldo vencido total</t>
  </si>
  <si>
    <t>Pagos vencidos</t>
  </si>
  <si>
    <t>Periodos vencidos</t>
  </si>
  <si>
    <t>Saldo capital</t>
  </si>
  <si>
    <t>Saldo vencido</t>
  </si>
  <si>
    <t>Saldo capital vencido</t>
  </si>
  <si>
    <t>Saldo interés vencido</t>
  </si>
  <si>
    <t>Saldo comisión vencida</t>
  </si>
  <si>
    <t>Saldo recargos</t>
  </si>
  <si>
    <t>$ Último pago</t>
  </si>
  <si>
    <t>Último pago</t>
  </si>
  <si>
    <t>Situación crédito</t>
  </si>
  <si>
    <t>Medio comunic. 1</t>
  </si>
  <si>
    <t>Medio comunic. 2</t>
  </si>
  <si>
    <t>Medio comunic. 3</t>
  </si>
  <si>
    <t>Actividad económica PLD</t>
  </si>
  <si>
    <t>Código actividad económica PLD</t>
  </si>
  <si>
    <t>Nombre conyuge</t>
  </si>
  <si>
    <t>Teléfono conyuge</t>
  </si>
  <si>
    <t>Nombre Referencia1</t>
  </si>
  <si>
    <t>Teléfono Referencia1</t>
  </si>
  <si>
    <t>Nombre Referencia2</t>
  </si>
  <si>
    <t>Teléfono Referencia2</t>
  </si>
  <si>
    <t>Nombre Referencia3</t>
  </si>
  <si>
    <t>Teléfono Referencia3</t>
  </si>
  <si>
    <t>Tipo Garantía 1</t>
  </si>
  <si>
    <t>Descripción garantía 1</t>
  </si>
  <si>
    <t>Garantía 1</t>
  </si>
  <si>
    <t>Tipo Garantía 2</t>
  </si>
  <si>
    <t>Descripción garantía 2</t>
  </si>
  <si>
    <t>Garantía 2</t>
  </si>
  <si>
    <t>Saldo total</t>
  </si>
  <si>
    <t>Saldo adelantado</t>
  </si>
  <si>
    <t>Cód. producto crédito</t>
  </si>
  <si>
    <t>Nom. producto crédito</t>
  </si>
  <si>
    <t>Calle</t>
  </si>
  <si>
    <t>Colonia</t>
  </si>
  <si>
    <t>Entidad federativa</t>
  </si>
  <si>
    <t>Municipio</t>
  </si>
  <si>
    <t>Geolocalización domicilio</t>
  </si>
  <si>
    <t>Link de Geolocalización</t>
  </si>
  <si>
    <t>Castigado cartera</t>
  </si>
  <si>
    <t>Nom. personal castiga cartera</t>
  </si>
  <si>
    <t>Frecuencia</t>
  </si>
  <si>
    <t>Criticidad</t>
  </si>
  <si>
    <t>Forma de entrega</t>
  </si>
  <si>
    <t>Concepto Depósito</t>
  </si>
  <si>
    <t>001039</t>
  </si>
  <si>
    <t>Región Estado México</t>
  </si>
  <si>
    <t>Valle de bravo</t>
  </si>
  <si>
    <t>000008</t>
  </si>
  <si>
    <t>Lopez Vargas Betsabe Yesenia</t>
  </si>
  <si>
    <t>000020</t>
  </si>
  <si>
    <t>Campos Sanchez Victor Humberto</t>
  </si>
  <si>
    <t>01</t>
  </si>
  <si>
    <t>GARCIA REYES GUADALUPE</t>
  </si>
  <si>
    <t>Mensual</t>
  </si>
  <si>
    <t>Entregado</t>
  </si>
  <si>
    <t>COMPRAVENTA DE ARTICULOS DE MERCERIA Y CEDERIA</t>
  </si>
  <si>
    <t>Individual mensual garantia liquida nivel I TI</t>
  </si>
  <si>
    <t>ANDADOR SAUCE SN  #SN</t>
  </si>
  <si>
    <t>Valle de Bravo</t>
  </si>
  <si>
    <t>México</t>
  </si>
  <si>
    <t>Valle De Bravo</t>
  </si>
  <si>
    <t>Ver en mapa</t>
  </si>
  <si>
    <t>Desembolso en caja</t>
  </si>
  <si>
    <t>100103901</t>
  </si>
  <si>
    <t>001004</t>
  </si>
  <si>
    <t>000005</t>
  </si>
  <si>
    <t>Garduño Hernandez Miguel Angel</t>
  </si>
  <si>
    <t>DE NOVA GABINO ROSA MARTHA</t>
  </si>
  <si>
    <t>reyesjosejuan738@gmail.com</t>
  </si>
  <si>
    <t>COMPRAVENTA DE CARNE DE RES Y OTRAS ESPECIES DE GANADO</t>
  </si>
  <si>
    <t>Individual mensual con garantia nivel I TI</t>
  </si>
  <si>
    <t>FLOR DE MARIA  #SN</t>
  </si>
  <si>
    <t>San Antonio</t>
  </si>
  <si>
    <t>100100401</t>
  </si>
  <si>
    <t>001027</t>
  </si>
  <si>
    <t>DE PAZ ESTRADA DIANA</t>
  </si>
  <si>
    <t>FABRICACION DE ALGODON ABSORBENTE VENDAS TELA ADHESIVA Y PRODUCTOS SIMILARES</t>
  </si>
  <si>
    <t>SANTA MARIA PIPIOLTEPEC #SN</t>
  </si>
  <si>
    <t>Santa María Pipioltepec (Pipioltepec)</t>
  </si>
  <si>
    <t>Transferencia electrónica</t>
  </si>
  <si>
    <t>100102701</t>
  </si>
  <si>
    <t>001016</t>
  </si>
  <si>
    <t>Metepec</t>
  </si>
  <si>
    <t>000024</t>
  </si>
  <si>
    <t>Navor Segura Cesar</t>
  </si>
  <si>
    <t>GUADARRAMA CONDE ISAIAS</t>
  </si>
  <si>
    <t>COMPRAVENTA DE MATERIALES PARA CONSTRUCCION</t>
  </si>
  <si>
    <t>Individual mensual con garantia nivel I TPref</t>
  </si>
  <si>
    <t>MIGUEL HIDALGO #104</t>
  </si>
  <si>
    <t>San Francisco Putla</t>
  </si>
  <si>
    <t>Tenango Del Valle</t>
  </si>
  <si>
    <t>100101601</t>
  </si>
  <si>
    <t>001037</t>
  </si>
  <si>
    <t>SEBASTIAN FLORES MARGARITA</t>
  </si>
  <si>
    <t>CASTILLO MIGUEL FELIPE</t>
  </si>
  <si>
    <t>7224419212.0</t>
  </si>
  <si>
    <t>LOS MISPEROS #SN</t>
  </si>
  <si>
    <t>Loma Bonita</t>
  </si>
  <si>
    <t>100103701</t>
  </si>
  <si>
    <t>001069</t>
  </si>
  <si>
    <t>000002</t>
  </si>
  <si>
    <t>Vargas Castañeda Javier Jesus</t>
  </si>
  <si>
    <t>GARCIA VACA MARTHA</t>
  </si>
  <si>
    <t>lau.garciavaca1981@gmail.com</t>
  </si>
  <si>
    <t>EMPLEADO DEL SECTOR PRIVADO</t>
  </si>
  <si>
    <t>Individual Especial Semanal</t>
  </si>
  <si>
    <t>CERRADA POPOCATEPETL #1-SN</t>
  </si>
  <si>
    <t>San Bartolomé Atlatlahuca</t>
  </si>
  <si>
    <t>100106901</t>
  </si>
  <si>
    <t>001056</t>
  </si>
  <si>
    <t>Maravatio</t>
  </si>
  <si>
    <t>000016</t>
  </si>
  <si>
    <t>Basurto Lara Carmen Evelia</t>
  </si>
  <si>
    <t>CELESTINO SEGUNDO MARIA DEL CARMEN</t>
  </si>
  <si>
    <t>carmencelestino@gmail.com</t>
  </si>
  <si>
    <t>COMPRAVENTA DE ARTICULOS PARA DECORACION</t>
  </si>
  <si>
    <t>ADRIANA TAPIA BRAVO</t>
  </si>
  <si>
    <t>4471044505</t>
  </si>
  <si>
    <t>JUANA RODEA TAPIA</t>
  </si>
  <si>
    <t>4471735169</t>
  </si>
  <si>
    <t>DOLORES SOLIS</t>
  </si>
  <si>
    <t>4471731819</t>
  </si>
  <si>
    <t>Garantía Prendaria</t>
  </si>
  <si>
    <t>Valor 65,000.00, Nombre CAMIONETA EXPLORER XLT, Folio Factura 4663, Fecha Factura 05/02/2008, Número de serie 1FMDU32X7TZB66870, Número de motor SN, Modelo 1996, Marca FORD, Propietario CELESTINO SEGUNDO MARIA DEL CARMEN</t>
  </si>
  <si>
    <t>CAMIONETA EXPLORER XLT</t>
  </si>
  <si>
    <t>LAZARO CARDENAS #25-SN</t>
  </si>
  <si>
    <t>Guadalupe</t>
  </si>
  <si>
    <t>Michoacán</t>
  </si>
  <si>
    <t>100105601</t>
  </si>
  <si>
    <t>001062</t>
  </si>
  <si>
    <t>000017</t>
  </si>
  <si>
    <t>Maya Luna Norma</t>
  </si>
  <si>
    <t>000080</t>
  </si>
  <si>
    <t>Lopez Ramirez Irving Omar</t>
  </si>
  <si>
    <t>LOPEZ ESPINOZA JESUS ARMANDO</t>
  </si>
  <si>
    <t>armando.zurimi@gmail.com</t>
  </si>
  <si>
    <t>RESTAURANTE</t>
  </si>
  <si>
    <t>ESTEPHANI LOPEZ JIMENEZ</t>
  </si>
  <si>
    <t>4471032764</t>
  </si>
  <si>
    <t>MARTHA ESPINOZA JIMENEZ</t>
  </si>
  <si>
    <t>4471736177</t>
  </si>
  <si>
    <t>ERNESTO RUBIO MARTINEZ</t>
  </si>
  <si>
    <t>4471005257</t>
  </si>
  <si>
    <t>FACTURA DE OPERADORA DE AUTOS MAYA, S.A. DE C.V., , Valor 95,000.00, Nombre AUTOMOVIL BORA STYLE, Folio Factura 0538A, Fecha Factura 22/08/2005, Número de serie 3VWPF11KX6M608338, Número de motor BGP025303, Modelo 2006, Marca VOLKSWAGEN, Propietario LOPEZ ESPINOZA JESUS ARMANDO</t>
  </si>
  <si>
    <t>AUTOMOVIL BORA STYLE</t>
  </si>
  <si>
    <t>FRANCISCO J MUJICA  #220-SN</t>
  </si>
  <si>
    <t>INFONAVIT</t>
  </si>
  <si>
    <t>100106201</t>
  </si>
  <si>
    <t>001035</t>
  </si>
  <si>
    <t>000014</t>
  </si>
  <si>
    <t>Rios Osorio Maritere</t>
  </si>
  <si>
    <t>000085</t>
  </si>
  <si>
    <t>Campuzano Sanchez Humbert</t>
  </si>
  <si>
    <t>02</t>
  </si>
  <si>
    <t>RAMIREZ DIAZ REBECA</t>
  </si>
  <si>
    <t>rebelu_2704@hotmail.com</t>
  </si>
  <si>
    <t>FAITAN GUERRA DANTE</t>
  </si>
  <si>
    <t>5529416705.0</t>
  </si>
  <si>
    <t>MIGUEL ANGEL PAGAZO PAGAZO</t>
  </si>
  <si>
    <t>7221455287</t>
  </si>
  <si>
    <t>LUIS ANTONIO MERCED CRUZ</t>
  </si>
  <si>
    <t>5553343631</t>
  </si>
  <si>
    <t>MAURICIO MERCADO ALVAREZ</t>
  </si>
  <si>
    <t>7224863196</t>
  </si>
  <si>
    <t>SAN JOSE  #300-SN</t>
  </si>
  <si>
    <t>100103502</t>
  </si>
  <si>
    <t>001245</t>
  </si>
  <si>
    <t>Tenancingo</t>
  </si>
  <si>
    <t>000037</t>
  </si>
  <si>
    <t>CREDIFLEXI CREDIFLEXI CREDIFLEXI</t>
  </si>
  <si>
    <t>000078</t>
  </si>
  <si>
    <t>Atilano Saucedo Fortino</t>
  </si>
  <si>
    <t>ACOSTA ACOSTA ELENA</t>
  </si>
  <si>
    <t>elacosta@gmail.com</t>
  </si>
  <si>
    <t>COMPRAVENTA DE LEGUMBRES Y HORTALIZAS</t>
  </si>
  <si>
    <t>SEGOVIO VICTOR MANUEL</t>
  </si>
  <si>
    <t>ROBERTO PALMA URBANO</t>
  </si>
  <si>
    <t>6645477087</t>
  </si>
  <si>
    <t>MA DEL SOCORRO DOMINGUEZ</t>
  </si>
  <si>
    <t>7296081362</t>
  </si>
  <si>
    <t>GABRIEL JUANA PEREZ DOMINGUEZ</t>
  </si>
  <si>
    <t>7221696574</t>
  </si>
  <si>
    <t>Individual sin Garantía</t>
  </si>
  <si>
    <t>JUAN ESCUTIA #331-SN</t>
  </si>
  <si>
    <t>San José el Cuartel</t>
  </si>
  <si>
    <t>100124501</t>
  </si>
  <si>
    <t>001257</t>
  </si>
  <si>
    <t>ARMENTA GARCIA AZUCENA</t>
  </si>
  <si>
    <t>azucenaarmenta65@gmail.com</t>
  </si>
  <si>
    <t>COMPRAVENTA DE ROPA</t>
  </si>
  <si>
    <t>MARIA JOSEFINA ALONZO</t>
  </si>
  <si>
    <t>4471252542</t>
  </si>
  <si>
    <t>MICHEL ESTEFANI LIRA MIRRANDA</t>
  </si>
  <si>
    <t>4471060791</t>
  </si>
  <si>
    <t>ILIANA ABIGAIL MANRIQUEZ</t>
  </si>
  <si>
    <t>4472036183</t>
  </si>
  <si>
    <t>SAN FRANCISCO #13-SN</t>
  </si>
  <si>
    <t>Uripitio</t>
  </si>
  <si>
    <t>100125701</t>
  </si>
  <si>
    <t>001270</t>
  </si>
  <si>
    <t>MORENO AGUILLON GEOVANNI MARTYN</t>
  </si>
  <si>
    <t>morenogeovanni633@gmail.com</t>
  </si>
  <si>
    <t>COMPRAVENTA DE MUEBLES</t>
  </si>
  <si>
    <t>HERNANDEZ GONZALEZ EVA</t>
  </si>
  <si>
    <t>3349586209.0</t>
  </si>
  <si>
    <t>MARTIN AGUILAR HERNANDEZ</t>
  </si>
  <si>
    <t>4622905488</t>
  </si>
  <si>
    <t>BENJAMIN ACOSTA GARCIA</t>
  </si>
  <si>
    <t>3311713150</t>
  </si>
  <si>
    <t>EDGARDO MORENO BAUUTISTA</t>
  </si>
  <si>
    <t>4778198022</t>
  </si>
  <si>
    <t>FRANCISCO J MUJICA #232-SN</t>
  </si>
  <si>
    <t>100127001</t>
  </si>
  <si>
    <t>001285</t>
  </si>
  <si>
    <t>GONZALEZ GUADARRAMA EDUARDO</t>
  </si>
  <si>
    <t>pgg250789@gmail.com</t>
  </si>
  <si>
    <t>GARCIA GALLEGOS PATRICIA</t>
  </si>
  <si>
    <t>LETICIA GARCIA GALLEGOS</t>
  </si>
  <si>
    <t>7223878493</t>
  </si>
  <si>
    <t>MARIA GABRIELA BAUTISTA GARCIA</t>
  </si>
  <si>
    <t>7224940976</t>
  </si>
  <si>
    <t>VICTOR BALCAZAR</t>
  </si>
  <si>
    <t>7226835984</t>
  </si>
  <si>
    <t>CEDROS #122-SN</t>
  </si>
  <si>
    <t>Shiperes</t>
  </si>
  <si>
    <t>100128501</t>
  </si>
  <si>
    <t>001274</t>
  </si>
  <si>
    <t>BERNAL BERNAL MARIA YESSENIA</t>
  </si>
  <si>
    <t>maryessbb@gmail.com</t>
  </si>
  <si>
    <t>CULTIVO DE FLORES Y PLANTAS DE ORNATO</t>
  </si>
  <si>
    <t>MORALES VAZQUEZ JESUS ARMANDO</t>
  </si>
  <si>
    <t>MARI CARMEN MORALES VAZQUEZ</t>
  </si>
  <si>
    <t>7225656079</t>
  </si>
  <si>
    <t>ROSA ELENA BERNAL BERNAL</t>
  </si>
  <si>
    <t>7221065423</t>
  </si>
  <si>
    <t>ARNULFO BERNAL TRUJILLO</t>
  </si>
  <si>
    <t>7291078655</t>
  </si>
  <si>
    <t>DOM CON  #SN</t>
  </si>
  <si>
    <t>Villa Guerrero</t>
  </si>
  <si>
    <t>100127401</t>
  </si>
  <si>
    <t>001295</t>
  </si>
  <si>
    <t>TRINIDAD ORTEGA MARIBEL</t>
  </si>
  <si>
    <t>maribeltrinidad78@gmail.com</t>
  </si>
  <si>
    <t>MARIA GUADALUPE EMETERIO</t>
  </si>
  <si>
    <t>7297364541</t>
  </si>
  <si>
    <t>JERONIMO RAMIREZ DE LA CRUZ</t>
  </si>
  <si>
    <t>7471491786</t>
  </si>
  <si>
    <t>JOSEFINA EMETERIO GARCIA</t>
  </si>
  <si>
    <t>5513416476</t>
  </si>
  <si>
    <t>DOM CON #SN</t>
  </si>
  <si>
    <t>San Mateo</t>
  </si>
  <si>
    <t>Amanalco</t>
  </si>
  <si>
    <t>100129501</t>
  </si>
  <si>
    <t>001324</t>
  </si>
  <si>
    <t>000042</t>
  </si>
  <si>
    <t>Avila Nieto Luis Alfredo</t>
  </si>
  <si>
    <t>AGUILAR ORTIZ DIANA KAREN</t>
  </si>
  <si>
    <t>Semanal</t>
  </si>
  <si>
    <t>da2789515@gmail.com</t>
  </si>
  <si>
    <t>TORTILLERIA</t>
  </si>
  <si>
    <t>ADRIANA BLANCAS RAMIREZ</t>
  </si>
  <si>
    <t>7293002621</t>
  </si>
  <si>
    <t>BERENICE RUBI ESTRADA TETATZIN</t>
  </si>
  <si>
    <t>7228010787</t>
  </si>
  <si>
    <t>ANAHI RAMIREZ ZAMORA</t>
  </si>
  <si>
    <t>CLL BENITO JUAREZ #2-SN</t>
  </si>
  <si>
    <t>San Nicolás</t>
  </si>
  <si>
    <t>Malinalco</t>
  </si>
  <si>
    <t>100132401</t>
  </si>
  <si>
    <t>001341</t>
  </si>
  <si>
    <t>DOMINGUEZ VELAZQUEZ GABRIELA</t>
  </si>
  <si>
    <t>Catorcenal</t>
  </si>
  <si>
    <t>gabita24.a2@gmail.com</t>
  </si>
  <si>
    <t>SERVICIOS DE ALIMENTOS EN LENCERIAS TAQUERIAS Y TORTERIAS</t>
  </si>
  <si>
    <t>LUCIA EUSEVIA SANDOVAL</t>
  </si>
  <si>
    <t>7221218282</t>
  </si>
  <si>
    <t>LETICIA MEDINA PAREDES</t>
  </si>
  <si>
    <t>7223018763</t>
  </si>
  <si>
    <t>DIANA GRANADOS REZA</t>
  </si>
  <si>
    <t>7299507509</t>
  </si>
  <si>
    <t>PASANDO EL PANTEON #SN</t>
  </si>
  <si>
    <t>Portezuelos Uno (San Andrés)</t>
  </si>
  <si>
    <t>Ixtapan De La Sal</t>
  </si>
  <si>
    <t>100134101</t>
  </si>
  <si>
    <t>001342</t>
  </si>
  <si>
    <t>GAMA GONZALEZ PEDRO</t>
  </si>
  <si>
    <t>espinoza222318@gmail.com</t>
  </si>
  <si>
    <t>PENSIONADO</t>
  </si>
  <si>
    <t>REYNA GARCIA GONZALEZ</t>
  </si>
  <si>
    <t>5565256507</t>
  </si>
  <si>
    <t>VICTOR CORNELIO GARCIA SOTELO</t>
  </si>
  <si>
    <t>7223554519</t>
  </si>
  <si>
    <t>MARIA TERESA ROGEL GARCIA</t>
  </si>
  <si>
    <t>7226018034</t>
  </si>
  <si>
    <t>5 DE MAYO #SN</t>
  </si>
  <si>
    <t>Ixtapan de la Sal</t>
  </si>
  <si>
    <t>100134201</t>
  </si>
  <si>
    <t>001061</t>
  </si>
  <si>
    <t>RAMIREZ ALVARADO EDUARDO FELIPE</t>
  </si>
  <si>
    <t>arcangellamaravilla248@gmail.com</t>
  </si>
  <si>
    <t>CULTIVO DE FRESA</t>
  </si>
  <si>
    <t>JOSE ALFREDO VILLANUEVA</t>
  </si>
  <si>
    <t>4471505629</t>
  </si>
  <si>
    <t>MIGUEL JIMENEZ CABRERA</t>
  </si>
  <si>
    <t>4471506587</t>
  </si>
  <si>
    <t>JUAN GUADALUPE RAMIREZ</t>
  </si>
  <si>
    <t>7861655445</t>
  </si>
  <si>
    <t>TITULO DE STATE OF OKLAHOMA, Valor 166,666.00, Nombre VEHICULO AC F15 , Folio Factura 810010811822, Fecha Factura 08/11/2020, Número de serie 1FTRX12W24NC25538, Número de motor SIN NUMERO, Modelo 2004, Marca FORD, Propietario RAMIREZ ALVARADO EDUARDO FELIPE</t>
  </si>
  <si>
    <t>VEHICULO AC F15</t>
  </si>
  <si>
    <t>BENIGNO BUSTAMANTE #110A-SN</t>
  </si>
  <si>
    <t>San Pedro Tungareo</t>
  </si>
  <si>
    <t>100106101</t>
  </si>
  <si>
    <t>001378</t>
  </si>
  <si>
    <t>000029</t>
  </si>
  <si>
    <t>Colin Garduño Estefani</t>
  </si>
  <si>
    <t>BAUTISTA REBOLLAR DANIEL</t>
  </si>
  <si>
    <t>7226159497</t>
  </si>
  <si>
    <t>FABRICACION DE HELADOS NIEVES Y PALETAS</t>
  </si>
  <si>
    <t>VERONICO POMPA BLANCA YESENIA</t>
  </si>
  <si>
    <t>7861219357.0</t>
  </si>
  <si>
    <t>WALTER TINOCO BAUTISTA</t>
  </si>
  <si>
    <t>7223712601</t>
  </si>
  <si>
    <t>FRANCISCO ESQUIVEL</t>
  </si>
  <si>
    <t>7226839207</t>
  </si>
  <si>
    <t>ARMANDO DE LA ROSA GARDUÑO</t>
  </si>
  <si>
    <t>9517772748</t>
  </si>
  <si>
    <t>RINCON CHICO  #SN</t>
  </si>
  <si>
    <t>Colorines</t>
  </si>
  <si>
    <t>19°10'04.1"N 100°13'11.1"W</t>
  </si>
  <si>
    <t>100137801</t>
  </si>
  <si>
    <t>001352</t>
  </si>
  <si>
    <t>000041</t>
  </si>
  <si>
    <t>Martinez Perez Juan Daniel</t>
  </si>
  <si>
    <t>ESCOBAR AGUILAR OSCAR</t>
  </si>
  <si>
    <t>oscarescobaraguilar@gmail.com</t>
  </si>
  <si>
    <t>FABRICACION DE PAN Y PASTELES</t>
  </si>
  <si>
    <t>YOVANI ZAMORA</t>
  </si>
  <si>
    <t>6084501672</t>
  </si>
  <si>
    <t>CRISOFORO CORTEZ FRANCO</t>
  </si>
  <si>
    <t>7203042712</t>
  </si>
  <si>
    <t>MANUEL VEGA</t>
  </si>
  <si>
    <t>7141088208</t>
  </si>
  <si>
    <t>PROL INDEPENDENCIA #SN</t>
  </si>
  <si>
    <t>San Pedro Ejido Tecomatlán</t>
  </si>
  <si>
    <t>100135201</t>
  </si>
  <si>
    <t>001304</t>
  </si>
  <si>
    <t>BLANCO FLORES MIRELLA</t>
  </si>
  <si>
    <t>m2152334@gmail.com</t>
  </si>
  <si>
    <t>EMPLEADO PRIVADO</t>
  </si>
  <si>
    <t>KARINA REYES URBINA</t>
  </si>
  <si>
    <t>7294499383</t>
  </si>
  <si>
    <t>NANCI CASTILLO VYVA</t>
  </si>
  <si>
    <t>7223487516</t>
  </si>
  <si>
    <t>JOSEFINA MARIN CRUZ</t>
  </si>
  <si>
    <t>7227871773</t>
  </si>
  <si>
    <t>CERRADA ISIDRO FABELA EL CALVA  #SN</t>
  </si>
  <si>
    <t>Barranca Seca</t>
  </si>
  <si>
    <t>100130401</t>
  </si>
  <si>
    <t>001076</t>
  </si>
  <si>
    <t>GONZALEZ BELTRAN JOSE EMANUEL</t>
  </si>
  <si>
    <t>josebeltran18@gmail.com</t>
  </si>
  <si>
    <t>FABRICACION DE MUEBLES DE MADERA</t>
  </si>
  <si>
    <t>BAUTISTA GARCIA MARIA DEL ROSARIO</t>
  </si>
  <si>
    <t>MIGUEL GONZALEZ BAUTISTA</t>
  </si>
  <si>
    <t>4471466258</t>
  </si>
  <si>
    <t>SANDRA MARIELA GARCIA MEJIA</t>
  </si>
  <si>
    <t>4471260680</t>
  </si>
  <si>
    <t>FELIPE MUÑOZ</t>
  </si>
  <si>
    <t>4471083180</t>
  </si>
  <si>
    <t>TITILO EXPEDIDO POR STATE OF IOWA, Valor 59,650.00, Nombre VEHICULO GRAND CARAVAN SPORT SV, Folio Factura 77AL67194, Fecha Factura 20/03/2013, Número de serie 1D4GP44R43B300517, Número de motor SIN NUMERO, Modelo 2003, Marca DODGE, Propietario GONZALEZ BELTRAN JOSE EMANUEL</t>
  </si>
  <si>
    <t>VEHICULO GRAND CARAVAN SPORT SV</t>
  </si>
  <si>
    <t>REVOLUCION #591 C-SN</t>
  </si>
  <si>
    <t>San Miguel Curinhuato</t>
  </si>
  <si>
    <t>100107601</t>
  </si>
  <si>
    <t>001272</t>
  </si>
  <si>
    <t>GONZALEZ AGUIRRE JOSE</t>
  </si>
  <si>
    <t>tecladosiamo512@gmail.com</t>
  </si>
  <si>
    <t>EMPLEADO PUBLICO</t>
  </si>
  <si>
    <t>RAMOS GUERRERO ARACELI</t>
  </si>
  <si>
    <t>J ISABEL ESQUIVEL</t>
  </si>
  <si>
    <t>4471072858</t>
  </si>
  <si>
    <t>ALEJANDRO FLORES</t>
  </si>
  <si>
    <t>4431747146</t>
  </si>
  <si>
    <t>JUAN REFUGIO MORALES</t>
  </si>
  <si>
    <t>HIDALGO #216-SN</t>
  </si>
  <si>
    <t>Lázaro Cárdenas (El Llano)</t>
  </si>
  <si>
    <t>100127201</t>
  </si>
  <si>
    <t>001451</t>
  </si>
  <si>
    <t>000040</t>
  </si>
  <si>
    <t>Olayo Gaytan Luis Enrique</t>
  </si>
  <si>
    <t>BAUTISTA GONZALEZ BRIANDA</t>
  </si>
  <si>
    <t>bribavo705@gmail.com</t>
  </si>
  <si>
    <t>COMPRAVENTA DE OTROS ARTICULOS DE PLASTICO</t>
  </si>
  <si>
    <t>ANGELICA VERENICE BAUTISTA</t>
  </si>
  <si>
    <t>7223669091</t>
  </si>
  <si>
    <t>DANA LAURA BAUTISTA</t>
  </si>
  <si>
    <t>7293461613</t>
  </si>
  <si>
    <t>GONZALO GUZMAN GONZALEZ</t>
  </si>
  <si>
    <t>7297053779</t>
  </si>
  <si>
    <t>ISIDRO FABELA  #SN</t>
  </si>
  <si>
    <t>19°12'12.2"N 100°07'51.8"W</t>
  </si>
  <si>
    <t>100145101</t>
  </si>
  <si>
    <t>000079</t>
  </si>
  <si>
    <t>Gomez Campos Olga Janet</t>
  </si>
  <si>
    <t>001145</t>
  </si>
  <si>
    <t>NAVOR SEGURA CESAR</t>
  </si>
  <si>
    <t>cnavorsegura@gmail.com</t>
  </si>
  <si>
    <t>FRANCISCO VILLA #134-4</t>
  </si>
  <si>
    <t>El Llano del Compromiso</t>
  </si>
  <si>
    <t>Ocoyoacac</t>
  </si>
  <si>
    <t>100114502</t>
  </si>
  <si>
    <t>001354</t>
  </si>
  <si>
    <t>ROMERO ROSALIO MARIA DEL CARMEN</t>
  </si>
  <si>
    <t>rosaliomariadelcarmen378@gmail.com</t>
  </si>
  <si>
    <t>MARICRUZ GARCIA ESCOBAR</t>
  </si>
  <si>
    <t>7211021471</t>
  </si>
  <si>
    <t>ARIANA GOMEZ SOTELO</t>
  </si>
  <si>
    <t>7227536718</t>
  </si>
  <si>
    <t>MARIA ISABEL GARCIA PEREZ</t>
  </si>
  <si>
    <t>7221691659</t>
  </si>
  <si>
    <t>CAMINO REAL S #SN</t>
  </si>
  <si>
    <t>100135401</t>
  </si>
  <si>
    <t>001397</t>
  </si>
  <si>
    <t>CARBAJAL VAZQUEZ RICARDO</t>
  </si>
  <si>
    <t>ricardocarbajalvazquez842@gmail.com</t>
  </si>
  <si>
    <t>GARCIA TRUJILLO MARICELA</t>
  </si>
  <si>
    <t>GUSTAVO ANGEL DESIDERIO</t>
  </si>
  <si>
    <t>7218890536</t>
  </si>
  <si>
    <t>EDUARDO CARBAJAL GARCIA</t>
  </si>
  <si>
    <t>5647483002</t>
  </si>
  <si>
    <t>PROGRESO #SN</t>
  </si>
  <si>
    <t>El Progreso</t>
  </si>
  <si>
    <t>18°50'55.0"N 99°40'04.8"W</t>
  </si>
  <si>
    <t>100139701</t>
  </si>
  <si>
    <t>001490</t>
  </si>
  <si>
    <t>FACIO VARA LUZ MARIA</t>
  </si>
  <si>
    <t>2305luzfacio@gmail.com</t>
  </si>
  <si>
    <t>TIENDA DE ABARROTES Y MISCELANEA</t>
  </si>
  <si>
    <t>JOSE JUAN FACIO VARA</t>
  </si>
  <si>
    <t>7227861311</t>
  </si>
  <si>
    <t>DULCE CRISTINA FACIO VARA</t>
  </si>
  <si>
    <t>7295040120</t>
  </si>
  <si>
    <t>MARINA VARA FUENTES</t>
  </si>
  <si>
    <t>5532502067</t>
  </si>
  <si>
    <t>LA VALENCIANA #SN</t>
  </si>
  <si>
    <t>San Francisco</t>
  </si>
  <si>
    <t>18°56'00.7"N 99°38'40.3"W</t>
  </si>
  <si>
    <t>100149001</t>
  </si>
  <si>
    <t>001312</t>
  </si>
  <si>
    <t>GARCIA GARCIA ROSALBA ERICA</t>
  </si>
  <si>
    <t>garcia83erika@gmail.com</t>
  </si>
  <si>
    <t>MARI CRUZ GARCIA BENITEZ</t>
  </si>
  <si>
    <t>7224444593</t>
  </si>
  <si>
    <t>MARINA MACIEL SANCHEZ MORALES</t>
  </si>
  <si>
    <t>7228160540</t>
  </si>
  <si>
    <t>MARIA DE JESUS GONZALEZ REYES</t>
  </si>
  <si>
    <t>7223635713</t>
  </si>
  <si>
    <t>COLORINES #SN</t>
  </si>
  <si>
    <t>100131201</t>
  </si>
  <si>
    <t>001317</t>
  </si>
  <si>
    <t>MACHADO GONZALEZ ALEJANDRO</t>
  </si>
  <si>
    <t>90</t>
  </si>
  <si>
    <t>alexmlzm@gmail.com</t>
  </si>
  <si>
    <t>LUIS JAVIER SOTELO VELA</t>
  </si>
  <si>
    <t>7201229534</t>
  </si>
  <si>
    <t>SABINA GUARDA RAMIREZ</t>
  </si>
  <si>
    <t>7225973209</t>
  </si>
  <si>
    <t>ROSI ITZEL ESCOBAR GUARDA</t>
  </si>
  <si>
    <t>7225450074</t>
  </si>
  <si>
    <t>CDA DE LOS PINOS #5-SN</t>
  </si>
  <si>
    <t>100131701</t>
  </si>
  <si>
    <t>001408</t>
  </si>
  <si>
    <t>000044</t>
  </si>
  <si>
    <t>Gonzalez Irala Jesus</t>
  </si>
  <si>
    <t>MIRAFUENTES GONZALEZ ALAN YAMIR</t>
  </si>
  <si>
    <t>titog0369@gmail.com</t>
  </si>
  <si>
    <t>SALON DE BELLEZA</t>
  </si>
  <si>
    <t>JAVIER ACOSTA</t>
  </si>
  <si>
    <t>7205964302</t>
  </si>
  <si>
    <t>SANTOS GONZALEZ</t>
  </si>
  <si>
    <t>7221416489</t>
  </si>
  <si>
    <t>VICTOR CALLEJAS</t>
  </si>
  <si>
    <t>7205747763</t>
  </si>
  <si>
    <t>INDEPENCIA  #38-SN</t>
  </si>
  <si>
    <t>San Pedro Cholula</t>
  </si>
  <si>
    <t>19°15'51.3"N 99°29'12.7"W</t>
  </si>
  <si>
    <t>100140801</t>
  </si>
  <si>
    <t>001332</t>
  </si>
  <si>
    <t>NUÑEZ VALLEJO ADRIANA DANIELA</t>
  </si>
  <si>
    <t>danielavallejo18@icloud.com</t>
  </si>
  <si>
    <t>VICTOR VILLA VILLEGAS</t>
  </si>
  <si>
    <t>7221551295</t>
  </si>
  <si>
    <t>MONICA GARCIA NUÑEZ</t>
  </si>
  <si>
    <t>7295030367</t>
  </si>
  <si>
    <t>MIRIAM QUIROZ RAMIREZ</t>
  </si>
  <si>
    <t>7298576589</t>
  </si>
  <si>
    <t>CALLE EL CRUCERO #SN</t>
  </si>
  <si>
    <t>100133201</t>
  </si>
  <si>
    <t>001431</t>
  </si>
  <si>
    <t>ESQUIVEL SOTO LETICIA</t>
  </si>
  <si>
    <t>esquivelsotoleticia83@gmail.com</t>
  </si>
  <si>
    <t>SALVADOR ARIAS LORENZO</t>
  </si>
  <si>
    <t>5642385924.0</t>
  </si>
  <si>
    <t>ELVIRA AGUILAR CASTILLO</t>
  </si>
  <si>
    <t>7293358332</t>
  </si>
  <si>
    <t>CARLOS SALVADOR ARIES</t>
  </si>
  <si>
    <t>7225310616</t>
  </si>
  <si>
    <t>LORENZO SALVADOR  ARIES</t>
  </si>
  <si>
    <t>5665416876</t>
  </si>
  <si>
    <t>SAN BARTOLO AMANALCO #SN -SN</t>
  </si>
  <si>
    <t>San Bartolo</t>
  </si>
  <si>
    <t>https://www.google.com/maps/@1</t>
  </si>
  <si>
    <t>100143101</t>
  </si>
  <si>
    <t>001336</t>
  </si>
  <si>
    <t>Atlacomulco</t>
  </si>
  <si>
    <t>000047</t>
  </si>
  <si>
    <t>Juarez Matias Alejandro</t>
  </si>
  <si>
    <t>SANCHEZ LINARES OSCAR</t>
  </si>
  <si>
    <t>refaccionariadelpunto@gmail.com</t>
  </si>
  <si>
    <t>COMPRAVENTA DE REFACCIONES Y ACCESORIOS NUEVOS PARA AUTOS Y CAMIONES</t>
  </si>
  <si>
    <t>RUBEN DANIEL GUTIERREZ GARCIA</t>
  </si>
  <si>
    <t>2292504100</t>
  </si>
  <si>
    <t>VICTOR HUGO SANCHEZ LINARES</t>
  </si>
  <si>
    <t>7121074554</t>
  </si>
  <si>
    <t>MARIA FERNANDA SANCHO SANCHEZ</t>
  </si>
  <si>
    <t>7121365176</t>
  </si>
  <si>
    <t>LAGUNA SUPERIOR #4-4</t>
  </si>
  <si>
    <t>Río Lerma (Tic Ti)</t>
  </si>
  <si>
    <t>100133601</t>
  </si>
  <si>
    <t>001194</t>
  </si>
  <si>
    <t>GOMEZ TAGLE HUERTA FRANCISCO ABDIEL</t>
  </si>
  <si>
    <t>franciscoagth@hotmail.com</t>
  </si>
  <si>
    <t>COMPRAVENTA DE MEDICINAS</t>
  </si>
  <si>
    <t>CASTRO CAMPOS BEATRIZ</t>
  </si>
  <si>
    <t>CELIA BARCENAS VILCHIS</t>
  </si>
  <si>
    <t>7221846492</t>
  </si>
  <si>
    <t>OLGA MARIA SANTILLAN FLORES</t>
  </si>
  <si>
    <t>7228507375</t>
  </si>
  <si>
    <t>DAMARIS JANET LEMUS ORTIZ</t>
  </si>
  <si>
    <t>TITULO EXPEDIDO  POR COMMONWEALTH OF PENNSYLVANIA, , , , Valor 26,251.00, Nombre VEHICULO SW, Folio Factura 50829795103 TI, Fecha Factura 30/03/2007, Número de serie 1C4GP54R9VB331168, Número de motor SN, Modelo 1997, Marca CHRYSLER, Propietario GOMEZ TAGLE HUERTA FRANCISCO ABDIEL</t>
  </si>
  <si>
    <t>VEHICULO SW</t>
  </si>
  <si>
    <t>TITULO EXPEDIDO POR TEXAS CERTIFICATE OF TITLE, Valor 25,000.00, Nombre VEHICULO SABLE, Folio Factura 01525736137152854, Fecha Factura 23/12/1998, Número de serie 1MELM50U5TA643085, Número de motor SN, Modelo 1996, Marca MERCURY, Propietario GOMEZ TAGLE HUERTA FRANCISCO ABDIEL</t>
  </si>
  <si>
    <t>VEHICULO SABLE</t>
  </si>
  <si>
    <t>EL LOBO SOLITARIO #SN</t>
  </si>
  <si>
    <t>100119401</t>
  </si>
  <si>
    <t>001337</t>
  </si>
  <si>
    <t>000045</t>
  </si>
  <si>
    <t>Galindo Reyes Leticia</t>
  </si>
  <si>
    <t>TORRES CRUZ MARTHA</t>
  </si>
  <si>
    <t>marthacruz83@gmail.com</t>
  </si>
  <si>
    <t>ALAN SAUL SANCHEZ FELIPE</t>
  </si>
  <si>
    <t>7121385731</t>
  </si>
  <si>
    <t>VIVIANA PIÑA SANTOS</t>
  </si>
  <si>
    <t>7291363725</t>
  </si>
  <si>
    <t>HIPOLITA FELIPE SANCHEZ</t>
  </si>
  <si>
    <t>5562120395</t>
  </si>
  <si>
    <t>MARIPOSA MONARCA #SN</t>
  </si>
  <si>
    <t>Calvario Buenavista</t>
  </si>
  <si>
    <t>San Felipe Del Progreso</t>
  </si>
  <si>
    <t>100133701</t>
  </si>
  <si>
    <t>001280</t>
  </si>
  <si>
    <t>FRAGA LUGO ALEJANDRA</t>
  </si>
  <si>
    <t>fraga1601@gmail.com</t>
  </si>
  <si>
    <t>TALLER DE CONFECCION DE VESTIDOS</t>
  </si>
  <si>
    <t>RUIZ AGUILAR ISRAEL</t>
  </si>
  <si>
    <t>4432638938.0</t>
  </si>
  <si>
    <t>DIANA REYES</t>
  </si>
  <si>
    <t>4472222231</t>
  </si>
  <si>
    <t>LUZ MARIA REYES</t>
  </si>
  <si>
    <t>4471092915</t>
  </si>
  <si>
    <t>JUAN CARLOS GARCIA</t>
  </si>
  <si>
    <t>4471532962</t>
  </si>
  <si>
    <t>HIDALGO #368-SN</t>
  </si>
  <si>
    <t>100128001</t>
  </si>
  <si>
    <t>001331</t>
  </si>
  <si>
    <t>CARBAJAL AGUILAR MARLEN</t>
  </si>
  <si>
    <t>marlenhdsn@gmail.com</t>
  </si>
  <si>
    <t>MARIA DEL CARMEN BARCENAS RODR</t>
  </si>
  <si>
    <t>7226663905</t>
  </si>
  <si>
    <t>ISMAEL PEÑALOZA GARDUÑO</t>
  </si>
  <si>
    <t>7293220268</t>
  </si>
  <si>
    <t>BRANDON FRANCISCO VELAZQUEZ ME</t>
  </si>
  <si>
    <t>7224255678</t>
  </si>
  <si>
    <t>ALFAREROS  #129-SN</t>
  </si>
  <si>
    <t>100133101</t>
  </si>
  <si>
    <t>001423</t>
  </si>
  <si>
    <t>000039</t>
  </si>
  <si>
    <t>CALL CENTER</t>
  </si>
  <si>
    <t>AGUADO MARTINEZ RENE JOAQUIN</t>
  </si>
  <si>
    <t>reneaguado@gmail.com</t>
  </si>
  <si>
    <t>PRESTACION DE OTROS SERVICIOS TECNICOS</t>
  </si>
  <si>
    <t>ESPINOZA SUZETTE MARIE</t>
  </si>
  <si>
    <t>5540792811.0</t>
  </si>
  <si>
    <t>JORGE RODRIGUEZ DUPOND</t>
  </si>
  <si>
    <t>5544790066</t>
  </si>
  <si>
    <t>Individual Especial Revolvente</t>
  </si>
  <si>
    <t>JESUS DEL MONTE #47-SN</t>
  </si>
  <si>
    <t>Jesús del Monte</t>
  </si>
  <si>
    <t>Huixquilucan</t>
  </si>
  <si>
    <t>100142301</t>
  </si>
  <si>
    <t>001357</t>
  </si>
  <si>
    <t>CARRILLO SALINAS TATIANA</t>
  </si>
  <si>
    <t>tatiscarrillo0201@hotmail.com</t>
  </si>
  <si>
    <t>ROSA MARIA SANCHEZ GARCIA</t>
  </si>
  <si>
    <t>7221459037</t>
  </si>
  <si>
    <t>JUAN CARLOS GONZALEZ LARA</t>
  </si>
  <si>
    <t>7224918355</t>
  </si>
  <si>
    <t>RAFAEL SANCHEZ MADARIAGA</t>
  </si>
  <si>
    <t>7224446260</t>
  </si>
  <si>
    <t>5 DE MAYO  #303-SN</t>
  </si>
  <si>
    <t>Santiaguito Cuaxustenco</t>
  </si>
  <si>
    <t>100135701</t>
  </si>
  <si>
    <t>001473</t>
  </si>
  <si>
    <t>ALBARRAN ACACIO MARIA DEL CARMEN</t>
  </si>
  <si>
    <t>caralba00@gmail.com</t>
  </si>
  <si>
    <t>ESTRELLA RUIZ GARCIA</t>
  </si>
  <si>
    <t>7226682127</t>
  </si>
  <si>
    <t>RAMIRO SILVA MORALES</t>
  </si>
  <si>
    <t>7221854627</t>
  </si>
  <si>
    <t>ELIZABETH GONZALEZ VAZQUEZ</t>
  </si>
  <si>
    <t>7221056419</t>
  </si>
  <si>
    <t>BUENAVISTA #SN</t>
  </si>
  <si>
    <t>Buenavista</t>
  </si>
  <si>
    <t>18°56'39.4"N 99°39'19.0"W</t>
  </si>
  <si>
    <t>100147301</t>
  </si>
  <si>
    <t>El Seminario 1a Sección</t>
  </si>
  <si>
    <t>Toluca</t>
  </si>
  <si>
    <t>001300</t>
  </si>
  <si>
    <t>SERRANO ALVAREZ BUENAVENTURA</t>
  </si>
  <si>
    <t>litzyjeanycerinocolin@gmai.com</t>
  </si>
  <si>
    <t>KAREN VERA</t>
  </si>
  <si>
    <t>7223987277</t>
  </si>
  <si>
    <t>URIEL ALAVAREZ</t>
  </si>
  <si>
    <t>7226611760</t>
  </si>
  <si>
    <t>RICARDO COLIN</t>
  </si>
  <si>
    <t>7224760204</t>
  </si>
  <si>
    <t>CUAUHTEMOC #125-1</t>
  </si>
  <si>
    <t>San José</t>
  </si>
  <si>
    <t>Rayon</t>
  </si>
  <si>
    <t>100130001</t>
  </si>
  <si>
    <t>001362</t>
  </si>
  <si>
    <t>ESTRADA CRUZ BEATRIZ</t>
  </si>
  <si>
    <t>beatriz.e89@gmail.com</t>
  </si>
  <si>
    <t>SANEMO SANCHEZ PEDRO</t>
  </si>
  <si>
    <t>7293511678.0</t>
  </si>
  <si>
    <t>JOSEFINA CRUZ FRUTIS</t>
  </si>
  <si>
    <t>7225023325</t>
  </si>
  <si>
    <t>MARIA GUADALUPE OLIVEROS CHAMORRO</t>
  </si>
  <si>
    <t>7295970168</t>
  </si>
  <si>
    <t>PEDRAZA NAVA REYNA</t>
  </si>
  <si>
    <t>7235672081</t>
  </si>
  <si>
    <t>LAZARO CARDENAS  #SN</t>
  </si>
  <si>
    <t>La Capilla</t>
  </si>
  <si>
    <t>19°12'07.3"N 100°07'39.6"W</t>
  </si>
  <si>
    <t>100136201</t>
  </si>
  <si>
    <t>001360</t>
  </si>
  <si>
    <t>CAMBRON NAVA VICTOR</t>
  </si>
  <si>
    <t>victorcambro1971@gmail.com</t>
  </si>
  <si>
    <t>TRANSPORTE EN AUTOMOVILES DE SITIO Y TURISMO</t>
  </si>
  <si>
    <t>ORLANDO SALGADO BERNAL</t>
  </si>
  <si>
    <t>7224318100</t>
  </si>
  <si>
    <t>JULIO GABRIEL PALACIOS GARCIA</t>
  </si>
  <si>
    <t>7228048725</t>
  </si>
  <si>
    <t>JOHAN RAMIREZ VAZQUEZ</t>
  </si>
  <si>
    <t>7226734465</t>
  </si>
  <si>
    <t>CDA LAURELES  #20-SN</t>
  </si>
  <si>
    <t>100136001</t>
  </si>
  <si>
    <t>001333</t>
  </si>
  <si>
    <t>CASTAÑEDA PADILLA IVETTE</t>
  </si>
  <si>
    <t>ivettecastaneda@gmail.com</t>
  </si>
  <si>
    <t>CLEMENTE GALINDO</t>
  </si>
  <si>
    <t>7221196228</t>
  </si>
  <si>
    <t>MAYRA CORTES</t>
  </si>
  <si>
    <t>7222459682</t>
  </si>
  <si>
    <t>JAZMIN PEREZ</t>
  </si>
  <si>
    <t>7225119418</t>
  </si>
  <si>
    <t>CALLE JAIME TORRES #SN</t>
  </si>
  <si>
    <t>100133301</t>
  </si>
  <si>
    <t>001765</t>
  </si>
  <si>
    <t>CAMACHO PEDROZA LIZETH VALERIA</t>
  </si>
  <si>
    <t>60</t>
  </si>
  <si>
    <t>valerializeth.campedroza@gmail.com</t>
  </si>
  <si>
    <t>CRUZ CHAVEZ LINO ARTURO</t>
  </si>
  <si>
    <t>MARIBEL PEDROZA CASTREJON</t>
  </si>
  <si>
    <t>7224658183</t>
  </si>
  <si>
    <t>ANA XIMENA CAMACHO PEDROZA</t>
  </si>
  <si>
    <t>7221315918</t>
  </si>
  <si>
    <t>FERNANDO CRUZ CHAVEZ</t>
  </si>
  <si>
    <t>7224592356</t>
  </si>
  <si>
    <t>CJON ADOLFO LOPEZ MATEOS #SN</t>
  </si>
  <si>
    <t>Santa Ana Ixtlahuatzingo (Santa Ana)</t>
  </si>
  <si>
    <t>18°58'17.3"N 99°37'55.7"W</t>
  </si>
  <si>
    <t>100176501</t>
  </si>
  <si>
    <t>001400</t>
  </si>
  <si>
    <t>BANDA GOMEZ JOSE DANIEL</t>
  </si>
  <si>
    <t>jsbandagomez@gmail.com</t>
  </si>
  <si>
    <t>SANCHEZ MARQUEZ DANIELA</t>
  </si>
  <si>
    <t>SILVIA SERNAS</t>
  </si>
  <si>
    <t>5585701980</t>
  </si>
  <si>
    <t>JORGE GOMEZ</t>
  </si>
  <si>
    <t>7291085702</t>
  </si>
  <si>
    <t>JAIME MORALES</t>
  </si>
  <si>
    <t>7229085667</t>
  </si>
  <si>
    <t>VISTA HERMOSA  #13</t>
  </si>
  <si>
    <t>19°15'56.5"N 99°35'41.4"W</t>
  </si>
  <si>
    <t>100140001</t>
  </si>
  <si>
    <t>001340</t>
  </si>
  <si>
    <t>FIGUEROA VARA MARIA EUGENIA</t>
  </si>
  <si>
    <t>mariafigueroa151168@gmail.com</t>
  </si>
  <si>
    <t>COMPRAVENTA DE CALZADO</t>
  </si>
  <si>
    <t>GABRIELA DOMINGUEZ VELAZQUEZ</t>
  </si>
  <si>
    <t>7228634600</t>
  </si>
  <si>
    <t>JORGE AYALA VILLA</t>
  </si>
  <si>
    <t>CARMEN GUARDA VAZQUEZ</t>
  </si>
  <si>
    <t>5564729233</t>
  </si>
  <si>
    <t>PROL OBREGON PASANDO EL PUENT #49-SN</t>
  </si>
  <si>
    <t>100134001</t>
  </si>
  <si>
    <t>001540</t>
  </si>
  <si>
    <t>GARCES PACHECO ISABEL</t>
  </si>
  <si>
    <t>isabelgarces3@gmail.com</t>
  </si>
  <si>
    <t>PALOMARES CRUZ ROBERTO VICTOR</t>
  </si>
  <si>
    <t>ANA ROSA PALOMARES GARCES</t>
  </si>
  <si>
    <t>7228600375</t>
  </si>
  <si>
    <t>GABRIELA MICHEL PALOMARES</t>
  </si>
  <si>
    <t>5530791723</t>
  </si>
  <si>
    <t>ANAYELI OFELIA PALOMARES GARCES</t>
  </si>
  <si>
    <t>7205832505</t>
  </si>
  <si>
    <t>GUERRERO #SN</t>
  </si>
  <si>
    <t>Tecomatlán (San Miguel Tecomatlán)</t>
  </si>
  <si>
    <t>18°58'58.3"N 99°31'37.3"W</t>
  </si>
  <si>
    <t>100154001</t>
  </si>
  <si>
    <t>001443</t>
  </si>
  <si>
    <t>DAVILA CRUZ EDGAR</t>
  </si>
  <si>
    <t>gatitome1954@gmail.com</t>
  </si>
  <si>
    <t>LUCAS GONZALEZ MA. DEL CARMEN</t>
  </si>
  <si>
    <t>ARIANA LUCAS GONZALEZ</t>
  </si>
  <si>
    <t>7205505507</t>
  </si>
  <si>
    <t>JUAN LUCAS GONZALEZ</t>
  </si>
  <si>
    <t>7293140618</t>
  </si>
  <si>
    <t>JANETH DAVILA CRUZ</t>
  </si>
  <si>
    <t>7226570890</t>
  </si>
  <si>
    <t>CUITLAHUAC #202</t>
  </si>
  <si>
    <t>San Juan de las Huertas cu</t>
  </si>
  <si>
    <t>Zinacantepec</t>
  </si>
  <si>
    <t>19°14'58.1"N 99°45'38.9"W</t>
  </si>
  <si>
    <t>100144301</t>
  </si>
  <si>
    <t>001256</t>
  </si>
  <si>
    <t>GARFIAS MARTINEZ MARIA ADRIANA</t>
  </si>
  <si>
    <t>garfiasmartinezmariaadriana@gmail.com</t>
  </si>
  <si>
    <t>ROSARIO GUERRA SOTO</t>
  </si>
  <si>
    <t>4471155225</t>
  </si>
  <si>
    <t>LUZ MARIA MARTINEZ CORDOBA</t>
  </si>
  <si>
    <t>4471153604</t>
  </si>
  <si>
    <t>ALICIA YASMIN GONZALEZ</t>
  </si>
  <si>
    <t>4434603050</t>
  </si>
  <si>
    <t>MORELIA #218-SN</t>
  </si>
  <si>
    <t>Melchor Ocampo</t>
  </si>
  <si>
    <t>100125601</t>
  </si>
  <si>
    <t>001439</t>
  </si>
  <si>
    <t>CHAVEZ PEDROZA IRENE</t>
  </si>
  <si>
    <t>irenechavez01843@hotmail.com</t>
  </si>
  <si>
    <t>GUADARRAMA GARCIA CARLOS</t>
  </si>
  <si>
    <t>MAGALI SANCHEZ CASTILLO</t>
  </si>
  <si>
    <t>7225205121</t>
  </si>
  <si>
    <t>JUANA DEL ROSARIO MARTINEZ</t>
  </si>
  <si>
    <t>7222024897</t>
  </si>
  <si>
    <t>PABLO CABRERA SANCHEZ</t>
  </si>
  <si>
    <t>7228353081</t>
  </si>
  <si>
    <t>C SIN NOMBRE  #SN</t>
  </si>
  <si>
    <t>La Ocotalera cu</t>
  </si>
  <si>
    <t>18°57'57.5"N 99°36'07.0"W</t>
  </si>
  <si>
    <t>100143901</t>
  </si>
  <si>
    <t>001492</t>
  </si>
  <si>
    <t>000043</t>
  </si>
  <si>
    <t>Cedillo Gonzalez Hugo</t>
  </si>
  <si>
    <t>MONTES ZEPEDA GRACIELA ESMERALDA</t>
  </si>
  <si>
    <t>esmeraldamonteszepeda@gmail.com</t>
  </si>
  <si>
    <t>CARREÑO ANAYA IVAN</t>
  </si>
  <si>
    <t>QUETZALIN ALICE CORTEZ</t>
  </si>
  <si>
    <t>7224647788</t>
  </si>
  <si>
    <t>IVAN CARREÑO ANAYA</t>
  </si>
  <si>
    <t>7226795168</t>
  </si>
  <si>
    <t>ESTHELA ZEPEDA SANCHEZ</t>
  </si>
  <si>
    <t>7223477860</t>
  </si>
  <si>
    <t>NICOLAS BRAVO #192-SN</t>
  </si>
  <si>
    <t>San Miguel</t>
  </si>
  <si>
    <t>19°14'56.8"N 99°35'25.7"W</t>
  </si>
  <si>
    <t>100149201</t>
  </si>
  <si>
    <t>001807</t>
  </si>
  <si>
    <t>JIMENEZ VIQUEZ ALEJANDRA</t>
  </si>
  <si>
    <t>alem.viq@gmail.com</t>
  </si>
  <si>
    <t>ACEVEDO GOMEZ WILVER OMAR</t>
  </si>
  <si>
    <t>GRISELDA MERIDA GARCIA</t>
  </si>
  <si>
    <t>7224239669</t>
  </si>
  <si>
    <t>INOSENTA LOPEZ VELAZCO</t>
  </si>
  <si>
    <t>7294677816</t>
  </si>
  <si>
    <t>MIGUEL LOPEZ MARTINEZ</t>
  </si>
  <si>
    <t>7224673273</t>
  </si>
  <si>
    <t>PABLO GONZALEZ CASANOVA #39-SN</t>
  </si>
  <si>
    <t>Tenancingo de Degollado Centro</t>
  </si>
  <si>
    <t>18°57'51.9"N 99°35'36.2"W</t>
  </si>
  <si>
    <t>100180701</t>
  </si>
  <si>
    <t>001420</t>
  </si>
  <si>
    <t>GUADARRAMA LOPEZ MARIA EUGENIA</t>
  </si>
  <si>
    <t>marug6737@gmail.com</t>
  </si>
  <si>
    <t>MILLAN HERRERA JOSE MIGUEL</t>
  </si>
  <si>
    <t>VIANEY JACINTO DIAZ</t>
  </si>
  <si>
    <t>7228603189</t>
  </si>
  <si>
    <t>JUANA DIAZ HERNANDEZ</t>
  </si>
  <si>
    <t>7224516487</t>
  </si>
  <si>
    <t>JOSE ANGEL GARCIA VERA</t>
  </si>
  <si>
    <t>7294881432</t>
  </si>
  <si>
    <t>PROL RAYON #SN</t>
  </si>
  <si>
    <t>18°57'33.5"N 99°38'21.2"W</t>
  </si>
  <si>
    <t>100142001</t>
  </si>
  <si>
    <t>001263</t>
  </si>
  <si>
    <t>SOTO HERNANDEZ MARIA ELENA</t>
  </si>
  <si>
    <t>maria.elenahsoto@gmailcom</t>
  </si>
  <si>
    <t>CAROLINA LOPEZ</t>
  </si>
  <si>
    <t>7224108994</t>
  </si>
  <si>
    <t>SOFIA ORDOÑEZ</t>
  </si>
  <si>
    <t>7228267354</t>
  </si>
  <si>
    <t>MARCELA MEJIA</t>
  </si>
  <si>
    <t>5649151517</t>
  </si>
  <si>
    <t>RIO TULA #141-SN</t>
  </si>
  <si>
    <t>San Lucas Tepemajalco</t>
  </si>
  <si>
    <t>San Antonio La Isla</t>
  </si>
  <si>
    <t>100126301</t>
  </si>
  <si>
    <t>001548</t>
  </si>
  <si>
    <t>ALFARO CAMACHO NORMA</t>
  </si>
  <si>
    <t>alfaronorma244@gmail.com</t>
  </si>
  <si>
    <t>AMERICA JOCELYN ROSALES</t>
  </si>
  <si>
    <t>7223899388</t>
  </si>
  <si>
    <t>FABIOLA GOMEZ</t>
  </si>
  <si>
    <t>7291669165</t>
  </si>
  <si>
    <t>NAYELI GONZALEZ</t>
  </si>
  <si>
    <t>7293110453</t>
  </si>
  <si>
    <t>PTO MEXICO #10</t>
  </si>
  <si>
    <t>San Jerónimo Chicahualco</t>
  </si>
  <si>
    <t>19°16'50.5"N 99°35'02.8"W</t>
  </si>
  <si>
    <t>100154801</t>
  </si>
  <si>
    <t>001612</t>
  </si>
  <si>
    <t>NOVERON MARTINEZ HAZURI ARANZAZU</t>
  </si>
  <si>
    <t>noveronaranza622@gmail.com</t>
  </si>
  <si>
    <t>ARRIAGA NAVA FRANCISCO</t>
  </si>
  <si>
    <t>SABDI SINAHI MARTINEZ SUAREZ</t>
  </si>
  <si>
    <t>7227716303</t>
  </si>
  <si>
    <t>FRANCISCO ARRIAGA NAVA</t>
  </si>
  <si>
    <t>7203867108</t>
  </si>
  <si>
    <t>MICAELA NOVERON MARTINEZ</t>
  </si>
  <si>
    <t>7146904661</t>
  </si>
  <si>
    <t>ALDAMA  #54-3</t>
  </si>
  <si>
    <t>18°57'54.7"N 99°38'26.9"W</t>
  </si>
  <si>
    <t>100161201</t>
  </si>
  <si>
    <t>001587</t>
  </si>
  <si>
    <t>MONTERO BRAVO AARON</t>
  </si>
  <si>
    <t>monterobravoaaron06@gmail.com</t>
  </si>
  <si>
    <t>MENDEZ SANDOVAL YOVANA ROCIO</t>
  </si>
  <si>
    <t>MIKE RODRIGUEZ RODRIGUEZ</t>
  </si>
  <si>
    <t>7291195882</t>
  </si>
  <si>
    <t>YOVANA ROCIO MENDEZ SANDOVAL</t>
  </si>
  <si>
    <t>7145493921</t>
  </si>
  <si>
    <t>MARIA DEL SOCORRO TRUJILLO GONZALEZ</t>
  </si>
  <si>
    <t>7291464902</t>
  </si>
  <si>
    <t>LOS PINOS #SN</t>
  </si>
  <si>
    <t>El Islote</t>
  </si>
  <si>
    <t>18°58'10.4"N 99°39'42.0"W</t>
  </si>
  <si>
    <t>100158701</t>
  </si>
  <si>
    <t>001338</t>
  </si>
  <si>
    <t>000049</t>
  </si>
  <si>
    <t>Morales Desiderio Patricia</t>
  </si>
  <si>
    <t>PLATA RAMIREZ MA ELIZABETH</t>
  </si>
  <si>
    <t>elimexicanita@hotmail.com</t>
  </si>
  <si>
    <t>YAHIR LOPEZ</t>
  </si>
  <si>
    <t>7225524341</t>
  </si>
  <si>
    <t>LUCY EVANGELINA SANCHEZ</t>
  </si>
  <si>
    <t>7121544724</t>
  </si>
  <si>
    <t>BEATRIZ RAMIREZ</t>
  </si>
  <si>
    <t>7121633320</t>
  </si>
  <si>
    <t>AV ATA #21-SN</t>
  </si>
  <si>
    <t>Atlacomulco de Fabela Centro</t>
  </si>
  <si>
    <t>100133801</t>
  </si>
  <si>
    <t>001166</t>
  </si>
  <si>
    <t>ALVAREZ CARMONA MARIA GUADALUPE</t>
  </si>
  <si>
    <t>ma.guadalupe68@gmail.com</t>
  </si>
  <si>
    <t>EDITH LOPEZ</t>
  </si>
  <si>
    <t>7223944200</t>
  </si>
  <si>
    <t>LILIANA DIAZ</t>
  </si>
  <si>
    <t>7226756628</t>
  </si>
  <si>
    <t>MICHELL RIOS</t>
  </si>
  <si>
    <t>7291409879</t>
  </si>
  <si>
    <t>JUAN ESCUTIA #103-SN</t>
  </si>
  <si>
    <t>San Marcos Yachihuacaltepec</t>
  </si>
  <si>
    <t>100116601</t>
  </si>
  <si>
    <t>001447</t>
  </si>
  <si>
    <t>000046</t>
  </si>
  <si>
    <t>Pech Muñoz Oscar Adrian</t>
  </si>
  <si>
    <t>MONTOYA MIRANDA JUANA</t>
  </si>
  <si>
    <t>mirandalec8@gmail.com</t>
  </si>
  <si>
    <t>SERVICIOS EN BALNEARIOS Y ALBERCAS</t>
  </si>
  <si>
    <t>RIVERA GASPAR JOSE DOMINGO</t>
  </si>
  <si>
    <t>7121343454.0</t>
  </si>
  <si>
    <t>FRYDA SOFIA HITURBIDE</t>
  </si>
  <si>
    <t>7121665559</t>
  </si>
  <si>
    <t>AMAPOLA MIRANDA VENEGAS</t>
  </si>
  <si>
    <t>7121604381</t>
  </si>
  <si>
    <t>YERALDIN ZALAZAR POSADAS</t>
  </si>
  <si>
    <t>7121324666</t>
  </si>
  <si>
    <t>VILLA DE LOS  ANGELES #26-SN</t>
  </si>
  <si>
    <t>19°48'07.1"N 99°53'40.5"W</t>
  </si>
  <si>
    <t>100144701</t>
  </si>
  <si>
    <t>001316</t>
  </si>
  <si>
    <t>FLORES LEYVA JOSE ALEXIS</t>
  </si>
  <si>
    <t>alexleyva998@gmail.com</t>
  </si>
  <si>
    <t>TALLER DE REPARACION DE CALZADO</t>
  </si>
  <si>
    <t>CRISTIAN JIMENEZ</t>
  </si>
  <si>
    <t>4472173415</t>
  </si>
  <si>
    <t>ADELAIDA GARCIA</t>
  </si>
  <si>
    <t>4431669365</t>
  </si>
  <si>
    <t>ANA KAREN MUÑOZ</t>
  </si>
  <si>
    <t>5513104248</t>
  </si>
  <si>
    <t>AV DREN CASA BLANCA #53-SN</t>
  </si>
  <si>
    <t>100131601</t>
  </si>
  <si>
    <t>001433</t>
  </si>
  <si>
    <t>MARCOS CLEMENTE IVON</t>
  </si>
  <si>
    <t>ivonemarcos325@gmail.com</t>
  </si>
  <si>
    <t>GARCIA RODRIGUEZ MARIO</t>
  </si>
  <si>
    <t>7227829505.0</t>
  </si>
  <si>
    <t>BLANCA IVON CLEMENTE</t>
  </si>
  <si>
    <t>7297561792</t>
  </si>
  <si>
    <t>ZARAHI LUCAS EUGENIO</t>
  </si>
  <si>
    <t>7191325520</t>
  </si>
  <si>
    <t>DULCE MARIA GONZALEZ</t>
  </si>
  <si>
    <t>7203569453</t>
  </si>
  <si>
    <t>SAN JUAN AMANALCO 2DA SECCION  #SN-SN</t>
  </si>
  <si>
    <t>San Juan</t>
  </si>
  <si>
    <t>19°14'51.1"N 100°01'51.7"W</t>
  </si>
  <si>
    <t>100143301</t>
  </si>
  <si>
    <t>001571</t>
  </si>
  <si>
    <t>VASQUEZ GUARDIAN SALVADOR</t>
  </si>
  <si>
    <t>nicoguardian52@gmail.com</t>
  </si>
  <si>
    <t>TRANSPORTE EN AUTOMOVIL DE RULETEO</t>
  </si>
  <si>
    <t>REYES SERRANO YARED</t>
  </si>
  <si>
    <t>GLORIA GUARDIAN BERNAL</t>
  </si>
  <si>
    <t>7226772974</t>
  </si>
  <si>
    <t>SALVIO VASQUEZ FLORES</t>
  </si>
  <si>
    <t>7227855416</t>
  </si>
  <si>
    <t>DIANA MAYELI VASQUEZ REYES</t>
  </si>
  <si>
    <t>7228333821</t>
  </si>
  <si>
    <t>AHUEHUETE #136-SN</t>
  </si>
  <si>
    <t>San Juan Tetitlán</t>
  </si>
  <si>
    <t>18°58'21.1"N 99°34'10.2"W</t>
  </si>
  <si>
    <t>100157101</t>
  </si>
  <si>
    <t>001482</t>
  </si>
  <si>
    <t>CANO MARTINEZ BERTHA XARENI</t>
  </si>
  <si>
    <t>bercano598@gmail.com</t>
  </si>
  <si>
    <t>FABRICACION DE OTROS PREPARADOS ALIMENTICIOS DERIVADOS DE CEREALES</t>
  </si>
  <si>
    <t>GALLEGOS GARCIA AARON ISMAEL</t>
  </si>
  <si>
    <t>LUZ FRANCO SANCHEZ</t>
  </si>
  <si>
    <t>7224567448</t>
  </si>
  <si>
    <t>JOSE LUIS TINOCO MOLINA</t>
  </si>
  <si>
    <t>7223153613</t>
  </si>
  <si>
    <t>FABIOLA CANO SOTELO</t>
  </si>
  <si>
    <t>7222405074</t>
  </si>
  <si>
    <t>ALLENDE #SN</t>
  </si>
  <si>
    <t>18°57'52.9"N 99°38'24.4"W</t>
  </si>
  <si>
    <t>100148201</t>
  </si>
  <si>
    <t>Chalma</t>
  </si>
  <si>
    <t>001374</t>
  </si>
  <si>
    <t>BELTRAN AYALA JOSE GUILLERMO</t>
  </si>
  <si>
    <t>guillermobeltran928@gmail.com</t>
  </si>
  <si>
    <t>FERNANDA AVILA NAVARRETE</t>
  </si>
  <si>
    <t>7229804352</t>
  </si>
  <si>
    <t>MARCEL ROSALES MANCERA</t>
  </si>
  <si>
    <t>7224489318</t>
  </si>
  <si>
    <t>MARIA DEL CARMEN ROMERO</t>
  </si>
  <si>
    <t>7223114459</t>
  </si>
  <si>
    <t>Ixtapita</t>
  </si>
  <si>
    <t>18°50'34.6"N 99°41'04.7"W</t>
  </si>
  <si>
    <t>100137401</t>
  </si>
  <si>
    <t>001349</t>
  </si>
  <si>
    <t>LOPEZ CABALLERO MARIA DEL ROCIO</t>
  </si>
  <si>
    <t>guillermo_severiano@gmail.com</t>
  </si>
  <si>
    <t>GUILLERMO SEVERIANO FERNANDO</t>
  </si>
  <si>
    <t>7225103543.0</t>
  </si>
  <si>
    <t>VIRGINIA ROSALES POSADAS</t>
  </si>
  <si>
    <t>7221582962</t>
  </si>
  <si>
    <t>CECILIA REYES MORALES</t>
  </si>
  <si>
    <t>7225848395</t>
  </si>
  <si>
    <t>FERNANDA HERNANDEZ</t>
  </si>
  <si>
    <t>7225496034</t>
  </si>
  <si>
    <t>CALLEJON DE LAS ANIMAS #SN</t>
  </si>
  <si>
    <t>100134901</t>
  </si>
  <si>
    <t>001303</t>
  </si>
  <si>
    <t>ALVAREZ ESQUIVEL MA DE LOURDES</t>
  </si>
  <si>
    <t>Quincenal</t>
  </si>
  <si>
    <t>lulualvarezctll@gmail.com</t>
  </si>
  <si>
    <t>SALVADOR PONCE PEREZ</t>
  </si>
  <si>
    <t>7226978030</t>
  </si>
  <si>
    <t>DIEGO CAMACHO</t>
  </si>
  <si>
    <t>7221195350</t>
  </si>
  <si>
    <t>MARIA DE LOS ANGELEZ MILLAN</t>
  </si>
  <si>
    <t>7223544346</t>
  </si>
  <si>
    <t>CALLE LAZARO  CARDENAS SN #SN</t>
  </si>
  <si>
    <t>Emiliano Zapata</t>
  </si>
  <si>
    <t>100130301</t>
  </si>
  <si>
    <t>001242</t>
  </si>
  <si>
    <t>CAMBRON MEJIA ROCIO</t>
  </si>
  <si>
    <t>cambronmejia@gmail.com</t>
  </si>
  <si>
    <t>EMPLEADO DEL SECTOR PUBLICO</t>
  </si>
  <si>
    <t>MORA BARRERA JESUS</t>
  </si>
  <si>
    <t>7224003355.0</t>
  </si>
  <si>
    <t>FRANCISCO JAVIER OLIVARES OSOR</t>
  </si>
  <si>
    <t>7222679031</t>
  </si>
  <si>
    <t>ALEJANDRA ESQUIVEL</t>
  </si>
  <si>
    <t>6562856455</t>
  </si>
  <si>
    <t>SANDY ARELLANO</t>
  </si>
  <si>
    <t>7226939337</t>
  </si>
  <si>
    <t>FACTURA EXPEDIDA POR COMPACTOS ORIENTALES, S.A DE C.V._x000D_
UNIDAD USADA MARCA NISSAN SENTRA 4 PTAS. GST TIPICO STD: Color ext ROJO/PERLADO.. inr. GRIS /: Modelo 1996, , Valor 12,980.00, Nombre SENTRA 4 PTAS GST TIPICO STD: Color ext. ROJO/ PERLADO int. GRIS , Folio Factura 19565, Fecha Factura 31/10/2001, Número de serie 006797, Número de motor GA16712689S, Modelo 1996, Marca NISSAN, Propietario CAMBRON MEJIA ROCIO</t>
  </si>
  <si>
    <t>SENTRA 4 PTAS GST TIPICO STD: Color ext. ROJO/ PERLADO int. GRIS</t>
  </si>
  <si>
    <t>LOS LAURELES #320-SN</t>
  </si>
  <si>
    <t>100124201</t>
  </si>
  <si>
    <t>001384</t>
  </si>
  <si>
    <t>SOTO ARRIAGA MA GUADALUPE</t>
  </si>
  <si>
    <t>maria3sot900@gmail.com</t>
  </si>
  <si>
    <t>MIRANDA MEJIA NOE</t>
  </si>
  <si>
    <t>7225655574.0</t>
  </si>
  <si>
    <t>MARICELA MIRANDA</t>
  </si>
  <si>
    <t>7291158321</t>
  </si>
  <si>
    <t>ELSA VIDAL</t>
  </si>
  <si>
    <t>7226443534</t>
  </si>
  <si>
    <t>JESUS RUIZ</t>
  </si>
  <si>
    <t>7226365266</t>
  </si>
  <si>
    <t>PROL HIDALGO #100-SN</t>
  </si>
  <si>
    <t>Campesina</t>
  </si>
  <si>
    <t>19°06'12.0"N 99°34'59.8"W</t>
  </si>
  <si>
    <t>100138401</t>
  </si>
  <si>
    <t>001247</t>
  </si>
  <si>
    <t>BERAUD PEDRAZA LUIS ENRIQUE</t>
  </si>
  <si>
    <t>30</t>
  </si>
  <si>
    <t>xpicoo@hotmail.com</t>
  </si>
  <si>
    <t>ARRENDAMIENTO DE INMUEBLES RESIDENCIALES</t>
  </si>
  <si>
    <t>ROMERO QUEVEDO MARIA DE LOURDES</t>
  </si>
  <si>
    <t>7226467396.0</t>
  </si>
  <si>
    <t>OSCAR OCHOA RODRIGUEZ</t>
  </si>
  <si>
    <t>7121522008</t>
  </si>
  <si>
    <t>FEDERICO CRUZ</t>
  </si>
  <si>
    <t>7224316916</t>
  </si>
  <si>
    <t>PEPE LOYOLA</t>
  </si>
  <si>
    <t>7224274636</t>
  </si>
  <si>
    <t>FACTURA EXPEDIDA POR AUTOS DE ZITACUARO, SA DE CV., Valor 148,373.00, Nombre VEHICULO JETTA MK VI TRENDLINE P/COMFORTLINE B/AA STD , Folio Factura 868/ZVN, Fecha Factura 13/11/2015, Número de serie 3VW1W2AJ4GM247841, Número de motor CCC275350, Modelo 2016, Marca VOLKSWAGEN, Propietario BERAUD PEDRAZA LUIS ENRIQUE</t>
  </si>
  <si>
    <t>VEHICULO JETTA MK VI TRENDLINE P/COMFORTLINE B/AA STD</t>
  </si>
  <si>
    <t>PRLG 16 DE SEPTIEMBRE  #167-SN</t>
  </si>
  <si>
    <t>La Peña</t>
  </si>
  <si>
    <t>100124701</t>
  </si>
  <si>
    <t>001518</t>
  </si>
  <si>
    <t>DIAZ HERNANDEZ ALFREDO</t>
  </si>
  <si>
    <t>luluyfellojuntos@gmail.com</t>
  </si>
  <si>
    <t>COMPRAVENTA DE PAPELERIA Y ARTICULOS DE ESCRITORIO</t>
  </si>
  <si>
    <t>CUEVAS CARMONA LOURDES</t>
  </si>
  <si>
    <t>LOURDES CUEVAS CARMONA</t>
  </si>
  <si>
    <t>7293227308</t>
  </si>
  <si>
    <t>LILI DE JESUS</t>
  </si>
  <si>
    <t>7202791426</t>
  </si>
  <si>
    <t>MARIA DE LOURDES MARTINEZ</t>
  </si>
  <si>
    <t>6633136554</t>
  </si>
  <si>
    <t>LAGO TOTOLCINGO  #110-SN</t>
  </si>
  <si>
    <t>19°16'17.2"N 99°40'39.8"W</t>
  </si>
  <si>
    <t>100151801</t>
  </si>
  <si>
    <t>001520</t>
  </si>
  <si>
    <t>MARTINEZ SUAREZ ROSA MA</t>
  </si>
  <si>
    <t>rosamart034@gmail.com</t>
  </si>
  <si>
    <t>NOVERON MARTINEZ LUIS JOAQUIN</t>
  </si>
  <si>
    <t>CELIA ZAMORA REYES</t>
  </si>
  <si>
    <t>7223879405</t>
  </si>
  <si>
    <t>PEDRO GOMEZ NOVERON</t>
  </si>
  <si>
    <t>5628385629</t>
  </si>
  <si>
    <t>ANA LIDIA FUENTES</t>
  </si>
  <si>
    <t>7223227991</t>
  </si>
  <si>
    <t>ALDAMA  #54-2</t>
  </si>
  <si>
    <t>100152001</t>
  </si>
  <si>
    <t>001251</t>
  </si>
  <si>
    <t>ROCHA MERCADO MARIA TERESA</t>
  </si>
  <si>
    <t>tereroch619@gmail.com</t>
  </si>
  <si>
    <t>LAVANDERIA</t>
  </si>
  <si>
    <t>DOLORES RIVERA CRISANTOS</t>
  </si>
  <si>
    <t>7221491699</t>
  </si>
  <si>
    <t>ROSA MARIA MILLAN LEGORRETA</t>
  </si>
  <si>
    <t>7226929434</t>
  </si>
  <si>
    <t>FRANCISCO LISEA ORTEGA</t>
  </si>
  <si>
    <t>7261022128</t>
  </si>
  <si>
    <t>AV DE LAS FLORES  #SN</t>
  </si>
  <si>
    <t>100125101</t>
  </si>
  <si>
    <t>001405</t>
  </si>
  <si>
    <t>ESPINOZA RUIZ MA TERESA</t>
  </si>
  <si>
    <t>espinozatere682@gmail.com</t>
  </si>
  <si>
    <t>MIRANDA LEGORRETA ALFONSO</t>
  </si>
  <si>
    <t>7122420463.0</t>
  </si>
  <si>
    <t>LUZ AIDE MONROY</t>
  </si>
  <si>
    <t>7123382847</t>
  </si>
  <si>
    <t>KARINA MENDOZA</t>
  </si>
  <si>
    <t>7204361258</t>
  </si>
  <si>
    <t>CESAR DE LA CRUZ</t>
  </si>
  <si>
    <t>7121754870</t>
  </si>
  <si>
    <t>PROL PORFIRIO ALCANTARA B #108-SN</t>
  </si>
  <si>
    <t>Cuatro Milpas</t>
  </si>
  <si>
    <t>19°47'42.2"N 99°53'01.2"W</t>
  </si>
  <si>
    <t>100140501</t>
  </si>
  <si>
    <t>Individual mensual con garantia nivel I Tprem</t>
  </si>
  <si>
    <t>Hidalgo</t>
  </si>
  <si>
    <t>001109</t>
  </si>
  <si>
    <t>000028</t>
  </si>
  <si>
    <t>Jimenez Garcia Angelica Maribel</t>
  </si>
  <si>
    <t>DELGADO SANCHEZ DAVID</t>
  </si>
  <si>
    <t>abejasdelgado@gmail.com</t>
  </si>
  <si>
    <t>TRATAMIENTO Y ENVASE DE MIEL DE ABEJA</t>
  </si>
  <si>
    <t>GARCIA ROMERO MARIA ELENA</t>
  </si>
  <si>
    <t>MARLEN ALEJANDRA VELAZQUEZ</t>
  </si>
  <si>
    <t>7293280241</t>
  </si>
  <si>
    <t>RITA MENDOZA ROMERO</t>
  </si>
  <si>
    <t>7204392072</t>
  </si>
  <si>
    <t>MA ELENA SANCHEZ ROSALES</t>
  </si>
  <si>
    <t>7226076142</t>
  </si>
  <si>
    <t>FACTURA EXPEDIDA POR EXCELENCIA AUTOMOTRIZS.ADE C.V, Valor 63,500.00, Nombre VEHICULO CHEVY STATION WAGON, Folio Factura 33843, Fecha Factura 06/12/2000, Número de serie 8AGSM35N71R112539, Número de motor 1R112539, Modelo 2001, Marca CHEVROLET, Propietario DELGADO SANCHEZ DAVID</t>
  </si>
  <si>
    <t>VEHICULO CHEVY STATION WAGON</t>
  </si>
  <si>
    <t>ALFONSO GOMEZ OROZCO #6-SN</t>
  </si>
  <si>
    <t>Rancho Buenavista</t>
  </si>
  <si>
    <t>100110902</t>
  </si>
  <si>
    <t>001426</t>
  </si>
  <si>
    <t>MORENO BERNAL MA DE LA LUZ</t>
  </si>
  <si>
    <t>mmoreno6320@gmail.com</t>
  </si>
  <si>
    <t>LIUNA BECERRIL GUSTAVO</t>
  </si>
  <si>
    <t>SARAHI ALONSO</t>
  </si>
  <si>
    <t>7225621873</t>
  </si>
  <si>
    <t>SALVADOR VACA</t>
  </si>
  <si>
    <t>7224678033</t>
  </si>
  <si>
    <t>LUCERO PAREDES MONTES</t>
  </si>
  <si>
    <t>7224407681</t>
  </si>
  <si>
    <t>AV MIGUEL J CLOUTHIER #256-SN</t>
  </si>
  <si>
    <t>Izcalli Cuauhtémoc I</t>
  </si>
  <si>
    <t>19°16'24.1"N 99°35'37.1"W</t>
  </si>
  <si>
    <t>100142601</t>
  </si>
  <si>
    <t>001030</t>
  </si>
  <si>
    <t>CABALLERO CHAMORRO JUAN PATRICIO</t>
  </si>
  <si>
    <t>caballerochamorrojuanpatricio@gmail.com</t>
  </si>
  <si>
    <t>HOTEL</t>
  </si>
  <si>
    <t>PAULINA CABALLERO MERCADO</t>
  </si>
  <si>
    <t>7224210374</t>
  </si>
  <si>
    <t>ANTONIA PONCIANO ARIAS</t>
  </si>
  <si>
    <t>FERNANDO CABALLERO LEON</t>
  </si>
  <si>
    <t>7293556085</t>
  </si>
  <si>
    <t>BOCA NEGRA #SN</t>
  </si>
  <si>
    <t>100103002</t>
  </si>
  <si>
    <t>001427</t>
  </si>
  <si>
    <t>000048</t>
  </si>
  <si>
    <t>Arzate Lopez Miguel Angel</t>
  </si>
  <si>
    <t>PICHARDO GONZALEZ ALEJANDRO</t>
  </si>
  <si>
    <t>alevpichagonza@gmail.com</t>
  </si>
  <si>
    <t>COMPRAVENTA DE OTRAS JOYAS</t>
  </si>
  <si>
    <t>VILCHIS DE JESUS IRENE</t>
  </si>
  <si>
    <t>7121856272.0</t>
  </si>
  <si>
    <t>ELIZABETH ARELI VILCHIS DE JESUS</t>
  </si>
  <si>
    <t>7227155850</t>
  </si>
  <si>
    <t>MARGARITA REMIGIO SANCHEZ</t>
  </si>
  <si>
    <t>7122754843</t>
  </si>
  <si>
    <t>JUANA PIÑA VENTURA</t>
  </si>
  <si>
    <t>7226957364</t>
  </si>
  <si>
    <t>SANTA ANA LA LADERA  #SN</t>
  </si>
  <si>
    <t>Santa Ana la Ladera cu</t>
  </si>
  <si>
    <t>Ixtlahuaca</t>
  </si>
  <si>
    <t>19°33'57.8"N 99°45'57.6"W</t>
  </si>
  <si>
    <t>100142701</t>
  </si>
  <si>
    <t>001330</t>
  </si>
  <si>
    <t>REYES VIDAL LIDIA</t>
  </si>
  <si>
    <t>lidiareyesvidal.10@gmail.com</t>
  </si>
  <si>
    <t>HUGO  LUIS PEREZ NEPAMUCENO</t>
  </si>
  <si>
    <t>7261697101</t>
  </si>
  <si>
    <t>MIRIAM SILVERIO CORTES</t>
  </si>
  <si>
    <t>7224231206</t>
  </si>
  <si>
    <t>BERENICE ANTONIO LOPEZ</t>
  </si>
  <si>
    <t>7224560938</t>
  </si>
  <si>
    <t>SAN BARTOLO AMANALCO 2DA SECC #SN</t>
  </si>
  <si>
    <t>100133001</t>
  </si>
  <si>
    <t>001071</t>
  </si>
  <si>
    <t>000033</t>
  </si>
  <si>
    <t>Garcia Ezquivel Jordi Nazaret</t>
  </si>
  <si>
    <t>MARTINEZ BAUTISTA ANA CECILIA</t>
  </si>
  <si>
    <t>anaceciliamartinezbautista@gmail.com</t>
  </si>
  <si>
    <t>SERVICIOS DE CONSULTORIOS Y CLINICAS DENTALES</t>
  </si>
  <si>
    <t>ZARATE ESPINAL EDER</t>
  </si>
  <si>
    <t>GUADALUPE GALAN SANCHEZ</t>
  </si>
  <si>
    <t>4471192049</t>
  </si>
  <si>
    <t>ANARIKA LEON</t>
  </si>
  <si>
    <t>4471124249</t>
  </si>
  <si>
    <t>ARACELI ALVARADO</t>
  </si>
  <si>
    <t>4431001220</t>
  </si>
  <si>
    <t>REFACTURA EXPEDIDA POR CORPORACION METROPOLITANA DE ARRENDAMIENTOS, S.A. DE C.V., , Valor 97,096.00, Nombre AUTOMOVIL JETTA CLASICO CL AA, Folio Factura FAI2074, Fecha Factura 11/04/2014, Número de serie 3VW1V09M4BM051719, Número de motor CBP232182, Modelo 2011, Marca VOLKSWAGEN, Propietario MARTINEZ BAUTISTA ANA CECILIA</t>
  </si>
  <si>
    <t>AUTOMOVIL JETTA CLASICO CL AA</t>
  </si>
  <si>
    <t>L VICARIO #236A-SN</t>
  </si>
  <si>
    <t>100107102</t>
  </si>
  <si>
    <t>001164</t>
  </si>
  <si>
    <t>LOZA FLORES VICTORIANO</t>
  </si>
  <si>
    <t>construcioneljao06@gmail.com</t>
  </si>
  <si>
    <t>FABRICACION DE MARCOS Y MOLDURAS DE MADERA</t>
  </si>
  <si>
    <t>MARIN VAZQUEZ MARIA GUADALUPE</t>
  </si>
  <si>
    <t>7228517224.0</t>
  </si>
  <si>
    <t>ERIKA FABIOLA LOPEZ ESTRADA</t>
  </si>
  <si>
    <t>7226741183</t>
  </si>
  <si>
    <t>VICTOR ESQUIVEL CASIANO</t>
  </si>
  <si>
    <t>7226876652</t>
  </si>
  <si>
    <t>RICHARD ESTRADA</t>
  </si>
  <si>
    <t>7224267413</t>
  </si>
  <si>
    <t>TITULO EXPEDIDO POR STATE OF NORTH CAROLINA, Valor 25,586.00, Nombre JEEP SW, Folio Factura 779711040890053, Fecha Factura 07/04/2004, Número de serie 1J4FT68S4PL613798, Número de motor SIN NUMERO, Modelo 1993, Marca JEEP, Propietario LOZA FLORES VICTORIANO</t>
  </si>
  <si>
    <t>JEEP SW</t>
  </si>
  <si>
    <t>CDA PRIMAVERA #SN</t>
  </si>
  <si>
    <t>100116401</t>
  </si>
  <si>
    <t>001339</t>
  </si>
  <si>
    <t>MOLINA CRUZ ANAI VERONICA</t>
  </si>
  <si>
    <t>ana072327@gmail.com</t>
  </si>
  <si>
    <t>LORENA MAYA</t>
  </si>
  <si>
    <t>4471738397</t>
  </si>
  <si>
    <t>SERGIO MARTINEZ</t>
  </si>
  <si>
    <t>3344322446</t>
  </si>
  <si>
    <t>DANA ESPINOZA</t>
  </si>
  <si>
    <t>4472232778</t>
  </si>
  <si>
    <t>PROL LEONA VICARIO #715-SN</t>
  </si>
  <si>
    <t>100133901</t>
  </si>
  <si>
    <t>COMPRAVENTA DE FLORES Y ADORNOS FLORALES ARTIFICIALES</t>
  </si>
  <si>
    <t>001261</t>
  </si>
  <si>
    <t>DOTOR SOTO ERIKA ALEJANDRA</t>
  </si>
  <si>
    <t>erikadotoro@gmail.com</t>
  </si>
  <si>
    <t>COMPRAVENTA DE ARTICULOS REGIONALES CURIOSIDADES Y ARTESANIAS</t>
  </si>
  <si>
    <t>SOCORRO ROJAS ARELLANO</t>
  </si>
  <si>
    <t>7223216079</t>
  </si>
  <si>
    <t>VERONICA ESCOBEDO LOPEZ</t>
  </si>
  <si>
    <t>4434812084</t>
  </si>
  <si>
    <t>MONSERRAT GONZALEZ NAVA</t>
  </si>
  <si>
    <t>7221309262</t>
  </si>
  <si>
    <t>LAS CRUCES #113-SN</t>
  </si>
  <si>
    <t>100126101</t>
  </si>
  <si>
    <t>001224</t>
  </si>
  <si>
    <t>LOPEZ CABALLERO BERENICE MARIBEL</t>
  </si>
  <si>
    <t>berelc09@gmail.com</t>
  </si>
  <si>
    <t>CRUZ LIMAS RAFAEL XIUHNEL</t>
  </si>
  <si>
    <t>DANIELA CRUZ MARIN</t>
  </si>
  <si>
    <t>7228379821</t>
  </si>
  <si>
    <t>LIZBETH ESQUIVEL SANCHEZ</t>
  </si>
  <si>
    <t>7226752208</t>
  </si>
  <si>
    <t>RAQUEL TORRES MERCADO</t>
  </si>
  <si>
    <t>7225943997</t>
  </si>
  <si>
    <t>FACTURA EXPEDIDA POR AUTOMOTRIZ CUERNAVACA NORTE, S.A de C.V. , , Valor 41,666.00, Nombre  AUTOMOVIL  GOLF GLS STD, Folio Factura 2517, Fecha Factura 31/01/1994, Número de serie 3VWFL21H6PM017472, Número de motor ABA017844, Modelo 1993, Marca VOLKSWAGEN, Propietario LOPEZ CABALLERO MIGUEL ANGEL</t>
  </si>
  <si>
    <t xml:space="preserve"> AUTOMOVIL  GOLF GLS STD</t>
  </si>
  <si>
    <t>BENITO JUAREZ #203-SN</t>
  </si>
  <si>
    <t>100122401</t>
  </si>
  <si>
    <t>001294</t>
  </si>
  <si>
    <t>000082</t>
  </si>
  <si>
    <t>ENRIQUEZ VILCHIS MARIA ALEJANDRA</t>
  </si>
  <si>
    <t>ALBERTO DIONISIO JOSE MARGARITO</t>
  </si>
  <si>
    <t>jmad220280@hotmail.com</t>
  </si>
  <si>
    <t>GONZALEZ COLIN MARIA CONCEPCION</t>
  </si>
  <si>
    <t>7291460410.0</t>
  </si>
  <si>
    <t>PATRICIA DOLORES DE LA CRUZ</t>
  </si>
  <si>
    <t>7293544932</t>
  </si>
  <si>
    <t>CASILDA GARCIA GARCIA</t>
  </si>
  <si>
    <t>7228062469</t>
  </si>
  <si>
    <t>MAURA DE LA CRUZ GARDUÑO</t>
  </si>
  <si>
    <t>5644934125</t>
  </si>
  <si>
    <t>SAN JERONIMO AMANALCO #SN</t>
  </si>
  <si>
    <t>San Jerónimo</t>
  </si>
  <si>
    <t>100129402</t>
  </si>
  <si>
    <t>001101</t>
  </si>
  <si>
    <t>000053</t>
  </si>
  <si>
    <t>Santos Gomez Mahogany</t>
  </si>
  <si>
    <t>VILLEGAS RUIZ AZUCENA</t>
  </si>
  <si>
    <t>vazucena254@gmail.com</t>
  </si>
  <si>
    <t>GOMEZ VALDEZ JULIO CESAR</t>
  </si>
  <si>
    <t>LUCIA GARCIA ALANIS</t>
  </si>
  <si>
    <t>4471511369</t>
  </si>
  <si>
    <t>ALEJANDRA MARTINEZ</t>
  </si>
  <si>
    <t>4471035445</t>
  </si>
  <si>
    <t>CAMILO EDUARDO LOPEZ</t>
  </si>
  <si>
    <t>4471736466</t>
  </si>
  <si>
    <t>VISTA ALEGRE #29-SN</t>
  </si>
  <si>
    <t>Diana Laura</t>
  </si>
  <si>
    <t>19°53'32.3"N 100°27'49.5"W</t>
  </si>
  <si>
    <t>100110101</t>
  </si>
  <si>
    <t>001167</t>
  </si>
  <si>
    <t>PONCE JARAMILLO ERNESTO</t>
  </si>
  <si>
    <t>hernesto01@gmail.com</t>
  </si>
  <si>
    <t>FABRICACION DE PIEZAS METALICAS POR FUNDICION Y MOLDEO EXCEPTO PARA MAQUINARIA EQUIPO Y MATERIAL DE TRANSPORTE</t>
  </si>
  <si>
    <t>MARTINEZ AGUILAR MARINA</t>
  </si>
  <si>
    <t>7229076844.0</t>
  </si>
  <si>
    <t>LEONARDO GARCIA VALDEZ</t>
  </si>
  <si>
    <t>7225518180</t>
  </si>
  <si>
    <t>ALONSO BARCENAS OLVERA</t>
  </si>
  <si>
    <t>7222438793</t>
  </si>
  <si>
    <t>RAMON HERNANDEZ ESTRADA</t>
  </si>
  <si>
    <t>TITULO EXPEDIDO POR STATE OF IOWA, Valor 80,000.00, Nombre CAMIONETA PICK UP RANGER, Folio Factura 30W098509, Fecha Factura 28/06/2000, Número de serie 1FTCR15T3KPB22390, Número de motor SIN NUMERO, Modelo 1989, Marca FORD, Propietario PONCE JARAMILLO ERNESTO</t>
  </si>
  <si>
    <t>CAMIONETA PICK UP RANGER</t>
  </si>
  <si>
    <t>AV BENITO JUAREZ #420-SN</t>
  </si>
  <si>
    <t>100116701</t>
  </si>
  <si>
    <t>001275</t>
  </si>
  <si>
    <t>SORIA ARGUETA HORTENSIA</t>
  </si>
  <si>
    <t>15</t>
  </si>
  <si>
    <t>hortensiasoria132@gmail.com</t>
  </si>
  <si>
    <t>LORENA MAYA CRUZ</t>
  </si>
  <si>
    <t>MARICELA HERNANDEZ</t>
  </si>
  <si>
    <t>4471536062</t>
  </si>
  <si>
    <t>ANAI VERONICA MOLINA</t>
  </si>
  <si>
    <t>4472036771</t>
  </si>
  <si>
    <t>CONSTITUYENTES #233-SN</t>
  </si>
  <si>
    <t>Cuartel V</t>
  </si>
  <si>
    <t>100127501</t>
  </si>
  <si>
    <t>001276</t>
  </si>
  <si>
    <t>LOPEZ JAVIER EDITH</t>
  </si>
  <si>
    <t>edithmelanie23@gmail.com</t>
  </si>
  <si>
    <t>COMPRAVENTA DE ARTICULOS PARA REGALO</t>
  </si>
  <si>
    <t>AIDE ROMERO</t>
  </si>
  <si>
    <t>7291348252</t>
  </si>
  <si>
    <t>ANGELES MIRANDA</t>
  </si>
  <si>
    <t>7228340426</t>
  </si>
  <si>
    <t>MARIA GUADALUPE ALVAREZ</t>
  </si>
  <si>
    <t>7225619622</t>
  </si>
  <si>
    <t>CENTENARIO #120-SN</t>
  </si>
  <si>
    <t>100127601</t>
  </si>
  <si>
    <t>001347</t>
  </si>
  <si>
    <t>CRUZ GARCIA DIEGO AMANDO</t>
  </si>
  <si>
    <t>cruzdiego8090@gmail.com</t>
  </si>
  <si>
    <t>GLORIA ALVAREZ</t>
  </si>
  <si>
    <t>7293771413</t>
  </si>
  <si>
    <t>TERESA HERNANDEZ DE FREMAN</t>
  </si>
  <si>
    <t>7261264167</t>
  </si>
  <si>
    <t>MARISOL AYALA CRUZ</t>
  </si>
  <si>
    <t>7223709734</t>
  </si>
  <si>
    <t>CAMINO A LAS MONJAS #SN</t>
  </si>
  <si>
    <t>100134701</t>
  </si>
  <si>
    <t>001287</t>
  </si>
  <si>
    <t>HERNANDEZ GARDUÑO MARIBEL</t>
  </si>
  <si>
    <t>mhernandez18@gmail.com</t>
  </si>
  <si>
    <t>HERMENEGILDO FLORES JUAN</t>
  </si>
  <si>
    <t>ESTEFANIA MORALES</t>
  </si>
  <si>
    <t>7121912619</t>
  </si>
  <si>
    <t>ANA KAREN PAREDES</t>
  </si>
  <si>
    <t>7201041413</t>
  </si>
  <si>
    <t>CRISTINA MORALES</t>
  </si>
  <si>
    <t>7299200772</t>
  </si>
  <si>
    <t>LEONA VICARIO #412-SN</t>
  </si>
  <si>
    <t>Coaxustenco</t>
  </si>
  <si>
    <t>100128701</t>
  </si>
  <si>
    <t>001494</t>
  </si>
  <si>
    <t>ORIHUELA GONZALEZ ESPERANZA</t>
  </si>
  <si>
    <t>perisorihuela@gmail.com</t>
  </si>
  <si>
    <t>CITLALLI ORIHUELA GONZALEZ</t>
  </si>
  <si>
    <t>7296122538</t>
  </si>
  <si>
    <t>KARLA FLORES ORIHUELA</t>
  </si>
  <si>
    <t>7294528035</t>
  </si>
  <si>
    <t>ROSA FLORES ORIHUELA</t>
  </si>
  <si>
    <t>7294564515</t>
  </si>
  <si>
    <t>VICENTE GUERRERO #SN</t>
  </si>
  <si>
    <t>Zepayautla</t>
  </si>
  <si>
    <t>19°00'48.5"N 99°33'24.9"W</t>
  </si>
  <si>
    <t>100149401</t>
  </si>
  <si>
    <t>001562</t>
  </si>
  <si>
    <t>GARCIA ALVAREZ EDITH</t>
  </si>
  <si>
    <t>gonzalezrebollarflorencio@gmail.com</t>
  </si>
  <si>
    <t>COMPRAVENTA DE PAN Y PASTELES</t>
  </si>
  <si>
    <t>GONZALEZ REBOLLAR FLORENCIO</t>
  </si>
  <si>
    <t>7228467516.0</t>
  </si>
  <si>
    <t>FLORENCIO GONZALEZ REBOLLAR</t>
  </si>
  <si>
    <t>7223579556</t>
  </si>
  <si>
    <t>ROCIO GONZALEZ GARCIA</t>
  </si>
  <si>
    <t>7228756678</t>
  </si>
  <si>
    <t>EMMANUEL GONZALEZ GARCIA</t>
  </si>
  <si>
    <t>7227869733</t>
  </si>
  <si>
    <t>SAN FRANCISCO MIHUAL #SN -SN</t>
  </si>
  <si>
    <t>San Francisco Mihualtepec cu</t>
  </si>
  <si>
    <t>Donato Guerra</t>
  </si>
  <si>
    <t>19°14'59.7"N 100°06'04.3"W</t>
  </si>
  <si>
    <t>100156201</t>
  </si>
  <si>
    <t>001570</t>
  </si>
  <si>
    <t>FERRER AVILA MIGUEL ANGEL</t>
  </si>
  <si>
    <t>angelferrer25.avila@gmail.com</t>
  </si>
  <si>
    <t>DIANA HERRERA AVILA</t>
  </si>
  <si>
    <t>4472267183</t>
  </si>
  <si>
    <t>LEONILA AVILA MARTINEZ</t>
  </si>
  <si>
    <t>4437947350</t>
  </si>
  <si>
    <t>NATALI JAQUELIN CRUZ HERNANDEZ</t>
  </si>
  <si>
    <t>4471006209</t>
  </si>
  <si>
    <t>C NIÑOS HEROES  #961-SN</t>
  </si>
  <si>
    <t>19°53'20.1"N 100°27'19.0"W</t>
  </si>
  <si>
    <t>100157001</t>
  </si>
  <si>
    <t>003186</t>
  </si>
  <si>
    <t>CORONA LAGUNAS CONCEPCION</t>
  </si>
  <si>
    <t>coronaconcepcion515@gmail.com</t>
  </si>
  <si>
    <t>ESTRADA GUADARRAMA FRANCISCO</t>
  </si>
  <si>
    <t>ANDRES CORONA LAGUNAS</t>
  </si>
  <si>
    <t>7205750865</t>
  </si>
  <si>
    <t>FRANCISCO GUADARRAMA</t>
  </si>
  <si>
    <t>7228045660</t>
  </si>
  <si>
    <t>MARTIZA CORONA</t>
  </si>
  <si>
    <t>7295938738</t>
  </si>
  <si>
    <t>CAM AL  AHUEHUETE #SN</t>
  </si>
  <si>
    <t>18°58'21.0"N 99°34'13.4"W</t>
  </si>
  <si>
    <t>100318601</t>
  </si>
  <si>
    <t>001595</t>
  </si>
  <si>
    <t>GARCIA DIAZ MAYRA CECILIA</t>
  </si>
  <si>
    <t>mayragarcia9707@gmail.com</t>
  </si>
  <si>
    <t>GONZALEZ FABELA FERNANDO</t>
  </si>
  <si>
    <t>EVELIN TORRES DIAZ</t>
  </si>
  <si>
    <t>7207841465</t>
  </si>
  <si>
    <t>FERNANDO GONZALEZ FABELA</t>
  </si>
  <si>
    <t>5665289583</t>
  </si>
  <si>
    <t>BRICIA MARIA GARCIA DIAZ</t>
  </si>
  <si>
    <t>7293822882</t>
  </si>
  <si>
    <t>CRUZ VIDRIADA #SN</t>
  </si>
  <si>
    <t>Cruz Vidriada cu</t>
  </si>
  <si>
    <t>18°59'47.3"N 99°38'27.5"W</t>
  </si>
  <si>
    <t>100159501</t>
  </si>
  <si>
    <t>001361</t>
  </si>
  <si>
    <t>CASTILLO VILLEGAS YOLANDA YADIRA</t>
  </si>
  <si>
    <t>ycastillo86@gmail.com</t>
  </si>
  <si>
    <t>COLIN BAÑUELOS HERON</t>
  </si>
  <si>
    <t>7122030101.0</t>
  </si>
  <si>
    <t>LORENA LOPEZ GOMEZ</t>
  </si>
  <si>
    <t>7226016996</t>
  </si>
  <si>
    <t>JUAN ISIDRO MORGAN RODRIGUEZ</t>
  </si>
  <si>
    <t>7224062725</t>
  </si>
  <si>
    <t>ARMANDO COLIN PEREZ</t>
  </si>
  <si>
    <t>7229808240</t>
  </si>
  <si>
    <t>LA PEÑA  #L7-SN</t>
  </si>
  <si>
    <t>100136101</t>
  </si>
  <si>
    <t>001409</t>
  </si>
  <si>
    <t>RAMIREZ ROMERO SERGIO</t>
  </si>
  <si>
    <t>armadadj@hotmail.com</t>
  </si>
  <si>
    <t>GUADARRAMA JIMENEZ YESENIA</t>
  </si>
  <si>
    <t>IRLANDA ROMERO MERCADO</t>
  </si>
  <si>
    <t>7223827563</t>
  </si>
  <si>
    <t>ROSARIO RAMIREZ ROMERO</t>
  </si>
  <si>
    <t>7229003618</t>
  </si>
  <si>
    <t>ARTURO GOMEZ MENDEZ</t>
  </si>
  <si>
    <t>7292990336</t>
  </si>
  <si>
    <t>PIRULES #226</t>
  </si>
  <si>
    <t>18°57'55.7"N 99°34'49.1"W</t>
  </si>
  <si>
    <t>100140902</t>
  </si>
  <si>
    <t>001456</t>
  </si>
  <si>
    <t>ZAMORA PARTIDA ANA CAREN</t>
  </si>
  <si>
    <t>karengyami1993@gmail.com</t>
  </si>
  <si>
    <t>URTADO CASTREJON PABLO</t>
  </si>
  <si>
    <t>CITLALLI MORALES SALAZAR</t>
  </si>
  <si>
    <t>7295261598</t>
  </si>
  <si>
    <t>IRIS HURTADO CASTREJON</t>
  </si>
  <si>
    <t>7361179319</t>
  </si>
  <si>
    <t>BIBIANA JUAREZ TOTOTZIN</t>
  </si>
  <si>
    <t>7224292933</t>
  </si>
  <si>
    <t>CAMINO VIEJO A TECOMATLAN #128-SN</t>
  </si>
  <si>
    <t>Cruz Vidriada</t>
  </si>
  <si>
    <t>18°57'49.6"N 99°32'06.1"W</t>
  </si>
  <si>
    <t>100145601</t>
  </si>
  <si>
    <t>001609</t>
  </si>
  <si>
    <t>VELASCO JOSE ANTONIO</t>
  </si>
  <si>
    <t>antoniovelasco56@icloud.com</t>
  </si>
  <si>
    <t>FABRICACION DE ROPA CON PIEL</t>
  </si>
  <si>
    <t>VELASCO BECERRIL HORTENCIA</t>
  </si>
  <si>
    <t>ALEJANDRO VELASCO VELASCO</t>
  </si>
  <si>
    <t>7121328986</t>
  </si>
  <si>
    <t>NOE VELASCO VELASCO</t>
  </si>
  <si>
    <t>5539078632</t>
  </si>
  <si>
    <t>NAIDELIN VELASCO VELASCO</t>
  </si>
  <si>
    <t>7204332006</t>
  </si>
  <si>
    <t>SAN ANTONIO ENCHISI #SN</t>
  </si>
  <si>
    <t>San Antonio Enchisi</t>
  </si>
  <si>
    <t>19°44'53.2"N 99°48'26.7"W</t>
  </si>
  <si>
    <t>100160901</t>
  </si>
  <si>
    <t>001557</t>
  </si>
  <si>
    <t>MEJIA BUENO ROKY GERMAN</t>
  </si>
  <si>
    <t>rokymejia12@icloud.com</t>
  </si>
  <si>
    <t>GUADARRAMA RODRIGUEZ DEISY DENISSE</t>
  </si>
  <si>
    <t>JESUS EDMUNDO SOTELO AVILEZ</t>
  </si>
  <si>
    <t>7228047850</t>
  </si>
  <si>
    <t>JUAN PABLO BAUTISTA CASTAÑEDA</t>
  </si>
  <si>
    <t>7228478216</t>
  </si>
  <si>
    <t>DANA IDITH RODRIGUEZ AVILEZ</t>
  </si>
  <si>
    <t>7227957131</t>
  </si>
  <si>
    <t>REFACTURA EXPEDIDA POR DISTRIBUCIÓN DE COMERCIO EXTERIOR ASIA MEXICO, S.A. DE C.V., , , Valor 165,000.00, Nombre VEHICULO  PICK UP TOYOTA TACOMA, Folio Factura No 21264, Fecha Factura 20/01/2011, Número de serie 5TENL42N63Z180330, Número de motor SIN NUMERO, Modelo 2003, Marca TOYOTA, Propietario MEJIA BUENO ROKY GERMAN</t>
  </si>
  <si>
    <t>VEHICULO  PICK UP TOYOTA TACOMA</t>
  </si>
  <si>
    <t>Individual con Garantía Vehicular</t>
  </si>
  <si>
    <t>16 DE SEPTIEMBRE #SN</t>
  </si>
  <si>
    <t>18°50'42.1"N 99°40'39.1"W</t>
  </si>
  <si>
    <t>100155701</t>
  </si>
  <si>
    <t>001296</t>
  </si>
  <si>
    <t>CAMACHO MERCADO MARCO ANTONIO</t>
  </si>
  <si>
    <t>7</t>
  </si>
  <si>
    <t>7222412758</t>
  </si>
  <si>
    <t>ESTABLECIMIENTOS PRIVADOS DE INSTRUCCION EDUCACION CULTURA E INVESTIGACION</t>
  </si>
  <si>
    <t>AMARESH VALDEZ NAVARRO</t>
  </si>
  <si>
    <t>7225123777</t>
  </si>
  <si>
    <t>JOSEFINA MARTINEZ GARCIA</t>
  </si>
  <si>
    <t>7223819132</t>
  </si>
  <si>
    <t>PALOMA GARCIA AGUILAR</t>
  </si>
  <si>
    <t>7224135274</t>
  </si>
  <si>
    <t>AV TOLUCA  #203-SN</t>
  </si>
  <si>
    <t>100129601</t>
  </si>
  <si>
    <t>001176</t>
  </si>
  <si>
    <t>ARRIAGA ALBARRAN KARINA</t>
  </si>
  <si>
    <t>albarranarriaga.1989@gmail.com</t>
  </si>
  <si>
    <t>ANDREA NOHEMI ALANIS REYES</t>
  </si>
  <si>
    <t>7222466368</t>
  </si>
  <si>
    <t>ERIKA MACARIO ESTRADA</t>
  </si>
  <si>
    <t>7221005084</t>
  </si>
  <si>
    <t>ESMERALDA VALENTINA GALLEGOS</t>
  </si>
  <si>
    <t>72261163203</t>
  </si>
  <si>
    <t>EL ARCO #SN</t>
  </si>
  <si>
    <t>El Arco</t>
  </si>
  <si>
    <t>100117601</t>
  </si>
  <si>
    <t>001741</t>
  </si>
  <si>
    <t>PRADO ROGEL MIREYA</t>
  </si>
  <si>
    <t>mireyaprado32@gmail.com</t>
  </si>
  <si>
    <t>ROGEL ESCOBAR NESTOR EDUARDO</t>
  </si>
  <si>
    <t>LESLY PRADO ROGEL</t>
  </si>
  <si>
    <t>7226140293</t>
  </si>
  <si>
    <t>IRIS ALONDRA ROGEL PRADO</t>
  </si>
  <si>
    <t>7228957579</t>
  </si>
  <si>
    <t>BRISEYDA PRADO ROGEL</t>
  </si>
  <si>
    <t>7293067888</t>
  </si>
  <si>
    <t>BENITO JUAREZ #SN</t>
  </si>
  <si>
    <t>San Martin Coapaxtongo cu</t>
  </si>
  <si>
    <t>18°59'27.7"N 99°34'18.6"W</t>
  </si>
  <si>
    <t>100174101</t>
  </si>
  <si>
    <t>003639</t>
  </si>
  <si>
    <t>CORTEZ ESQUILA MARTA</t>
  </si>
  <si>
    <t>cosultasburo@fianancieracrediflexi.com</t>
  </si>
  <si>
    <t>POR EL PANTEON #SN</t>
  </si>
  <si>
    <t>San Lorenzo Oyamel</t>
  </si>
  <si>
    <t>Temoaya</t>
  </si>
  <si>
    <t>100363901</t>
  </si>
  <si>
    <t>001371</t>
  </si>
  <si>
    <t>GONZALEZ GARCIA CESAR</t>
  </si>
  <si>
    <t>cesargonzalezg@yahoo.com</t>
  </si>
  <si>
    <t>CONSTRUCCION DE VIVIENDA RESIDENCIAL</t>
  </si>
  <si>
    <t>OZUNA RODRIGUEZ MARLO PAOLA</t>
  </si>
  <si>
    <t>7225557944.0</t>
  </si>
  <si>
    <t>ALEJANDRO DE LA ROSA GONZALEZ</t>
  </si>
  <si>
    <t>7224592553</t>
  </si>
  <si>
    <t>ADOLFO PICHARDO GONZALEZ</t>
  </si>
  <si>
    <t>7222613175</t>
  </si>
  <si>
    <t>GEORGINA GONZALEZ GARCIA</t>
  </si>
  <si>
    <t>7225725525</t>
  </si>
  <si>
    <t>PASEO DE LOS CEDROS #MZ 2-LT 173</t>
  </si>
  <si>
    <t>Club de Golf los Encinos</t>
  </si>
  <si>
    <t>Lerma</t>
  </si>
  <si>
    <t>100137101</t>
  </si>
  <si>
    <t>001149</t>
  </si>
  <si>
    <t>VERA GARCIA ALBERTO DE JESUS</t>
  </si>
  <si>
    <t>veragarcia@gmail.com</t>
  </si>
  <si>
    <t>GALICIA PONCE NATHALIE</t>
  </si>
  <si>
    <t>7261264396.0</t>
  </si>
  <si>
    <t>PAOLA GALICIA GONZALEZ</t>
  </si>
  <si>
    <t>7261162243</t>
  </si>
  <si>
    <t>JOSE LUIS VALENZUELA</t>
  </si>
  <si>
    <t>7291607303</t>
  </si>
  <si>
    <t>NATALIA ALBARRAN  VERA</t>
  </si>
  <si>
    <t>7261162630</t>
  </si>
  <si>
    <t>FACTURA EXPEDIDA POR  AUTOCOM ALFA S A P I DE CV , , , Valor 106,319.00, Nombre AUTOMOVIL TIIDA SEDAN SENSE T/M A/A, Folio Factura 98ED4609_1B75_45B6_8, Fecha Factura 12/12/2016, Número de serie 3N1BC1ADXHK193448, Número de motor MR18075995J, Modelo 2017, Marca NISSAN, Propietario VERA GARCIA ALBERTO DE JESUS</t>
  </si>
  <si>
    <t>AUTOMOVIL TIIDA SEDAN SENSE T/M A/A</t>
  </si>
  <si>
    <t>PRIVADA FRAY GREGORIO #SN</t>
  </si>
  <si>
    <t>100114901</t>
  </si>
  <si>
    <t>001283</t>
  </si>
  <si>
    <t>AGUILAR CHAVEZ MA ANGELINA</t>
  </si>
  <si>
    <t>aguilarangqi987@gmail.com</t>
  </si>
  <si>
    <t>COMPRAVENTA DE PERFUMES</t>
  </si>
  <si>
    <t>DAVILA FLORES VALENTIN</t>
  </si>
  <si>
    <t>TERESA DE JESUS GONZALEZ</t>
  </si>
  <si>
    <t>7228633584</t>
  </si>
  <si>
    <t>AMANDA GONZALEZ NUÑEZ</t>
  </si>
  <si>
    <t>7294761146</t>
  </si>
  <si>
    <t>DIANA MITZI DIAZ JARDON</t>
  </si>
  <si>
    <t>7291221647</t>
  </si>
  <si>
    <t>ANDADOR #SN</t>
  </si>
  <si>
    <t>La Ocotalera</t>
  </si>
  <si>
    <t>100128302</t>
  </si>
  <si>
    <t>001301</t>
  </si>
  <si>
    <t>FLORES SALDIVAR CLEMENTINA</t>
  </si>
  <si>
    <t>clementinasaldivar1@gmail.com</t>
  </si>
  <si>
    <t>ANTONIO SANCHEZ JACOBO</t>
  </si>
  <si>
    <t>TONANZI BARRIENTOS FLORES</t>
  </si>
  <si>
    <t>7225689860</t>
  </si>
  <si>
    <t>VIRIDIANA GUADARRAMA</t>
  </si>
  <si>
    <t>7225453554</t>
  </si>
  <si>
    <t>NOEMI RAMIREZ SANDOVAL</t>
  </si>
  <si>
    <t>7228458054</t>
  </si>
  <si>
    <t>1 DE MAYO #SN</t>
  </si>
  <si>
    <t>100130102</t>
  </si>
  <si>
    <t>001079</t>
  </si>
  <si>
    <t>ZEPEDA SANABRIA CECILIA</t>
  </si>
  <si>
    <t>ceciliazepeda121@hotmail.com</t>
  </si>
  <si>
    <t>ESPINOZA LOPEZ JAIME</t>
  </si>
  <si>
    <t>ANA CECILIA ESPINOZA ZEPEDA</t>
  </si>
  <si>
    <t>4471114441</t>
  </si>
  <si>
    <t>CRISTIAN MANUEL ESPINOZA LAGUNA</t>
  </si>
  <si>
    <t>4431297759</t>
  </si>
  <si>
    <t>MANUEL ZEPEDA SANABRIA</t>
  </si>
  <si>
    <t>4471295661</t>
  </si>
  <si>
    <t>FACTURA EXPEDIDA POR DISTRIBUCION DE COMERCIO EXTERIOR ASIA MEXICO, S.A. DE C.V., , Valor 79,370.00, Nombre VEHICULO DAKOTA , Folio Factura 5898B, Fecha Factura 27/12/2010, Número de serie 1B7GL22X51S295291, Número de motor SIN NUMERO, Modelo 2001, Marca DODGE, Propietario ZEPEDA SANABRIA CECILIA, Valor 79,370.00, Nombre VEHICULO DAKOTA, Folio Factura 5898B, Fecha Factura 27/12/2010, Número de serie 1B7GL22X51S295291, Número de motor SIN NUMERO, Modelo 2001, Marca DODGE, Propietario ZEPEDA SANABRIA CECILIA</t>
  </si>
  <si>
    <t>VEHICULO DAKOTA</t>
  </si>
  <si>
    <t>NAZARETH #75-SN</t>
  </si>
  <si>
    <t>19°53'53.5"N 100°26'20.2"W</t>
  </si>
  <si>
    <t>100107902</t>
  </si>
  <si>
    <t>001510</t>
  </si>
  <si>
    <t>SOTELO ESTRADA MA CONCEPCION</t>
  </si>
  <si>
    <t>conchitaestrada402@gmail.com</t>
  </si>
  <si>
    <t>LUIS ALEJANDRO SOTELO ESTRADA</t>
  </si>
  <si>
    <t>7224095163</t>
  </si>
  <si>
    <t>ANCELMO ALCALA MILLAN</t>
  </si>
  <si>
    <t>7221028250</t>
  </si>
  <si>
    <t>MARIA TERESA GUADARRAMA ESTRADA</t>
  </si>
  <si>
    <t>7224441862</t>
  </si>
  <si>
    <t>HEROES DEL 14 #1-SN</t>
  </si>
  <si>
    <t>18°57'37.2"N 99°38'30.7"W</t>
  </si>
  <si>
    <t>100151001</t>
  </si>
  <si>
    <t>001511</t>
  </si>
  <si>
    <t>VEA ZAVALA ARACELI</t>
  </si>
  <si>
    <t>aracelyvea413@gmail.com</t>
  </si>
  <si>
    <t>IRIS CAROLINA MARTINEZ SUAREZ</t>
  </si>
  <si>
    <t>7411387321</t>
  </si>
  <si>
    <t>JANETH VALERY VELAZCO CARRAZCO</t>
  </si>
  <si>
    <t>5564888856</t>
  </si>
  <si>
    <t>CLAUDIA ANDRADE RIVERA</t>
  </si>
  <si>
    <t>5610063308</t>
  </si>
  <si>
    <t>BENITO JUAREZ #1-SN</t>
  </si>
  <si>
    <t>Santa María Aranzazú (Santa María)</t>
  </si>
  <si>
    <t>19°00'32.7"N 99°39'06.7"W</t>
  </si>
  <si>
    <t>100151101</t>
  </si>
  <si>
    <t>001429</t>
  </si>
  <si>
    <t>ALBARRAN REYES ANA MARIA</t>
  </si>
  <si>
    <t>0</t>
  </si>
  <si>
    <t>amariaa@gmail.com</t>
  </si>
  <si>
    <t>FABRICACION DE FRITURAS</t>
  </si>
  <si>
    <t>ROJAS CHIQUILLO ISIDRO</t>
  </si>
  <si>
    <t>7228956353.0</t>
  </si>
  <si>
    <t>ESMERALDA ALBARRAN MERCADO</t>
  </si>
  <si>
    <t>7261264050</t>
  </si>
  <si>
    <t>IRENE GARCIA GARDUÑO</t>
  </si>
  <si>
    <t>7226457749</t>
  </si>
  <si>
    <t>PATRICIA CARRILLO ZARZA</t>
  </si>
  <si>
    <t>7223935887</t>
  </si>
  <si>
    <t>GALEANA  #108-SN</t>
  </si>
  <si>
    <t>Amanalco de Becerra</t>
  </si>
  <si>
    <t>19°15'12.5"N 100°01'16.1"W</t>
  </si>
  <si>
    <t>100142901</t>
  </si>
  <si>
    <t>003702</t>
  </si>
  <si>
    <t>000057</t>
  </si>
  <si>
    <t>Camacho Frias Oscar Antonio</t>
  </si>
  <si>
    <t>CALDERON FRUTIS ALEJANDRO</t>
  </si>
  <si>
    <t>alejandrocal2703@gmail.com</t>
  </si>
  <si>
    <t>LOPEZ ESTRADA MARIA MARIBEL</t>
  </si>
  <si>
    <t>7228764233.0</t>
  </si>
  <si>
    <t>JOSE ANTONIO SALVADOR CIPRIANO</t>
  </si>
  <si>
    <t>7228401585</t>
  </si>
  <si>
    <t>JOSE MORENO REYES</t>
  </si>
  <si>
    <t>7226054397</t>
  </si>
  <si>
    <t>ELIAZER GARCIA MARURI</t>
  </si>
  <si>
    <t>7224093114</t>
  </si>
  <si>
    <t>PALITO VERDE  #SN</t>
  </si>
  <si>
    <t>Cuadrilla de Dolores</t>
  </si>
  <si>
    <t>100370201</t>
  </si>
  <si>
    <t>001308</t>
  </si>
  <si>
    <t>EMETERIO LUVIANOS PATRICIA</t>
  </si>
  <si>
    <t>patyemeterio13@gmail.com</t>
  </si>
  <si>
    <t>RITA ZARZA REYES</t>
  </si>
  <si>
    <t>7261162636</t>
  </si>
  <si>
    <t>PETRA TUBURCIO SANTIAGO</t>
  </si>
  <si>
    <t>7223636845</t>
  </si>
  <si>
    <t>JUANA COLIN PEREZ</t>
  </si>
  <si>
    <t>7224635844</t>
  </si>
  <si>
    <t>16 DE SEP  #504-SN</t>
  </si>
  <si>
    <t>100130801</t>
  </si>
  <si>
    <t>001260</t>
  </si>
  <si>
    <t>BENITEZ AGUILAR PAULA</t>
  </si>
  <si>
    <t>pbo21388@gmail.com</t>
  </si>
  <si>
    <t>SERVICIOS MEDICO GENERAL Y ESPECIALIZADO EN CONSULTORIOS</t>
  </si>
  <si>
    <t>LAURA IVETH MENDOZA</t>
  </si>
  <si>
    <t>7225736723</t>
  </si>
  <si>
    <t>LAURA LETICIA TRUJILLO SERVIN</t>
  </si>
  <si>
    <t>5546203255</t>
  </si>
  <si>
    <t>VICTOR RODRIGUEZ ARZATE</t>
  </si>
  <si>
    <t>7221565221</t>
  </si>
  <si>
    <t>SAN SEBASTIAN CHICO 1ERA SECC #SN</t>
  </si>
  <si>
    <t>San Sebastian Chico</t>
  </si>
  <si>
    <t>100126001</t>
  </si>
  <si>
    <t>001380</t>
  </si>
  <si>
    <t>CASTILLO GONZALEZ HUGO MIGUEL ANGEL</t>
  </si>
  <si>
    <t>h.castillo63@gmail.com</t>
  </si>
  <si>
    <t>SERVICIOS DE REPARACION DE MOTOCICLETAS Y BICICLETAS</t>
  </si>
  <si>
    <t>CARLOS MERCADO VELAZQUEZ</t>
  </si>
  <si>
    <t>7222409976</t>
  </si>
  <si>
    <t>JUAN CRUZ RAMOS</t>
  </si>
  <si>
    <t>7261040885</t>
  </si>
  <si>
    <t>HUMBERTO CLEMENTE CRUZ REYEZ</t>
  </si>
  <si>
    <t>7295032153</t>
  </si>
  <si>
    <t>CRUZ DE MISION  #SN</t>
  </si>
  <si>
    <t>100138002</t>
  </si>
  <si>
    <t>001459</t>
  </si>
  <si>
    <t>CABALLERO GONZALEZ IRMA</t>
  </si>
  <si>
    <t>irma_caballero_gonzalez@hotmail.com</t>
  </si>
  <si>
    <t>ENEDINA MARIN CABALLERO</t>
  </si>
  <si>
    <t>5585573256</t>
  </si>
  <si>
    <t>VERONICA CABALLERO GARCIA</t>
  </si>
  <si>
    <t>7292310655</t>
  </si>
  <si>
    <t>FLOR DIAZ LOPEZ</t>
  </si>
  <si>
    <t>7221722691</t>
  </si>
  <si>
    <t>J ARCADIO PAGAZA  #313-SN</t>
  </si>
  <si>
    <t>100145902</t>
  </si>
  <si>
    <t>001416</t>
  </si>
  <si>
    <t>GARDUÑO TOLA MA ISABEL</t>
  </si>
  <si>
    <t>maisabel6307@gmail.com</t>
  </si>
  <si>
    <t>GARCIA FELIX JUAN CARLOS</t>
  </si>
  <si>
    <t>7291791570.0</t>
  </si>
  <si>
    <t>IDALIA JAIMES</t>
  </si>
  <si>
    <t>7226098835</t>
  </si>
  <si>
    <t>FABIOLA GARCIA GARDUÑO</t>
  </si>
  <si>
    <t>5665382846</t>
  </si>
  <si>
    <t>ESTEBAN GARCIA GARDUÑO</t>
  </si>
  <si>
    <t>7226745585</t>
  </si>
  <si>
    <t>PROL AV TOLUCA  #SN -SN</t>
  </si>
  <si>
    <t>Otumba</t>
  </si>
  <si>
    <t>19°12'17.6"N 100°07'14.9"W</t>
  </si>
  <si>
    <t>100141601</t>
  </si>
  <si>
    <t>001558</t>
  </si>
  <si>
    <t>000059</t>
  </si>
  <si>
    <t>Gutierrez Jaimes Ruben</t>
  </si>
  <si>
    <t>VELEZ GUADARRAMA HORACIO</t>
  </si>
  <si>
    <t>horaciovg25@gmail.com</t>
  </si>
  <si>
    <t>CESAR VELEZ GUADARRAMA</t>
  </si>
  <si>
    <t>7262078595</t>
  </si>
  <si>
    <t>ROSA GONZALEZ COAHUILAS</t>
  </si>
  <si>
    <t>7227869607</t>
  </si>
  <si>
    <t>ADRIANA CABALLERO LOPEZ</t>
  </si>
  <si>
    <t>7295422965</t>
  </si>
  <si>
    <t>CASAS VIEJAS  #SN</t>
  </si>
  <si>
    <t>Avándaro</t>
  </si>
  <si>
    <t>19°09'13.4"N 100°06'24.4"W</t>
  </si>
  <si>
    <t>100155801</t>
  </si>
  <si>
    <t>001376</t>
  </si>
  <si>
    <t>GOMEZ CARRANZA ANGELICA</t>
  </si>
  <si>
    <t>ag1753777@gmail.com</t>
  </si>
  <si>
    <t>COMPRAVENTA DE FLORES Y ADORNOS FLORALES NATURALES</t>
  </si>
  <si>
    <t>LARA GARCIA JOSE</t>
  </si>
  <si>
    <t>5575181437.0</t>
  </si>
  <si>
    <t>ARELI ARELLANO PEÑALOZA</t>
  </si>
  <si>
    <t>7226023715</t>
  </si>
  <si>
    <t>MARIA DEL ROSARIO GONZALEZ VEGA</t>
  </si>
  <si>
    <t>7221148633</t>
  </si>
  <si>
    <t>LUIS ENRIQUE SANCHEZ QUINTERO</t>
  </si>
  <si>
    <t>7228219071</t>
  </si>
  <si>
    <t>16 DE SEPTIEMBRE  #SN</t>
  </si>
  <si>
    <t>001590</t>
  </si>
  <si>
    <t>GUADARRAMA TINOCO ANGELICA</t>
  </si>
  <si>
    <t>angygt0130@gmail.com</t>
  </si>
  <si>
    <t>GARCIA ESPINOSA JESUS</t>
  </si>
  <si>
    <t>7226129557.0</t>
  </si>
  <si>
    <t>JESUS GARCIA ESPINOSA</t>
  </si>
  <si>
    <t>7226743133</t>
  </si>
  <si>
    <t>MARIANA GARCIA GUADARRAMA</t>
  </si>
  <si>
    <t>7225645850</t>
  </si>
  <si>
    <t>CLAUDIA GARCIA DE LA O</t>
  </si>
  <si>
    <t>7203553245</t>
  </si>
  <si>
    <t>CARR TOL ALTAMIRANO #122-1</t>
  </si>
  <si>
    <t>19°09'38.5"N 100°06'15.4"W</t>
  </si>
  <si>
    <t>100159001</t>
  </si>
  <si>
    <t>001625</t>
  </si>
  <si>
    <t>CORANGUEZ MENCHACA HILDA</t>
  </si>
  <si>
    <t>cuitlahuac_2008@hotmail.com</t>
  </si>
  <si>
    <t>EMPLEADO DEL SECTOR PÚBLICO</t>
  </si>
  <si>
    <t>GUSTAVO TINOCO ESTRADA</t>
  </si>
  <si>
    <t>7221395058</t>
  </si>
  <si>
    <t>ASHLEY TINOCO CORANGUEZ</t>
  </si>
  <si>
    <t>7261173471</t>
  </si>
  <si>
    <t>FELICITAS CORANGUEZ MENCHACA</t>
  </si>
  <si>
    <t>7292850674</t>
  </si>
  <si>
    <t>AV FRAY GREGORIO JIMENEZ #161-SN</t>
  </si>
  <si>
    <t>https://www.google.com/maps/pl</t>
  </si>
  <si>
    <t>100162501</t>
  </si>
  <si>
    <t>001464</t>
  </si>
  <si>
    <t>ALVARADO GONZALEZ TANIA ALEXIA</t>
  </si>
  <si>
    <t>tanis77@gmail.com</t>
  </si>
  <si>
    <t>ANSELMO REYES BENJAMIN</t>
  </si>
  <si>
    <t>7202840539.0</t>
  </si>
  <si>
    <t>BENJAMIN ANSELMO REYES</t>
  </si>
  <si>
    <t>7202842005</t>
  </si>
  <si>
    <t>JORDI JESUS REYES GONZALEZ</t>
  </si>
  <si>
    <t>7227988049</t>
  </si>
  <si>
    <t>ARTURO GONZALEZ RUIZ</t>
  </si>
  <si>
    <t>7225543417</t>
  </si>
  <si>
    <t>FLOR DE HORTENCIA CASA  #4-SN</t>
  </si>
  <si>
    <t>100146402</t>
  </si>
  <si>
    <t>001415</t>
  </si>
  <si>
    <t>LOZA REYES SAIRA</t>
  </si>
  <si>
    <t>7292421666</t>
  </si>
  <si>
    <t>AUTOTRANSPORTE DE CARGA DE PRODUCTOS ESPECIFICOS</t>
  </si>
  <si>
    <t>ARTURO ALEJANDRO FLORES LOZA</t>
  </si>
  <si>
    <t>7225667692</t>
  </si>
  <si>
    <t>MAYTE LOZA REYES</t>
  </si>
  <si>
    <t>7222331351</t>
  </si>
  <si>
    <t>ITZEL DE JESUS ESTANISLAO</t>
  </si>
  <si>
    <t>7291219239</t>
  </si>
  <si>
    <t>CDA MELCHOR OCAMPO  #SN -SN</t>
  </si>
  <si>
    <t>19°11'34.7"N 100°08'08.5"W</t>
  </si>
  <si>
    <t>100141501</t>
  </si>
  <si>
    <t>003653</t>
  </si>
  <si>
    <t>JARAMILLO MONTES DE OCA MARIA SOLEDAD</t>
  </si>
  <si>
    <t>mariasoledadjaramillomontesdeoca@gmail.com</t>
  </si>
  <si>
    <t>ELIZAIS PEÑA JAVIER</t>
  </si>
  <si>
    <t>7228369380.0</t>
  </si>
  <si>
    <t>JAVIER ELIZAIS PEÑA</t>
  </si>
  <si>
    <t>7228369380</t>
  </si>
  <si>
    <t>MAGDALENA JARAMILLO MONTES DE OCA</t>
  </si>
  <si>
    <t>7223144172</t>
  </si>
  <si>
    <t>GLORIA JARAMILLO MONTES DE OCA</t>
  </si>
  <si>
    <t>7221004579</t>
  </si>
  <si>
    <t>CARRETERA  ARCO COLORINES #86</t>
  </si>
  <si>
    <t>19°13'26.8"N 100°08'58.9"W</t>
  </si>
  <si>
    <t>100365301</t>
  </si>
  <si>
    <t>001505</t>
  </si>
  <si>
    <t>MILLAN FUENTES CARMEN GABRIELA</t>
  </si>
  <si>
    <t>Gabymf24@hotmail.com</t>
  </si>
  <si>
    <t>SERVICIOS EN MERENDEROS CENADURIAS Y PREPARACION DE ANTOJITOS Y PLATILLOS REGIONALES</t>
  </si>
  <si>
    <t>ALONSO DAVID MILLAN FUENTES</t>
  </si>
  <si>
    <t>7225603679</t>
  </si>
  <si>
    <t>ANA KAREN MILLAN PEDROZA</t>
  </si>
  <si>
    <t>7226747726</t>
  </si>
  <si>
    <t>PATRICIA PEDROZA RUBI</t>
  </si>
  <si>
    <t>7223771417</t>
  </si>
  <si>
    <t>OVIEDO #27-SN</t>
  </si>
  <si>
    <t>18°57'49.6"N 99°38'23.8"W</t>
  </si>
  <si>
    <t>100150501</t>
  </si>
  <si>
    <t>001575</t>
  </si>
  <si>
    <t>FERNANDEZ GUADARRAMA ANGEL ANDRES</t>
  </si>
  <si>
    <t>andresfg966@gmail.com</t>
  </si>
  <si>
    <t>FABRICACION DE OTROS ARTICULOS DE CARTON</t>
  </si>
  <si>
    <t>MARIA AHYLIN FERNANDEZ GUADARRAMA</t>
  </si>
  <si>
    <t>7218890468</t>
  </si>
  <si>
    <t>MA DE LOS ANGELES GUADARRAMA MACEDO</t>
  </si>
  <si>
    <t>7223403878</t>
  </si>
  <si>
    <t>KAREN ABIGAIL FERNANDEZ GUADARRAMA</t>
  </si>
  <si>
    <t>7225656410</t>
  </si>
  <si>
    <t>HIDALGO #DPTO 3-SN</t>
  </si>
  <si>
    <t>18°57'44.4"N 99°38'20.1"W</t>
  </si>
  <si>
    <t>100157501</t>
  </si>
  <si>
    <t>001618</t>
  </si>
  <si>
    <t>RAMIREZ CORONA MARIA ISABEL</t>
  </si>
  <si>
    <t>mariad34jz@gmail.com</t>
  </si>
  <si>
    <t>MARIEL YESENIA RAMIREZ RAMIREZ</t>
  </si>
  <si>
    <t>7298173665</t>
  </si>
  <si>
    <t>MARTHA PATRICIA RAMIREZ CORONA</t>
  </si>
  <si>
    <t>7226259496</t>
  </si>
  <si>
    <t>LUIS ALBERTO CEDILLO LOPEZ</t>
  </si>
  <si>
    <t>7295214120</t>
  </si>
  <si>
    <t>CAM EL AHUEHUETE #SN</t>
  </si>
  <si>
    <t>18°58'30.2"N 99°34'28.7"W</t>
  </si>
  <si>
    <t>100161801</t>
  </si>
  <si>
    <t>001315</t>
  </si>
  <si>
    <t>BRAVO GARCIA DULA</t>
  </si>
  <si>
    <t>garcialolis28@yahoo.com</t>
  </si>
  <si>
    <t>BARBARA GONZALEZ FLORES</t>
  </si>
  <si>
    <t>7225111421</t>
  </si>
  <si>
    <t>MARTHA JULIA GARCIA</t>
  </si>
  <si>
    <t>6642864687</t>
  </si>
  <si>
    <t>LUIS ANTONIO ALBARRAN</t>
  </si>
  <si>
    <t>7223438870</t>
  </si>
  <si>
    <t>CARR PRINCIPAL #SN</t>
  </si>
  <si>
    <t>La Finca</t>
  </si>
  <si>
    <t>18°53'42.6"N 99°38'30.2"W</t>
  </si>
  <si>
    <t>100131502</t>
  </si>
  <si>
    <t>001546</t>
  </si>
  <si>
    <t>ROJAS BLANCAS MARIBEL</t>
  </si>
  <si>
    <t>maribelrojasblancas@gmail.com</t>
  </si>
  <si>
    <t>FABRICACION DE OTROS PRODUCTOS ALIMENTICIOS</t>
  </si>
  <si>
    <t>NOEMI ROGEL AMADO</t>
  </si>
  <si>
    <t>7294714076</t>
  </si>
  <si>
    <t>FATIMA ROGEL AMARO</t>
  </si>
  <si>
    <t>7224598383</t>
  </si>
  <si>
    <t>DANIEL BENUMEA ROJAS</t>
  </si>
  <si>
    <t>7293691929</t>
  </si>
  <si>
    <t>ITURBIDE #SN</t>
  </si>
  <si>
    <t>Santiago Oxtotitlán</t>
  </si>
  <si>
    <t>18°57'55.2"N 99°40'06.0"W</t>
  </si>
  <si>
    <t>100154601</t>
  </si>
  <si>
    <t>001533</t>
  </si>
  <si>
    <t>FLORES GONZALEZ ALEJANDRA</t>
  </si>
  <si>
    <t>floresgonzalezalejandra191@gmail.com</t>
  </si>
  <si>
    <t>IGLESIAS GARDUÑO ELEUTERIO</t>
  </si>
  <si>
    <t>ROSA ALEJANDRA NOVOA  BERNAL</t>
  </si>
  <si>
    <t>7228384817</t>
  </si>
  <si>
    <t>DANNA ELIUD PATIÑO ALVAREZ</t>
  </si>
  <si>
    <t>7226066011</t>
  </si>
  <si>
    <t>JAIME SALDAÑA FLORES</t>
  </si>
  <si>
    <t>7299935628</t>
  </si>
  <si>
    <t>LA FINCA  #6-SN</t>
  </si>
  <si>
    <t>18°53'57.7"N 99°38'28.3"W</t>
  </si>
  <si>
    <t>100153301</t>
  </si>
  <si>
    <t>001203</t>
  </si>
  <si>
    <t>ORTEGA HERNANDEZ LUCIA</t>
  </si>
  <si>
    <t>creaciones_lucy@outlook.es</t>
  </si>
  <si>
    <t>MEDINA GARCIA ALFREDO</t>
  </si>
  <si>
    <t>FAVIOLA MEDINA GARCIA</t>
  </si>
  <si>
    <t>7226064942</t>
  </si>
  <si>
    <t>CONCEPCION GONZALEZ GARCIA</t>
  </si>
  <si>
    <t>7228847112</t>
  </si>
  <si>
    <t>RAFAEL GUTIERREZ GARCIA</t>
  </si>
  <si>
    <t>7225469589</t>
  </si>
  <si>
    <t>FACTURA EXPEDIDA  MONARQUIA AUTOMOTRIZ, S.A. DE C.V., Valor 88,213.00, Nombre AUTOMOVIL BORA SPORT TIPTRONIC., Folio Factura A13919, Fecha Factura 22/07/2009, Número de serie 3VWRG11K49M151813, Número de motor CCC055621, Modelo 2009, Marca VOLKSWAGEN, Propietario ORTEGA HERNANDEZ ERIKA GABRIELA</t>
  </si>
  <si>
    <t>AUTOMOVIL BORA SPORT TIPTRONIC.</t>
  </si>
  <si>
    <t>ENTRADA EL ESCOBAL #SN</t>
  </si>
  <si>
    <t>Pueblo San Mateo Acatitlán</t>
  </si>
  <si>
    <t>100120301</t>
  </si>
  <si>
    <t>001621</t>
  </si>
  <si>
    <t>GALINDO GUARDIAN PEDRO</t>
  </si>
  <si>
    <t>hernandezfelicitas807@gmail.com</t>
  </si>
  <si>
    <t>CONSTRUCCION DE INMUEBLES</t>
  </si>
  <si>
    <t>HERNANDEZ FLORES FELICITAS</t>
  </si>
  <si>
    <t>JORGE BLANQUEL VASQUEZ</t>
  </si>
  <si>
    <t>7206865754</t>
  </si>
  <si>
    <t>MAGALI GALINDO HERNANDEZ</t>
  </si>
  <si>
    <t>7296413122</t>
  </si>
  <si>
    <t>ERIBERTO SEGURA</t>
  </si>
  <si>
    <t>7226821725</t>
  </si>
  <si>
    <t>15 DE SEPTIEMBRE #SN</t>
  </si>
  <si>
    <t>Pueblo Nuevo</t>
  </si>
  <si>
    <t>18°56'45.0"N 99°34'58.1"W</t>
  </si>
  <si>
    <t>100162101</t>
  </si>
  <si>
    <t>001188</t>
  </si>
  <si>
    <t>AGUILAR BARCENAS ANTONIO</t>
  </si>
  <si>
    <t>antonioaguilar4064@gmail.com</t>
  </si>
  <si>
    <t>TALLER DE REPARACION GENERAL DE AUTOMOVILES Y CAMIONES</t>
  </si>
  <si>
    <t>JONATHAN GARDUNO ROJAS</t>
  </si>
  <si>
    <t>7223671877</t>
  </si>
  <si>
    <t>ROGELIO VELAZQUEZ ANDRES</t>
  </si>
  <si>
    <t>7222036212</t>
  </si>
  <si>
    <t>JAIRO RODRIGO GUADARRAMAMERCAD</t>
  </si>
  <si>
    <t>7294898930</t>
  </si>
  <si>
    <t>FACTURA EXPEDIDA POR AUTOMOTRIZ CUERNAVACA NORTE S.A DE C.V, , Valor 17,359.00, Nombre VEHICULO JETTA GL, Folio Factura 7381, Fecha Factura 11/07/1992, Número de serie 3VWRA21G6NM054108, Número de motor RV116090, Modelo 1992, Marca VOLKSWAGEN, Propietario AGUILAR BARCENAS ANTONIO</t>
  </si>
  <si>
    <t>VEHICULO JETTA GL</t>
  </si>
  <si>
    <t>Quirografaria</t>
  </si>
  <si>
    <t>CONTRATO DE COMPRAVENTA DE UNA FRACCION DEL INMUEBLE CON UNA SUPERFICIE DE 190.40 M2_x000D_
_x000D_
MEDIDAS Y COLINDANCIAS_x000D_
NORTE 21.80 M CON JUAN VARGAS_x000D_
SUR 20.40 M CON ARNULFO TAPIA_x000D_
ORIENTE 8.40 M CON JUAN VARGAS_x000D_
PONIENTE 10.00 M CON CAMINO A RINCON DE ESTRADAS</t>
  </si>
  <si>
    <t>CONTRATO DE COMPRAVENTA</t>
  </si>
  <si>
    <t>ALFAREROS #5-SN</t>
  </si>
  <si>
    <t>100118801</t>
  </si>
  <si>
    <t>001238</t>
  </si>
  <si>
    <t>LINO VIDAL ONOFRE</t>
  </si>
  <si>
    <t>linoonofre1030@gmail.com</t>
  </si>
  <si>
    <t>ALEJANDRO MARTINEZ ESTELA</t>
  </si>
  <si>
    <t>5573851826.0</t>
  </si>
  <si>
    <t>RAFAEL DE PAZ REYES</t>
  </si>
  <si>
    <t>7226600640</t>
  </si>
  <si>
    <t>CORNELIO LOPEZ CONTRERAS</t>
  </si>
  <si>
    <t>7121463525</t>
  </si>
  <si>
    <t>ARMANDO CARDOSO ZANCHEZ</t>
  </si>
  <si>
    <t>FACTURA EXPEDIDA POR AUTOS COMPACTOS DE ZITACUARO, S.A. DE C.V., Valor 32,217.00, Nombre TSURU GSI STD, Folio Factura 02671, Fecha Factura 10/03/2000, Número de serie 3N1EB31S0YK227035, Número de motor GA16797559R, Modelo 2000, Marca NISSAN , Propietario LINO VIDAL ONOFRE</t>
  </si>
  <si>
    <t>TSURU GSI STD</t>
  </si>
  <si>
    <t>CARRET EL ARCO  #SN</t>
  </si>
  <si>
    <t>100123801</t>
  </si>
  <si>
    <t>001258</t>
  </si>
  <si>
    <t>JIMENEZ BLANCO JULIANA</t>
  </si>
  <si>
    <t>soterojim12@gmail.com</t>
  </si>
  <si>
    <t>COMPRAVENTA DE FRUTAS</t>
  </si>
  <si>
    <t>SOTERO LUIS MACARIO</t>
  </si>
  <si>
    <t>5526795882.0</t>
  </si>
  <si>
    <t>7225338917</t>
  </si>
  <si>
    <t>SAN MATEO AMANALCO  #SN</t>
  </si>
  <si>
    <t>001418</t>
  </si>
  <si>
    <t>ALVARADO NORBERTO ELENA NATALIA</t>
  </si>
  <si>
    <t>enataalvarado@gmail.com</t>
  </si>
  <si>
    <t>VELAZQUEZ LOPEZ HECTOR</t>
  </si>
  <si>
    <t>7224684947.0</t>
  </si>
  <si>
    <t>BERENICE JIMENEZ SANCHEZ</t>
  </si>
  <si>
    <t>7223587737</t>
  </si>
  <si>
    <t>GUADALUPE SALINAS SALAZAR</t>
  </si>
  <si>
    <t>7155934207</t>
  </si>
  <si>
    <t>JUAN MANUEL SANCHEZ</t>
  </si>
  <si>
    <t>7223568720</t>
  </si>
  <si>
    <t>VEGA DEL VALLE  #2311-SN</t>
  </si>
  <si>
    <t>19°09'28.1"N 100°08'20.0"W</t>
  </si>
  <si>
    <t>100141801</t>
  </si>
  <si>
    <t>001480</t>
  </si>
  <si>
    <t>GONZALEZ GARCIA ANDREA</t>
  </si>
  <si>
    <t>mizaellopez75@gmail.com</t>
  </si>
  <si>
    <t>LOPEZ HUEQUIS MISAEL</t>
  </si>
  <si>
    <t>7228502289.0</t>
  </si>
  <si>
    <t>MIZAEL LOPEZ</t>
  </si>
  <si>
    <t>7222514868</t>
  </si>
  <si>
    <t>CONCEPCION GARCIA</t>
  </si>
  <si>
    <t>7221198844</t>
  </si>
  <si>
    <t>IRVIN LOPEZ</t>
  </si>
  <si>
    <t>5660373048</t>
  </si>
  <si>
    <t>CDA  BENITO JUAREZ #SN -SN</t>
  </si>
  <si>
    <t>El Calvario</t>
  </si>
  <si>
    <t>100148001</t>
  </si>
  <si>
    <t>001551</t>
  </si>
  <si>
    <t>MEJIA GARDUÑO ROBERTO</t>
  </si>
  <si>
    <t>mg576493@gmail.com</t>
  </si>
  <si>
    <t>GARCIA MARTINEZ MARIA DE LOURDES</t>
  </si>
  <si>
    <t>7223750697.0</t>
  </si>
  <si>
    <t>LOURDES MARTINEZ GARCIA</t>
  </si>
  <si>
    <t>7226554810</t>
  </si>
  <si>
    <t>MARIA MARCELA GARDUÑO GARCIA</t>
  </si>
  <si>
    <t>7226814650</t>
  </si>
  <si>
    <t>YAZMIN REYES MARTINEZ</t>
  </si>
  <si>
    <t>7226221266</t>
  </si>
  <si>
    <t>AVENIDA JUAREZ  #SN</t>
  </si>
  <si>
    <t>19°11'59.3"N 100°07'55.7"W</t>
  </si>
  <si>
    <t>100155101</t>
  </si>
  <si>
    <t>San Bartolo cu</t>
  </si>
  <si>
    <t>001335</t>
  </si>
  <si>
    <t>LOPEZ RODRIGUEZ ERNESTO ANGEL</t>
  </si>
  <si>
    <t>ernestolopezrodriguez@gmail.com</t>
  </si>
  <si>
    <t>TALLER DE PLOMERIA</t>
  </si>
  <si>
    <t>ESTEBAN REYES GONZALEZ</t>
  </si>
  <si>
    <t>7361117698</t>
  </si>
  <si>
    <t>ALVARO CHIMAL CANO</t>
  </si>
  <si>
    <t>5579318315</t>
  </si>
  <si>
    <t>ROBERTO LOPEZ GOMEZ</t>
  </si>
  <si>
    <t>7121769075</t>
  </si>
  <si>
    <t>VILLA FLORENCIA  #SN</t>
  </si>
  <si>
    <t>100133501</t>
  </si>
  <si>
    <t>001350</t>
  </si>
  <si>
    <t>CRUZ GONZALEZ ROSA ISELA</t>
  </si>
  <si>
    <t>rosaiselacruzgonzalez5@gmail.com</t>
  </si>
  <si>
    <t>MAYTE OSMIN HIDALGO CABRERA</t>
  </si>
  <si>
    <t>7226923807</t>
  </si>
  <si>
    <t>MARICARMEN HIDALGO</t>
  </si>
  <si>
    <t>7141104726</t>
  </si>
  <si>
    <t>OSVALDO CAMPOS MONDRAGON</t>
  </si>
  <si>
    <t>7228281831</t>
  </si>
  <si>
    <t>CAM MALINALCO #SN</t>
  </si>
  <si>
    <t>100135002</t>
  </si>
  <si>
    <t>001747</t>
  </si>
  <si>
    <t>ESTRADA GUADARRAMA ADAN</t>
  </si>
  <si>
    <t>estradaguadarramaadan@gmail.com</t>
  </si>
  <si>
    <t>AYALA LUGO MARIBEL</t>
  </si>
  <si>
    <t>JOSUE ESTRADA AYALA</t>
  </si>
  <si>
    <t>7225740332</t>
  </si>
  <si>
    <t>ADAN JESUS ESTRADA AYALA</t>
  </si>
  <si>
    <t>7226422996</t>
  </si>
  <si>
    <t>MARIA YURITZI ESTRADA AYALA</t>
  </si>
  <si>
    <t>27292944394</t>
  </si>
  <si>
    <t>EL MANANTIAL #SN</t>
  </si>
  <si>
    <t>Jesús Carranza</t>
  </si>
  <si>
    <t>18°56'45.7"N 99°37'43.5"W</t>
  </si>
  <si>
    <t>100174701</t>
  </si>
  <si>
    <t>001343</t>
  </si>
  <si>
    <t>VENANCIO SANCHEZ JUAN ALBERTO</t>
  </si>
  <si>
    <t>benjaminvenancio45@gmail.com</t>
  </si>
  <si>
    <t>VANESA AYALA CRUZ</t>
  </si>
  <si>
    <t>7225957128</t>
  </si>
  <si>
    <t>7227964327</t>
  </si>
  <si>
    <t>TEODORA TAPIA SANCHEZ</t>
  </si>
  <si>
    <t>7225593677</t>
  </si>
  <si>
    <t>MATAMOROS SN #SN</t>
  </si>
  <si>
    <t>Zacango</t>
  </si>
  <si>
    <t>100134301</t>
  </si>
  <si>
    <t>001319</t>
  </si>
  <si>
    <t>FERNANDEZ GUADARRAMA YOSELIN ANDREA</t>
  </si>
  <si>
    <t>yoshandi1219@gmail.com</t>
  </si>
  <si>
    <t>BENITO JUAREZ  #SN</t>
  </si>
  <si>
    <t>El Salitre</t>
  </si>
  <si>
    <t>001759</t>
  </si>
  <si>
    <t>ARIAS GUADARRAMA SUSANA</t>
  </si>
  <si>
    <t>susanaarias1212@gmail.com</t>
  </si>
  <si>
    <t>NEGOCIOS RELACIONADOS CON INTERNET (U.I.F)</t>
  </si>
  <si>
    <t>MANCILLA ESTRADA DAVID</t>
  </si>
  <si>
    <t>DAVID MANCILLA ESTRADA</t>
  </si>
  <si>
    <t>7294023533</t>
  </si>
  <si>
    <t>DAVID NOE MANCILLA ARIAS</t>
  </si>
  <si>
    <t>7294023412</t>
  </si>
  <si>
    <t>ANDRES DE JESUS MANCILLA ARIAS</t>
  </si>
  <si>
    <t>7228650495</t>
  </si>
  <si>
    <t>SAN LUCAS #SN</t>
  </si>
  <si>
    <t>18°58'28.3"N 99°39'29.6"W</t>
  </si>
  <si>
    <t>100175901</t>
  </si>
  <si>
    <t>001320</t>
  </si>
  <si>
    <t>PEREZ RODRIGUEZ BELLA NEY</t>
  </si>
  <si>
    <t>bp8404794@gmail.com</t>
  </si>
  <si>
    <t>BLANCA JIMENEZ</t>
  </si>
  <si>
    <t>7297287117</t>
  </si>
  <si>
    <t>ROSA ISELA COSME</t>
  </si>
  <si>
    <t>7227860138</t>
  </si>
  <si>
    <t>SERGIO ORIHUELA</t>
  </si>
  <si>
    <t>7204330413</t>
  </si>
  <si>
    <t>CARRETERA MALINALCO-CHALMA #SN</t>
  </si>
  <si>
    <t>Santa María</t>
  </si>
  <si>
    <t>100132002</t>
  </si>
  <si>
    <t>001445</t>
  </si>
  <si>
    <t>CARMONA LOPEZ GUADALUPE BEATRIZ</t>
  </si>
  <si>
    <t>lopecabe@gmail.com</t>
  </si>
  <si>
    <t>SOFIA CARMONA</t>
  </si>
  <si>
    <t>7223730234</t>
  </si>
  <si>
    <t>ESTEBAN CARMONA</t>
  </si>
  <si>
    <t>7293827075</t>
  </si>
  <si>
    <t>JUNIOR ESTEBAN</t>
  </si>
  <si>
    <t>7297775671</t>
  </si>
  <si>
    <t>MORELOS  #109</t>
  </si>
  <si>
    <t>18°55'49.4"N 99°26'07.3"W</t>
  </si>
  <si>
    <t>100144502</t>
  </si>
  <si>
    <t>001649</t>
  </si>
  <si>
    <t>QUIÑONES MEJIA JUAN ANTONIO</t>
  </si>
  <si>
    <t>blanquito@outlook.com</t>
  </si>
  <si>
    <t>SERVICIOS DE ENSEÑANZA DE MUSICA DANZA Y OTRAS ARTES CULTURA FISICA MANEJO DE VEHICULOS Y OTROS ESPECIALIZADOS</t>
  </si>
  <si>
    <t>DOMINGUEZ SERRANO ANGELICA</t>
  </si>
  <si>
    <t>VANCO QUIÑONES MEJIA</t>
  </si>
  <si>
    <t>7228804276</t>
  </si>
  <si>
    <t>ODETH SEGURA GALLEGOS</t>
  </si>
  <si>
    <t>7223751475</t>
  </si>
  <si>
    <t>ONDINA SEGURA GALLEGOS</t>
  </si>
  <si>
    <t>7222848358</t>
  </si>
  <si>
    <t>CJON DEL MUERTO #SN</t>
  </si>
  <si>
    <t>Del Calvario</t>
  </si>
  <si>
    <t>18°57'57.5"N 99°35'41.4"W</t>
  </si>
  <si>
    <t>100164901</t>
  </si>
  <si>
    <t>001680</t>
  </si>
  <si>
    <t>TOLENTINO GUADARRAMA RICARDO</t>
  </si>
  <si>
    <t>ricardotolentino932@gmail.com</t>
  </si>
  <si>
    <t>FIZ SOLORZANO MARIA FERNANDA</t>
  </si>
  <si>
    <t>ANA MARIA SANDOVAL TREVIÑO</t>
  </si>
  <si>
    <t>7224094282</t>
  </si>
  <si>
    <t>MARIA ZAMORA GUADARRAMA</t>
  </si>
  <si>
    <t>7227963156</t>
  </si>
  <si>
    <t>MARIA FIZ SOLORZANO</t>
  </si>
  <si>
    <t>7298726548</t>
  </si>
  <si>
    <t>LIBERTAD NORTE #SN</t>
  </si>
  <si>
    <t>San Mateo Coapexco</t>
  </si>
  <si>
    <t>18°58'17.6"N 99°41'06.2"W</t>
  </si>
  <si>
    <t>100168001</t>
  </si>
  <si>
    <t>001756</t>
  </si>
  <si>
    <t>CASTAÑEDA MENDOZA NORMA LORENA</t>
  </si>
  <si>
    <t>normalore1502@gmail.com</t>
  </si>
  <si>
    <t>HERNANDEZ FLORES GABRIEL</t>
  </si>
  <si>
    <t>CARMEN ARELLANO ORTIZ</t>
  </si>
  <si>
    <t>7226184702</t>
  </si>
  <si>
    <t>IRIANA GUADALUPE LEGUIZAMO</t>
  </si>
  <si>
    <t>7225113931</t>
  </si>
  <si>
    <t>SUSANA DEL CARMEN VASQUEZ</t>
  </si>
  <si>
    <t>7261738458</t>
  </si>
  <si>
    <t>ALLENDE  #117-SN</t>
  </si>
  <si>
    <t>Acatzingo</t>
  </si>
  <si>
    <t>18°57'23.4"N 99°35'41.6"W</t>
  </si>
  <si>
    <t>100175601</t>
  </si>
  <si>
    <t>001770</t>
  </si>
  <si>
    <t>ARROYO MORENO MARIA ALEJANDRA</t>
  </si>
  <si>
    <t>mariaalejandra75@gmail.com</t>
  </si>
  <si>
    <t>MARTINEZ MARTINEZ TIRSO</t>
  </si>
  <si>
    <t>JOSE MARIA MARTINEZ</t>
  </si>
  <si>
    <t>7201364638</t>
  </si>
  <si>
    <t>ADRIANA SALOME MARTINEZ</t>
  </si>
  <si>
    <t>7223127351</t>
  </si>
  <si>
    <t>ERIK BRAYAN PADILLA MARTINEZ</t>
  </si>
  <si>
    <t>7225320264</t>
  </si>
  <si>
    <t>VENUSTIANO C #SN</t>
  </si>
  <si>
    <t>Tepetzingo</t>
  </si>
  <si>
    <t>18°56'22.2"N 99°36'53.8"W</t>
  </si>
  <si>
    <t>100177001</t>
  </si>
  <si>
    <t>001055</t>
  </si>
  <si>
    <t>HUERTAS ALARCON ROMAN</t>
  </si>
  <si>
    <t>romanhuertas520@gmail.com</t>
  </si>
  <si>
    <t>CULTIVO DE MAIZ</t>
  </si>
  <si>
    <t>ARELLANO SANTOS LUZ MARIA</t>
  </si>
  <si>
    <t>LUZ MARIA ARELLANO SANCHEZ</t>
  </si>
  <si>
    <t>7226718927</t>
  </si>
  <si>
    <t>VANESA HUERTAS ARELLANO</t>
  </si>
  <si>
    <t>7131194517</t>
  </si>
  <si>
    <t>MIGUEL GUERRERO GARCIA</t>
  </si>
  <si>
    <t>7223953758</t>
  </si>
  <si>
    <t xml:space="preserve"> ZARAGOZA #7-SN</t>
  </si>
  <si>
    <t>San Miguel de Ocampo</t>
  </si>
  <si>
    <t>Joquicingo</t>
  </si>
  <si>
    <t>19°05'59.9"N 99°31'45.3"W</t>
  </si>
  <si>
    <t>100105502</t>
  </si>
  <si>
    <t>001393</t>
  </si>
  <si>
    <t>SANCHEZ RODRIGUEZ BELEN</t>
  </si>
  <si>
    <t>belsanrod3081@gmail.com</t>
  </si>
  <si>
    <t>FABRICACION DE CERRADURAS</t>
  </si>
  <si>
    <t>GONZALEZ GOMEZ VIANEY</t>
  </si>
  <si>
    <t>JOSE DE JESUS GONZALEZ SANCHEZ</t>
  </si>
  <si>
    <t>7228435817</t>
  </si>
  <si>
    <t>HUMBERTO EMMANUEL SANCHEZ RODRIGUEZ</t>
  </si>
  <si>
    <t>7223740919</t>
  </si>
  <si>
    <t>JUAN ALBERTO ARIZMENDI VAZQUEZ</t>
  </si>
  <si>
    <t>7218890607</t>
  </si>
  <si>
    <t>ZARAGOZA #32-SN</t>
  </si>
  <si>
    <t>18°50'30.4"N 99°40'38.7"W</t>
  </si>
  <si>
    <t>100139301</t>
  </si>
  <si>
    <t>001281</t>
  </si>
  <si>
    <t>ROMERO CASTRO VERONICA</t>
  </si>
  <si>
    <t>jr4320376@gmail.com</t>
  </si>
  <si>
    <t>LIZBETH DAVILA ESQUIVEL</t>
  </si>
  <si>
    <t>7228090869</t>
  </si>
  <si>
    <t>JORGE DANIEL FRANCO CASTRO</t>
  </si>
  <si>
    <t>7226611440</t>
  </si>
  <si>
    <t>ROSALVA REYES BECERRIL</t>
  </si>
  <si>
    <t>7224127300</t>
  </si>
  <si>
    <t>INDEPENDENCIA #SN</t>
  </si>
  <si>
    <t>San José Tenería</t>
  </si>
  <si>
    <t>100128102</t>
  </si>
  <si>
    <t>001311</t>
  </si>
  <si>
    <t>000050</t>
  </si>
  <si>
    <t>Camacho Gonzalez Jorge</t>
  </si>
  <si>
    <t>MILLAN MILLAN GIOVANNI</t>
  </si>
  <si>
    <t>citlallimillan23@gmail.com</t>
  </si>
  <si>
    <t>ANASTACIO MILLAN</t>
  </si>
  <si>
    <t>7297312371</t>
  </si>
  <si>
    <t>CIRILO JIMENEZ MILLAN</t>
  </si>
  <si>
    <t>7226645108</t>
  </si>
  <si>
    <t>JANETH VAZQUEZ FLORES</t>
  </si>
  <si>
    <t>7296621526</t>
  </si>
  <si>
    <t>CUAHUTEMOC #SN</t>
  </si>
  <si>
    <t>San Martín Coapaxtongo</t>
  </si>
  <si>
    <t>100131102</t>
  </si>
  <si>
    <t>001124</t>
  </si>
  <si>
    <t>03</t>
  </si>
  <si>
    <t>MONROY NEGRETE SANDRA</t>
  </si>
  <si>
    <t>rolandodavila@hotmail.com</t>
  </si>
  <si>
    <t>AMA DE CASA</t>
  </si>
  <si>
    <t>MARU CASTILLO VARGAS</t>
  </si>
  <si>
    <t>7226981804</t>
  </si>
  <si>
    <t>JAQUELIN AGUSTIN AMBRIS</t>
  </si>
  <si>
    <t>7223699815</t>
  </si>
  <si>
    <t>JESUS JAVIER VARGAS CASTAÑEDA</t>
  </si>
  <si>
    <t>7221660937</t>
  </si>
  <si>
    <t>CONVENTO CASTILLA #MZ 2-LT 47 C</t>
  </si>
  <si>
    <t>San Blas Totoltepec</t>
  </si>
  <si>
    <t>100112403</t>
  </si>
  <si>
    <t>001083</t>
  </si>
  <si>
    <t>DAVILA MONROY ROLANDO</t>
  </si>
  <si>
    <t>goodcaroriginal2022@gmail.com</t>
  </si>
  <si>
    <t>COMPRAVENTA DE AUTOMOVILES Y CAMIONES NUEVOS</t>
  </si>
  <si>
    <t>AREZZO #12-SN</t>
  </si>
  <si>
    <t>100108303</t>
  </si>
  <si>
    <t>001582</t>
  </si>
  <si>
    <t>LOPEZ ORTEGA MIGUEL ANGEL</t>
  </si>
  <si>
    <t>miguelangellopez881@gmail.com</t>
  </si>
  <si>
    <t>MONDRAGON CARRILLO GLORIA</t>
  </si>
  <si>
    <t>4471513169</t>
  </si>
  <si>
    <t>441736466</t>
  </si>
  <si>
    <t>ZARAGOZA #4-B</t>
  </si>
  <si>
    <t>Tziritzícuaro (Nativitas) cu</t>
  </si>
  <si>
    <t>19°57'13.4"N 100°27'56.3"W</t>
  </si>
  <si>
    <t>100158201</t>
  </si>
  <si>
    <t>001601</t>
  </si>
  <si>
    <t>LUGO CORONEL JESUS ARMANDO</t>
  </si>
  <si>
    <t>lugocoronel232@gmail.com</t>
  </si>
  <si>
    <t>JORGE LUIS ANGEL ROJAS</t>
  </si>
  <si>
    <t>4471000028</t>
  </si>
  <si>
    <t>ANDRO PONCE GARCIA</t>
  </si>
  <si>
    <t>4471736366</t>
  </si>
  <si>
    <t>STHEPANIE LUGO CORONEL</t>
  </si>
  <si>
    <t>4471007314</t>
  </si>
  <si>
    <t>COMONFORT #11-SN</t>
  </si>
  <si>
    <t>Maravatío de Ocampo Centro</t>
  </si>
  <si>
    <t>19°53'24.0"N 100°26'39.2"W</t>
  </si>
  <si>
    <t>100160101</t>
  </si>
  <si>
    <t>001173</t>
  </si>
  <si>
    <t>PEREZ FRANCO JORGE DAVID</t>
  </si>
  <si>
    <t>Cachorrin-jd@hotmailcom</t>
  </si>
  <si>
    <t>FABRICACION DE BOLSAS Y CARTERAS DE CUERO</t>
  </si>
  <si>
    <t>BERTIN LOPEZ CRUZ</t>
  </si>
  <si>
    <t>4434407646</t>
  </si>
  <si>
    <t>CARLOS REYES</t>
  </si>
  <si>
    <t>7121074969</t>
  </si>
  <si>
    <t>CAROLINA VARGAS RIOS</t>
  </si>
  <si>
    <t>4471117243</t>
  </si>
  <si>
    <t>FACTURA EXPEDIDA POR RAVISA MOTORS, S.A. DE C.V., Valor 205,036.00, Nombre PICK UP LOBO LTR 4X2, Folio Factura A25249, Fecha Factura 29/08/2010, Número de serie 1FTFW1CV3AKB13968, Número de motor SIN NUMERO, Modelo 2010, Marca FORD, Propietario PEREZ FRANCO JORGE DAVID</t>
  </si>
  <si>
    <t>PICK UP LOBO LTR 4X2</t>
  </si>
  <si>
    <t>LEONA VICARIO  #1341-SN</t>
  </si>
  <si>
    <t>100117301</t>
  </si>
  <si>
    <t>001277</t>
  </si>
  <si>
    <t>FLORES CUANOS ALEJANDRO</t>
  </si>
  <si>
    <t>bkuanw04@hotmail.com</t>
  </si>
  <si>
    <t>LOPEZ GARCIA CONCEPCION</t>
  </si>
  <si>
    <t>4431747146.0</t>
  </si>
  <si>
    <t>JOSE GONZALEZ</t>
  </si>
  <si>
    <t>4472170440</t>
  </si>
  <si>
    <t>JUAN HERNANDEZ ASENCION</t>
  </si>
  <si>
    <t>4431991666</t>
  </si>
  <si>
    <t>GUSTAVO REYES RAMIREZ</t>
  </si>
  <si>
    <t>4471504053</t>
  </si>
  <si>
    <t>JACARANDAS #100-SN</t>
  </si>
  <si>
    <t>Vista Hermosa</t>
  </si>
  <si>
    <t>100127701</t>
  </si>
  <si>
    <t>001314</t>
  </si>
  <si>
    <t>CRUZ DURAN LORENA</t>
  </si>
  <si>
    <t>cruzduranlorena1@gmail.com</t>
  </si>
  <si>
    <t>COMPRAVENTA DE DESPERDICIOS DE PAPEL</t>
  </si>
  <si>
    <t>JOSE MAURICIO BASILIO</t>
  </si>
  <si>
    <t>4471505097</t>
  </si>
  <si>
    <t>VERONICA HEREDIA RAMIREZ</t>
  </si>
  <si>
    <t>4438933759</t>
  </si>
  <si>
    <t>ALEJANDRO GARCIA GONZALEZ</t>
  </si>
  <si>
    <t>5639585152</t>
  </si>
  <si>
    <t>LLUVIA #SN</t>
  </si>
  <si>
    <t>Zinapécuaro de Figueroa Centro</t>
  </si>
  <si>
    <t>Zinapecuaro</t>
  </si>
  <si>
    <t>100131401</t>
  </si>
  <si>
    <t>001307</t>
  </si>
  <si>
    <t>FUENTES ESPINOZA MARISOL</t>
  </si>
  <si>
    <t>marisolespinoza885@hotmail.com</t>
  </si>
  <si>
    <t>REZA PUEBLA ALFREDO</t>
  </si>
  <si>
    <t>DAVID FUENTES</t>
  </si>
  <si>
    <t>7223555681</t>
  </si>
  <si>
    <t>ANA MILLAN MILLAN</t>
  </si>
  <si>
    <t>7226110715</t>
  </si>
  <si>
    <t>LIZBETH ORTEGA</t>
  </si>
  <si>
    <t>7224054288</t>
  </si>
  <si>
    <t>RUMBO AL ARROYO #SN</t>
  </si>
  <si>
    <t>100130702</t>
  </si>
  <si>
    <t>002226</t>
  </si>
  <si>
    <t>GUADARRAMA ACACIO ALONDRA</t>
  </si>
  <si>
    <t>alonacacio@gmail.com</t>
  </si>
  <si>
    <t>YEIMI MARIELA MORALES</t>
  </si>
  <si>
    <t>7225575293</t>
  </si>
  <si>
    <t>TERESA DE JESUS ESTRADA</t>
  </si>
  <si>
    <t>7225036476</t>
  </si>
  <si>
    <t>MARIA EUGENIA GUADARRAMA</t>
  </si>
  <si>
    <t>PRL IGNACIO LOPEZ RAYON #3-SN</t>
  </si>
  <si>
    <t>18°57'33.3"N 99°38'20.9"W</t>
  </si>
  <si>
    <t>100222601</t>
  </si>
  <si>
    <t>001074</t>
  </si>
  <si>
    <t>HUITRON MORALES ISMAEL</t>
  </si>
  <si>
    <t>ihuitronm@gmail.com</t>
  </si>
  <si>
    <t>ATENAS #233 D-4</t>
  </si>
  <si>
    <t>Valle Dorado</t>
  </si>
  <si>
    <t>Tlalnepantla de Baz</t>
  </si>
  <si>
    <t>100107403</t>
  </si>
  <si>
    <t>003824</t>
  </si>
  <si>
    <t>RODRIGUEZ DU POND JORGE ANTONIO</t>
  </si>
  <si>
    <t>jorge.rodriguez@financieracrediflexi.com</t>
  </si>
  <si>
    <t>JESUS DEL MONTE #47 T A D-404</t>
  </si>
  <si>
    <t>100382402</t>
  </si>
  <si>
    <t>ARTEMISA DEL TORAL</t>
  </si>
  <si>
    <t>7224551026</t>
  </si>
  <si>
    <t>MIGUEL ANGEL SALDAÑA</t>
  </si>
  <si>
    <t>7227028812</t>
  </si>
  <si>
    <t>JAVIER VARGAS</t>
  </si>
  <si>
    <t>7221600931</t>
  </si>
  <si>
    <t>Puebla</t>
  </si>
  <si>
    <t>001073</t>
  </si>
  <si>
    <t>CAMPOS SANCHEZ VICTOR HUMBERTO</t>
  </si>
  <si>
    <t>vicam8@hotmail.com</t>
  </si>
  <si>
    <t>6 AND JARD 5 SUR #EDIF 12-C</t>
  </si>
  <si>
    <t>INFONAVIT Loma Bella</t>
  </si>
  <si>
    <t>100107301</t>
  </si>
  <si>
    <t>001686</t>
  </si>
  <si>
    <t>SANCHEZ PERALTA ESTHER</t>
  </si>
  <si>
    <t>esthersanchezperalta51@gmail.com</t>
  </si>
  <si>
    <t>MEJIA ARZALUZ VICTOR</t>
  </si>
  <si>
    <t>VICTOR MEJIA ARZALUZ</t>
  </si>
  <si>
    <t>7203347006</t>
  </si>
  <si>
    <t>ROSALBA SANCHEZ PERALTA</t>
  </si>
  <si>
    <t>5512138858</t>
  </si>
  <si>
    <t>7221474286</t>
  </si>
  <si>
    <t>PRIV DE LA CRUZ #3-SN</t>
  </si>
  <si>
    <t>San Felipe Tlalmimilolpan</t>
  </si>
  <si>
    <t>19°14'07.5"N 99°38'57.9"W</t>
  </si>
  <si>
    <t>001196</t>
  </si>
  <si>
    <t>MANJARREZ AGUIRRE PATRICIA</t>
  </si>
  <si>
    <t>gm8927694@gmail.com</t>
  </si>
  <si>
    <t>ZAMORA MARTINEZ GREGORIO</t>
  </si>
  <si>
    <t>EFRAIN CHAVEZ REGULES</t>
  </si>
  <si>
    <t>7221374276</t>
  </si>
  <si>
    <t>JULIETA PORCAYO VILLAREAL</t>
  </si>
  <si>
    <t>7292316842</t>
  </si>
  <si>
    <t>MARCO MARTINEZ SANCHEZ</t>
  </si>
  <si>
    <t>4271680267</t>
  </si>
  <si>
    <t>FACTURA EXPEDIDA POR AUTOMOTRIZ LERMA S.A DE C.V, , Valor 192,857.00, Nombre AUTOMOVIL SAVEIRO ROBUST, Folio Factura FEAL00021514, Fecha Factura 23/05/2023, Número de serie 9BWKB45U5PP046145, Número de motor CFZ56079, Modelo 2023, Marca VOLKSWAGEN, Propietario MARTINEZ ZAMORA GREGORIO</t>
  </si>
  <si>
    <t>AUTOMOVIL SAVEIRO ROBUST</t>
  </si>
  <si>
    <t>16 DE SEPTIEMBRE #106</t>
  </si>
  <si>
    <t>San Mateo Atenco</t>
  </si>
  <si>
    <t>100119602</t>
  </si>
  <si>
    <t>003040</t>
  </si>
  <si>
    <t>LEONARDO CASTAÑON MAXIMILIANO</t>
  </si>
  <si>
    <t>max101959@hotmail.com</t>
  </si>
  <si>
    <t>AV LAS FUENTES #648-SN</t>
  </si>
  <si>
    <t>Jardines del Pedregal</t>
  </si>
  <si>
    <t>Ciudad de México</t>
  </si>
  <si>
    <t>Alvaro Obregon</t>
  </si>
  <si>
    <t>100304001</t>
  </si>
  <si>
    <t>001265</t>
  </si>
  <si>
    <t>ALANIS GARCIA PAULO CESAR</t>
  </si>
  <si>
    <t>cesarp88@gmail.com</t>
  </si>
  <si>
    <t>VULCANIZACION DE LLANTAS Y CAMARAS</t>
  </si>
  <si>
    <t>ZARAGOZA MANJARREZ ADRINAN</t>
  </si>
  <si>
    <t>MARIA ELENA MANJARREZ</t>
  </si>
  <si>
    <t>7227862042</t>
  </si>
  <si>
    <t>ADRIANA ZARAGOZA</t>
  </si>
  <si>
    <t>7227862041</t>
  </si>
  <si>
    <t>JUAN ANGEL ALANIS</t>
  </si>
  <si>
    <t>7227863490</t>
  </si>
  <si>
    <t>SAN ANGEL  #SN</t>
  </si>
  <si>
    <t>San Antonio el Llanito</t>
  </si>
  <si>
    <t>001268</t>
  </si>
  <si>
    <t>CORONA ROBLES GABRIEL</t>
  </si>
  <si>
    <t>mayamary05@icloud.com</t>
  </si>
  <si>
    <t>VALDEZ ESTEVEZ MARIA EUGENIA</t>
  </si>
  <si>
    <t>GERARDO FLORES</t>
  </si>
  <si>
    <t>7224954244</t>
  </si>
  <si>
    <t>FELIPE CAZAS</t>
  </si>
  <si>
    <t>7225767330</t>
  </si>
  <si>
    <t>EZEQUIEL REYES</t>
  </si>
  <si>
    <t>7225663418</t>
  </si>
  <si>
    <t>TITULO EXPEDIDO POR STATE FLORIDA , Valor 20,361.00, Nombre VEHICULO PICK UP F150, Folio Factura 97908021, Fecha Factura 04/04/2008, Número de serie 2FTZX0727WCA00444, Número de motor SN, Modelo 1998, Marca FORD, Propietario CORONA ROBLES GABRIEL</t>
  </si>
  <si>
    <t>VEHICULO PICK UP F150</t>
  </si>
  <si>
    <t>HIDALGO #48-1</t>
  </si>
  <si>
    <t>Calimaya</t>
  </si>
  <si>
    <t>100126801</t>
  </si>
  <si>
    <t>001252</t>
  </si>
  <si>
    <t>GONZALEZ SANCHEZ LORENZO</t>
  </si>
  <si>
    <t>lorenzo59gh@gmail.com</t>
  </si>
  <si>
    <t>HERNANDEZ ROSA MARIA</t>
  </si>
  <si>
    <t>EFRAIN TALAVERA</t>
  </si>
  <si>
    <t>7224113728</t>
  </si>
  <si>
    <t>CARLOS GARCIA</t>
  </si>
  <si>
    <t>7222812657</t>
  </si>
  <si>
    <t>LORENZO LOPEZ</t>
  </si>
  <si>
    <t>7205154703</t>
  </si>
  <si>
    <t>REFORMA #620-1</t>
  </si>
  <si>
    <t>100125201</t>
  </si>
  <si>
    <t>001313</t>
  </si>
  <si>
    <t>ALMEIDA ROJAS JUAN ANTONIO</t>
  </si>
  <si>
    <t>salazar.veronica9097@gmail.com</t>
  </si>
  <si>
    <t>CERINO SALAZAR DIANA VERONICA</t>
  </si>
  <si>
    <t>VIVIANA ROMERO</t>
  </si>
  <si>
    <t>7225945025</t>
  </si>
  <si>
    <t>VERONICA CERINO</t>
  </si>
  <si>
    <t>5513968284</t>
  </si>
  <si>
    <t>SOFIA ROJAS</t>
  </si>
  <si>
    <t>7131155537</t>
  </si>
  <si>
    <t>BENITO JUAREZ #412-SN</t>
  </si>
  <si>
    <t>100131301</t>
  </si>
  <si>
    <t>001503</t>
  </si>
  <si>
    <t>GARCIA SALAS MARIA GUADALUPE</t>
  </si>
  <si>
    <t>maria.lupis12.16@gmail.com</t>
  </si>
  <si>
    <t>IMPRENTA ( TIPOGRAFIA)</t>
  </si>
  <si>
    <t>ROBERTO CARLOS GONZALEZ</t>
  </si>
  <si>
    <t>7225674101</t>
  </si>
  <si>
    <t>MARCO ANTONIO GONZALEZ</t>
  </si>
  <si>
    <t>7206426174</t>
  </si>
  <si>
    <t>VICTORIA GARCIA SALAS</t>
  </si>
  <si>
    <t>7229242971</t>
  </si>
  <si>
    <t>Lago Michigan  #1713-4</t>
  </si>
  <si>
    <t>19°16'16.9"N 99°40'06.5"W</t>
  </si>
  <si>
    <t>100150301</t>
  </si>
  <si>
    <t>001249</t>
  </si>
  <si>
    <t>GARCIA FLORES SEBASTIAN ADOLFO</t>
  </si>
  <si>
    <t>sebassagf@gmail.com</t>
  </si>
  <si>
    <t>ASESORES FISCALES Y FINANCIEROS</t>
  </si>
  <si>
    <t>FLORES YAÑEZ ROSA MARIA</t>
  </si>
  <si>
    <t>VIA VILLA FLORENCE  #10-DEP 501 PISO 5</t>
  </si>
  <si>
    <t>Hacienda de las Palmas</t>
  </si>
  <si>
    <t>100124901</t>
  </si>
  <si>
    <t>001351</t>
  </si>
  <si>
    <t>GARDUÑO PULIDO ANGELICA</t>
  </si>
  <si>
    <t>angelicagardunopulido@gmail.com</t>
  </si>
  <si>
    <t>MAGALY BARRIOS</t>
  </si>
  <si>
    <t>7296000227</t>
  </si>
  <si>
    <t>HUMBERTO SALAZAR</t>
  </si>
  <si>
    <t>7223561881</t>
  </si>
  <si>
    <t>VICTOR RAMIREZ</t>
  </si>
  <si>
    <t>7226076514</t>
  </si>
  <si>
    <t xml:space="preserve"> IGNACIO ZARAGOZA #11-SN</t>
  </si>
  <si>
    <t>001359</t>
  </si>
  <si>
    <t>MIRANDA MEJIA MARICELA</t>
  </si>
  <si>
    <t>enjambre121194@gmail.com</t>
  </si>
  <si>
    <t>7224938662</t>
  </si>
  <si>
    <t>LETICIA HUERTA</t>
  </si>
  <si>
    <t>7223472593</t>
  </si>
  <si>
    <t>FABIOLA GARCIA</t>
  </si>
  <si>
    <t>7223193970</t>
  </si>
  <si>
    <t>PROL MIGUEL HIDALGO #104-SN</t>
  </si>
  <si>
    <t>001477</t>
  </si>
  <si>
    <t>MEDINA ALMAZAN ANA ANASTACIA</t>
  </si>
  <si>
    <t>gomezmedinafernandojesus@gmail.com</t>
  </si>
  <si>
    <t>FERNANDO JESUS GOMEZ</t>
  </si>
  <si>
    <t>7221387590</t>
  </si>
  <si>
    <t>CRISTIAN GOMEZ MEDINA</t>
  </si>
  <si>
    <t>5615565750</t>
  </si>
  <si>
    <t>MICHELGOMEZ MEDINA</t>
  </si>
  <si>
    <t>7226820135</t>
  </si>
  <si>
    <t>MORELOS PONIENTE #150-SN</t>
  </si>
  <si>
    <t>19°07'26.3"N 99°35'19.2"W</t>
  </si>
  <si>
    <t>100147701</t>
  </si>
  <si>
    <t>004227</t>
  </si>
  <si>
    <t>ESCALONA TELLECHEA IRENE VALERIA</t>
  </si>
  <si>
    <t>irene280192@gmail.com</t>
  </si>
  <si>
    <t>VERONICA ESCALONA</t>
  </si>
  <si>
    <t>7202103527</t>
  </si>
  <si>
    <t>GUADALUPE SALAZAR</t>
  </si>
  <si>
    <t>7295758605</t>
  </si>
  <si>
    <t>LIA IBARRA</t>
  </si>
  <si>
    <t>7134277344</t>
  </si>
  <si>
    <t>JOSE MARIA MORELOS #69 B</t>
  </si>
  <si>
    <t>San Lorenzo Cuauhtenco</t>
  </si>
  <si>
    <t>19°11'43.3"N 99°37'45.3"W</t>
  </si>
  <si>
    <t>100422701</t>
  </si>
  <si>
    <t>001532</t>
  </si>
  <si>
    <t>DIAZ DE JESUS LILIA</t>
  </si>
  <si>
    <t>FUENTES MORALES ISIDRO</t>
  </si>
  <si>
    <t>FLORENTINO DIAZ DE JESUS</t>
  </si>
  <si>
    <t>7223770966</t>
  </si>
  <si>
    <t>MARIA FELIX DIAZ</t>
  </si>
  <si>
    <t>5655705804</t>
  </si>
  <si>
    <t>LAGO VALENCIA #616-SN</t>
  </si>
  <si>
    <t>19°16'05.4"N 99°40'42.7"W</t>
  </si>
  <si>
    <t>La Teresona</t>
  </si>
  <si>
    <t>001614</t>
  </si>
  <si>
    <t>CABRERA BUSTOS MA REFUGIO</t>
  </si>
  <si>
    <t>mariacabrera9157@gmail.com</t>
  </si>
  <si>
    <t>CUEVAS RANGES MANUEL</t>
  </si>
  <si>
    <t>AGUSTINA RAMIREZ</t>
  </si>
  <si>
    <t>7222347937</t>
  </si>
  <si>
    <t>SILVIA GONZALEZ GARCIA</t>
  </si>
  <si>
    <t>7224043270</t>
  </si>
  <si>
    <t>7292427675</t>
  </si>
  <si>
    <t>AV JUAREZ  #49-SN</t>
  </si>
  <si>
    <t>Los Ángeles</t>
  </si>
  <si>
    <t>19°09'54.4"N 99°37'04.6"W</t>
  </si>
  <si>
    <t>002648</t>
  </si>
  <si>
    <t>VAZQUEZ MEDINA HECTOR MANUEL</t>
  </si>
  <si>
    <t>hectormanuelvm@outlook.com</t>
  </si>
  <si>
    <t>MAPLE #30-6</t>
  </si>
  <si>
    <t>El Manto</t>
  </si>
  <si>
    <t>Iztapalapa</t>
  </si>
  <si>
    <t>100264801</t>
  </si>
  <si>
    <t>002369</t>
  </si>
  <si>
    <t>JIMENEZ GARCIA ANGELICA MARIBEL</t>
  </si>
  <si>
    <t>amjg2013@gmail.com</t>
  </si>
  <si>
    <t>GARCIA MONTES FRANCISCO XAVIER</t>
  </si>
  <si>
    <t>CTO HDA EL NARDO #MZ43-LT2B</t>
  </si>
  <si>
    <t>Rinconada del Valle</t>
  </si>
  <si>
    <t>100236901</t>
  </si>
  <si>
    <t>001358</t>
  </si>
  <si>
    <t>PADILLA TELLEZ JOSE</t>
  </si>
  <si>
    <t>jose.padillat21@gmail.com</t>
  </si>
  <si>
    <t>ARIEL REYES</t>
  </si>
  <si>
    <t>7223026661</t>
  </si>
  <si>
    <t>DANIEL MARTINEZ</t>
  </si>
  <si>
    <t>7299981731</t>
  </si>
  <si>
    <t>SABINO GARCIA</t>
  </si>
  <si>
    <t>7293272452</t>
  </si>
  <si>
    <t>PRIV JOSEFA O DE DOMINGUEZ  #1-SN</t>
  </si>
  <si>
    <t>100135802</t>
  </si>
  <si>
    <t>001717</t>
  </si>
  <si>
    <t>ALVAREZ HERNANDEZ QUEZTZALIA NAYELI</t>
  </si>
  <si>
    <t>alvarezquezt3004@gmail.com</t>
  </si>
  <si>
    <t>MARTINEZ ESPEJEL LUIS ARMANDO</t>
  </si>
  <si>
    <t>AGUSTIN MARTINEZ</t>
  </si>
  <si>
    <t>7299091105</t>
  </si>
  <si>
    <t>BRIAN MARTINEZ</t>
  </si>
  <si>
    <t>7223093460</t>
  </si>
  <si>
    <t>TRINIDAD VERA</t>
  </si>
  <si>
    <t>5664248310</t>
  </si>
  <si>
    <t>PROL 16 DE SEPTIEMBRE  #5-SN</t>
  </si>
  <si>
    <t>19°09'41.1"N 99°33'49.0"W</t>
  </si>
  <si>
    <t>001328</t>
  </si>
  <si>
    <t>JARDON SERRANO RAFAEL</t>
  </si>
  <si>
    <t>tita@gmail.com</t>
  </si>
  <si>
    <t>SOFIA DEYANIRA</t>
  </si>
  <si>
    <t>7292764800</t>
  </si>
  <si>
    <t>FERNANDA DIAZ</t>
  </si>
  <si>
    <t>7228527255</t>
  </si>
  <si>
    <t>ADRIANA REYES</t>
  </si>
  <si>
    <t>7229260100</t>
  </si>
  <si>
    <t>FRANCISCO MARQUEZ #104-SN</t>
  </si>
  <si>
    <t>Santa María Rayón Centro</t>
  </si>
  <si>
    <t>100132801</t>
  </si>
  <si>
    <t>001395</t>
  </si>
  <si>
    <t>ROMANO PALMA EDITH YADIRA</t>
  </si>
  <si>
    <t>yadis_roma30@hotmail.com</t>
  </si>
  <si>
    <t>GARCIA CAMACHO CARLOS</t>
  </si>
  <si>
    <t>7293288652.0</t>
  </si>
  <si>
    <t>BLANCA VELAZQUEZ</t>
  </si>
  <si>
    <t>7226762573</t>
  </si>
  <si>
    <t>ANDREA GONZALEZ</t>
  </si>
  <si>
    <t>7221259454</t>
  </si>
  <si>
    <t>JUAN GARCIA</t>
  </si>
  <si>
    <t>7224959630</t>
  </si>
  <si>
    <t>IGNACIO ZARAGOZA #510</t>
  </si>
  <si>
    <t>La Aurora</t>
  </si>
  <si>
    <t>19°05'53.2"N 99°35'14.2"W</t>
  </si>
  <si>
    <t>003324</t>
  </si>
  <si>
    <t>OLMOS PALACIOS FIDELINA</t>
  </si>
  <si>
    <t>filleyla94@gmail.com</t>
  </si>
  <si>
    <t>SOLIS LOPEZ EDGAR</t>
  </si>
  <si>
    <t>7291838816.0</t>
  </si>
  <si>
    <t>LAURA SOLIS LOPEZ</t>
  </si>
  <si>
    <t>7299824257</t>
  </si>
  <si>
    <t>EDGAR SOLIS LOPEZ</t>
  </si>
  <si>
    <t>7291838816</t>
  </si>
  <si>
    <t>PERLA DENISSE DIAZ CONSUELO</t>
  </si>
  <si>
    <t>7229422159</t>
  </si>
  <si>
    <t>HIPOLITO ORTIZ #156</t>
  </si>
  <si>
    <t>19°17'44.1"N 99°40'33.8"W</t>
  </si>
  <si>
    <t>100332401</t>
  </si>
  <si>
    <t>001685</t>
  </si>
  <si>
    <t>ENZASTEGUI LEDEZMA MARIA DE LOS ANGELES</t>
  </si>
  <si>
    <t>mariadelosangelesenzastegui@gmail.com</t>
  </si>
  <si>
    <t>JAZMIN ENZASTEGUI</t>
  </si>
  <si>
    <t>7223922027</t>
  </si>
  <si>
    <t>NANCY LEDEZMA</t>
  </si>
  <si>
    <t>7221235341</t>
  </si>
  <si>
    <t>IRVING ARELLANO</t>
  </si>
  <si>
    <t>7228466438</t>
  </si>
  <si>
    <t>CJON REFORMA #1-SN</t>
  </si>
  <si>
    <t>Santiago Tlacotepec</t>
  </si>
  <si>
    <t>19°13'30.7"N 99°40'23.5"W</t>
  </si>
  <si>
    <t>100168501</t>
  </si>
  <si>
    <t>001449</t>
  </si>
  <si>
    <t>SOTO MENDOZA LIDIA</t>
  </si>
  <si>
    <t>lsoto7950@gmail.com</t>
  </si>
  <si>
    <t>MARISOL COOPLE</t>
  </si>
  <si>
    <t>7121029851</t>
  </si>
  <si>
    <t>ROSA SOTO</t>
  </si>
  <si>
    <t>7121698198</t>
  </si>
  <si>
    <t>EDITH COYOTE ALCANTAR</t>
  </si>
  <si>
    <t>7121336465</t>
  </si>
  <si>
    <t>BO EL FRESNO #SN</t>
  </si>
  <si>
    <t>Santiago Casandeje</t>
  </si>
  <si>
    <t>Jocotitlan</t>
  </si>
  <si>
    <t>100144902</t>
  </si>
  <si>
    <t>001364</t>
  </si>
  <si>
    <t>BARRERA BARRERA MIGUEL</t>
  </si>
  <si>
    <t>mb8810472@gmail.com</t>
  </si>
  <si>
    <t>ELABORACION DE OBJETOS ARTISTICOS DE ALFARERIA Y CERAMICA</t>
  </si>
  <si>
    <t>HERNANDEZ ARANDA JUANA MAURA</t>
  </si>
  <si>
    <t>7718840405.0</t>
  </si>
  <si>
    <t>VIVIANA RUIZ NICOLAS</t>
  </si>
  <si>
    <t>7121880872</t>
  </si>
  <si>
    <t>JUANA HERNANDEZ</t>
  </si>
  <si>
    <t>7297180978</t>
  </si>
  <si>
    <t>RAMIRO BARRERA HERNANDEZ</t>
  </si>
  <si>
    <t>5511936135</t>
  </si>
  <si>
    <t>San Juanico Centro</t>
  </si>
  <si>
    <t>Temascalcingo</t>
  </si>
  <si>
    <t>19°51'06.1"N 100°02'04.8"W</t>
  </si>
  <si>
    <t>001370</t>
  </si>
  <si>
    <t>GOMEZ MIRANDA MARIBEL</t>
  </si>
  <si>
    <t>mariagomezz26@gmail.com</t>
  </si>
  <si>
    <t>EDITH VALENCIA CARDENAS</t>
  </si>
  <si>
    <t>7121791882</t>
  </si>
  <si>
    <t>GUADALUPE BARRERA MEDINA</t>
  </si>
  <si>
    <t>5560629707</t>
  </si>
  <si>
    <t>SONIA REYES</t>
  </si>
  <si>
    <t>7701010417</t>
  </si>
  <si>
    <t>RIO PANUCO #SN</t>
  </si>
  <si>
    <t>19°48'18.2"N 99°53'49.7"W</t>
  </si>
  <si>
    <t>100137002</t>
  </si>
  <si>
    <t>001388</t>
  </si>
  <si>
    <t>ARENAS DE JESUS LORENA</t>
  </si>
  <si>
    <t>lorenaarenas@hotmail.com</t>
  </si>
  <si>
    <t>CRIA Y EXPLOTACION DE GANADO PORCINO</t>
  </si>
  <si>
    <t>GONZALEZ MATEO FELIPE</t>
  </si>
  <si>
    <t>7121586321.0</t>
  </si>
  <si>
    <t>7121180744</t>
  </si>
  <si>
    <t>ADELINA MIRANDA</t>
  </si>
  <si>
    <t>7122139937</t>
  </si>
  <si>
    <t>JUAN CONTRERAS</t>
  </si>
  <si>
    <t>5529501737</t>
  </si>
  <si>
    <t>SAN BARTOLO DEL LLANO #SN</t>
  </si>
  <si>
    <t>19°35'34.9"N 99°44'46.8"W</t>
  </si>
  <si>
    <t>001392</t>
  </si>
  <si>
    <t>MAYA RUIZ VICTORIA</t>
  </si>
  <si>
    <t>001460</t>
  </si>
  <si>
    <t>GUADARRAMA CORREA AARON</t>
  </si>
  <si>
    <t>aaronguadarramacorrea@gmail.com</t>
  </si>
  <si>
    <t>MARTINEZ GONZALEZ JOSELIN</t>
  </si>
  <si>
    <t>7122621391.0</t>
  </si>
  <si>
    <t>LEANDRO GONZALEZ</t>
  </si>
  <si>
    <t>5511381201</t>
  </si>
  <si>
    <t>LUIS GUTIERREZ SANTOS</t>
  </si>
  <si>
    <t>7711301808</t>
  </si>
  <si>
    <t>MARIA LUISA MARTINEZ</t>
  </si>
  <si>
    <t>7121402932</t>
  </si>
  <si>
    <t>MANTO DEL RIO #SN</t>
  </si>
  <si>
    <t>Manto del Río</t>
  </si>
  <si>
    <t>19°50'11.1"N 99°55'27.7"W</t>
  </si>
  <si>
    <t>100146001</t>
  </si>
  <si>
    <t>001368</t>
  </si>
  <si>
    <t>ORTEGA DE JESUS LETICIA</t>
  </si>
  <si>
    <t>leticiaortegadejesus@gmail.com</t>
  </si>
  <si>
    <t>MARCELO RUIZ ENRIQUE</t>
  </si>
  <si>
    <t>7122169338.0</t>
  </si>
  <si>
    <t>DIANA MARCELO</t>
  </si>
  <si>
    <t>5653738175</t>
  </si>
  <si>
    <t>MIGUEL ANGEL CARDENAS</t>
  </si>
  <si>
    <t>7124110220</t>
  </si>
  <si>
    <t>NEREIDA MARTINEZ</t>
  </si>
  <si>
    <t>7124154357</t>
  </si>
  <si>
    <t>EJIDO RINCON DE LA CANDELARIA #SN</t>
  </si>
  <si>
    <t>El Rincón de la Candelaria</t>
  </si>
  <si>
    <t>19°46'02.0"N 99°52'10.5"W</t>
  </si>
  <si>
    <t>100136801</t>
  </si>
  <si>
    <t>(en blanco)</t>
  </si>
  <si>
    <t>Total general</t>
  </si>
  <si>
    <t>Cantidad
Prestada</t>
  </si>
  <si>
    <t>Saldo
Capital</t>
  </si>
  <si>
    <t>Saldo
Vencido</t>
  </si>
  <si>
    <t>Saldo
Total</t>
  </si>
  <si>
    <t>% MORA</t>
  </si>
  <si>
    <t>001298</t>
  </si>
  <si>
    <t>Mayor_90</t>
  </si>
  <si>
    <t>REPORTE DE PAGOS</t>
  </si>
  <si>
    <t>Moneda: PESO</t>
  </si>
  <si>
    <t>Fecha del depósito</t>
  </si>
  <si>
    <t>Fecha de pago</t>
  </si>
  <si>
    <t>Código</t>
  </si>
  <si>
    <t xml:space="preserve">Acreditados </t>
  </si>
  <si>
    <t>Ciclo real</t>
  </si>
  <si>
    <t>Periodo</t>
  </si>
  <si>
    <t>Referencia</t>
  </si>
  <si>
    <t>Modo</t>
  </si>
  <si>
    <t>Estatus</t>
  </si>
  <si>
    <t>Forma de pago</t>
  </si>
  <si>
    <t>Forma de distribución de interés</t>
  </si>
  <si>
    <t>Código cta ban.</t>
  </si>
  <si>
    <t>No. cuenta bancaria</t>
  </si>
  <si>
    <t>Cuenta bancaria</t>
  </si>
  <si>
    <t>Núm. cheque</t>
  </si>
  <si>
    <t>Cantidad</t>
  </si>
  <si>
    <t>Capital</t>
  </si>
  <si>
    <t>Interés</t>
  </si>
  <si>
    <t>Recargos</t>
  </si>
  <si>
    <t>Comisión</t>
  </si>
  <si>
    <t>Cargo Seguro de vida</t>
  </si>
  <si>
    <t>Abono Seguro de vida</t>
  </si>
  <si>
    <t>Cargo Seguro Auto</t>
  </si>
  <si>
    <t>Abono Seguro Auto</t>
  </si>
  <si>
    <t>Cargo GPS</t>
  </si>
  <si>
    <t>Abono GPS</t>
  </si>
  <si>
    <t>Cargo Multas por cheque rebotado</t>
  </si>
  <si>
    <t>Abono Multas por cheque rebotado</t>
  </si>
  <si>
    <t>Dep. en garantía</t>
  </si>
  <si>
    <t>Ahorro</t>
  </si>
  <si>
    <t>Cód. región</t>
  </si>
  <si>
    <t>Región</t>
  </si>
  <si>
    <t>Cód. coordinación</t>
  </si>
  <si>
    <t>Cód. tipo de empresa</t>
  </si>
  <si>
    <t>Tipo de Empresa</t>
  </si>
  <si>
    <t>Cód. empresa</t>
  </si>
  <si>
    <t>Empresa</t>
  </si>
  <si>
    <t>Cód. empresa cobro</t>
  </si>
  <si>
    <t>Empresa cobro</t>
  </si>
  <si>
    <t>Cód. puntos de venta</t>
  </si>
  <si>
    <t>Puntos de venta</t>
  </si>
  <si>
    <t>Cód. sector</t>
  </si>
  <si>
    <t>Sector</t>
  </si>
  <si>
    <t>Cód. giro</t>
  </si>
  <si>
    <t>Giro</t>
  </si>
  <si>
    <t>Tipo crédito</t>
  </si>
  <si>
    <t>Tipo préstamo</t>
  </si>
  <si>
    <t>Cód. org. fond.</t>
  </si>
  <si>
    <t>Organización fondeadora</t>
  </si>
  <si>
    <t>Cód. línea de crédito</t>
  </si>
  <si>
    <t>Línea de crédito</t>
  </si>
  <si>
    <t>Conciliado</t>
  </si>
  <si>
    <t>Tipo</t>
  </si>
  <si>
    <t>No. factura</t>
  </si>
  <si>
    <t>Cód. Recuperador</t>
  </si>
  <si>
    <t>Recuperador</t>
  </si>
  <si>
    <t>Fecha de registro</t>
  </si>
  <si>
    <t>Cod. tipo producto de crédito</t>
  </si>
  <si>
    <t>Nombre del tipo producto de crédito</t>
  </si>
  <si>
    <t>Cod. producto de crédito</t>
  </si>
  <si>
    <t>Nombre del producto de crédito</t>
  </si>
  <si>
    <t>No. caja</t>
  </si>
  <si>
    <t>CIE</t>
  </si>
  <si>
    <t>Folio</t>
  </si>
  <si>
    <t>RFC</t>
  </si>
  <si>
    <t>Folio préstamo</t>
  </si>
  <si>
    <t>Número traspaso fondo</t>
  </si>
  <si>
    <t>Número de empleado</t>
  </si>
  <si>
    <t>Fecha de castigo</t>
  </si>
  <si>
    <t>Plazo</t>
  </si>
  <si>
    <t>Fecha movimiento bancario</t>
  </si>
  <si>
    <t>001</t>
  </si>
  <si>
    <t>I</t>
  </si>
  <si>
    <t>No modificado</t>
  </si>
  <si>
    <t>65510225198</t>
  </si>
  <si>
    <t>Santander Principal</t>
  </si>
  <si>
    <t>006</t>
  </si>
  <si>
    <t>Individual</t>
  </si>
  <si>
    <t>0001</t>
  </si>
  <si>
    <t>Recursos propios</t>
  </si>
  <si>
    <t>Recursos Propios</t>
  </si>
  <si>
    <t>Distribuido</t>
  </si>
  <si>
    <t>Pago depósito</t>
  </si>
  <si>
    <t>04</t>
  </si>
  <si>
    <t>Sin castigo</t>
  </si>
  <si>
    <t>004</t>
  </si>
  <si>
    <t>Simple</t>
  </si>
  <si>
    <t>05</t>
  </si>
  <si>
    <t>Crédito Individual</t>
  </si>
  <si>
    <t>6</t>
  </si>
  <si>
    <t>4</t>
  </si>
  <si>
    <t>007</t>
  </si>
  <si>
    <t>MOMJ8903239B3</t>
  </si>
  <si>
    <t>*T0000118</t>
  </si>
  <si>
    <t>12</t>
  </si>
  <si>
    <t>10</t>
  </si>
  <si>
    <t>0120857297</t>
  </si>
  <si>
    <t>BANCOMER PRINCIPAL</t>
  </si>
  <si>
    <t>002</t>
  </si>
  <si>
    <t>5</t>
  </si>
  <si>
    <t>Cartocenal</t>
  </si>
  <si>
    <t>1</t>
  </si>
  <si>
    <t>Crédito Individual con Garantia</t>
  </si>
  <si>
    <t>8</t>
  </si>
  <si>
    <t>TOCM830603S62</t>
  </si>
  <si>
    <t>*T0000074</t>
  </si>
  <si>
    <t>GOGA980926N54</t>
  </si>
  <si>
    <t>*T0000130</t>
  </si>
  <si>
    <t>MORENO ALVARO MIRNO</t>
  </si>
  <si>
    <t>004401</t>
  </si>
  <si>
    <t>RODRIGUEZ BERMEO PATRICIA</t>
  </si>
  <si>
    <t>consultasburo@financieracrediflexi.com</t>
  </si>
  <si>
    <t>PEREZ ROJAS MARGARITO</t>
  </si>
  <si>
    <t>7228078176.0</t>
  </si>
  <si>
    <t>MARGARITA PEREZ ROJAS</t>
  </si>
  <si>
    <t>7228078176</t>
  </si>
  <si>
    <t>DANIEL HERNANDEZ</t>
  </si>
  <si>
    <t>7191496717</t>
  </si>
  <si>
    <t>LUIS FRANCISCO PEREZ RODRIGUEZ</t>
  </si>
  <si>
    <t>7223216111</t>
  </si>
  <si>
    <t>5 DE MAYO  #SN</t>
  </si>
  <si>
    <t>Santa María Ahuacatlan</t>
  </si>
  <si>
    <t>100440101</t>
  </si>
  <si>
    <t>001309</t>
  </si>
  <si>
    <t>SANCHEZ JIMENEZ SANTOS</t>
  </si>
  <si>
    <t>raquelguadarram60@gmail.com</t>
  </si>
  <si>
    <t>GUADARRAMA MARIANO RAQUEL</t>
  </si>
  <si>
    <t>7293313459.0</t>
  </si>
  <si>
    <t>LORENA JAZMIN DIAZ</t>
  </si>
  <si>
    <t>5529013258</t>
  </si>
  <si>
    <t>7229335833</t>
  </si>
  <si>
    <t>PAULINA LOPEZ ROQUE</t>
  </si>
  <si>
    <t>7293508715</t>
  </si>
  <si>
    <t>SN BARTOLO PRIMERA SECCION  #SN -SN</t>
  </si>
  <si>
    <t>19°14'57.6"N 100°03'19.1"W</t>
  </si>
  <si>
    <t>100130902</t>
  </si>
  <si>
    <t>mirnomorenoalvaro8@gmail.com</t>
  </si>
  <si>
    <t>ESCOBAR MILLAN ROSA ISELA</t>
  </si>
  <si>
    <t>ELIZABETH ESCOBAR MILLAN</t>
  </si>
  <si>
    <t>7203834647</t>
  </si>
  <si>
    <t>MARITZA ANTONIA CASTRO ESCOBAR</t>
  </si>
  <si>
    <t>7218890995</t>
  </si>
  <si>
    <t>SOFIA SAAVEDRA</t>
  </si>
  <si>
    <t>7298085625</t>
  </si>
  <si>
    <t>CJON MORELOS #SN</t>
  </si>
  <si>
    <t>18°59'27.1"N 99°34'10.2"W</t>
  </si>
  <si>
    <t>100129802</t>
  </si>
  <si>
    <t>004287</t>
  </si>
  <si>
    <t>JACINTO CARMONA SANTOS</t>
  </si>
  <si>
    <t>santos_jacinto65@hotmail.com</t>
  </si>
  <si>
    <t>7228348356</t>
  </si>
  <si>
    <t>7223516487</t>
  </si>
  <si>
    <t>ANA LAURA SOLIS PEDROZA</t>
  </si>
  <si>
    <t>7221312353</t>
  </si>
  <si>
    <t>EJIDO SAN MATEO #SN</t>
  </si>
  <si>
    <t>18°57'16.9"N 99°38'36.4"W</t>
  </si>
  <si>
    <t>100428701</t>
  </si>
  <si>
    <t>001345</t>
  </si>
  <si>
    <t>SANCHEZ SALGADO FANNY</t>
  </si>
  <si>
    <t>fannyyareli77@gmail.com</t>
  </si>
  <si>
    <t>TANIA SANCHEZ</t>
  </si>
  <si>
    <t>7224937877</t>
  </si>
  <si>
    <t>MARIANA VENANCIO</t>
  </si>
  <si>
    <t>7223935032</t>
  </si>
  <si>
    <t>EVA LOPEZ</t>
  </si>
  <si>
    <t>7297667772</t>
  </si>
  <si>
    <t>HDA PASTAJE #16C-SN</t>
  </si>
  <si>
    <t>100134502</t>
  </si>
  <si>
    <t>DOMICILIO CONOCIDO #SN</t>
  </si>
  <si>
    <t>100136402</t>
  </si>
  <si>
    <t>Saldo riesgo total</t>
  </si>
  <si>
    <t>Saldo riesgo capital</t>
  </si>
  <si>
    <t>Etiquetas de fila</t>
  </si>
  <si>
    <t>Suma de Saldo riesgo total</t>
  </si>
  <si>
    <t>Saldo
Riesgo Capital</t>
  </si>
  <si>
    <t>Saldo
Riesgo Total</t>
  </si>
  <si>
    <t>Total</t>
  </si>
  <si>
    <t>REYES VASQUEZ FELIPE DE JESUS</t>
  </si>
  <si>
    <t>ARACELI GUADARRAMA</t>
  </si>
  <si>
    <t>7224456103</t>
  </si>
  <si>
    <t>DEYSI NOEMI RAYON</t>
  </si>
  <si>
    <t>7223740062</t>
  </si>
  <si>
    <t>LUIS JAVIER MATEOS</t>
  </si>
  <si>
    <t>7226737186</t>
  </si>
  <si>
    <t>18°57'02.1"N 99°35'11.5"W</t>
  </si>
  <si>
    <t>100131902</t>
  </si>
  <si>
    <t>AZUCENA SOTERO JIMENEZ</t>
  </si>
  <si>
    <t>5562928117</t>
  </si>
  <si>
    <t>FLOR SOTERO JIMENEZ</t>
  </si>
  <si>
    <t>MACARIO SOTERO LUIS</t>
  </si>
  <si>
    <t>5526795882</t>
  </si>
  <si>
    <t>San Mateo cu</t>
  </si>
  <si>
    <t>19°16'49.5"N 100°01'19.6"W</t>
  </si>
  <si>
    <t>100125802</t>
  </si>
  <si>
    <t>100171702</t>
  </si>
  <si>
    <t>100139502</t>
  </si>
  <si>
    <t>SALBA SEBASTIAN</t>
  </si>
  <si>
    <t>100135902</t>
  </si>
  <si>
    <t>ELIZABETH GOMEZMENDOZA</t>
  </si>
  <si>
    <t>100161402</t>
  </si>
  <si>
    <t>dyakelin53@gmail.com</t>
  </si>
  <si>
    <t>JAQUELINE FUENTES DIAZ</t>
  </si>
  <si>
    <t>7200108671</t>
  </si>
  <si>
    <t>100153202</t>
  </si>
  <si>
    <t>100126502</t>
  </si>
  <si>
    <t>004738</t>
  </si>
  <si>
    <t>RABLING CONDE NORMAN ENRIQUE</t>
  </si>
  <si>
    <t>rablingn@gmail.com</t>
  </si>
  <si>
    <t>AV PIRULES #104</t>
  </si>
  <si>
    <t>Villas de Pachuca</t>
  </si>
  <si>
    <t>Pachuca De Soto</t>
  </si>
  <si>
    <t>100473801</t>
  </si>
  <si>
    <t>ANA KAREN PERALTA SOTO</t>
  </si>
  <si>
    <t>100168602</t>
  </si>
  <si>
    <t>JOVANI AVILA ADILON</t>
  </si>
  <si>
    <t>San Bartolo del Llano cu</t>
  </si>
  <si>
    <t>100138802</t>
  </si>
  <si>
    <t>PARE650115B89</t>
  </si>
  <si>
    <t>*T0000071</t>
  </si>
  <si>
    <t>ROCV790822AH5</t>
  </si>
  <si>
    <t>*T0000287</t>
  </si>
  <si>
    <t>GOMM731019G7A</t>
  </si>
  <si>
    <t>*T0000304</t>
  </si>
  <si>
    <t>AEDM790222IQ1</t>
  </si>
  <si>
    <t>*T0000238</t>
  </si>
  <si>
    <t>100135102</t>
  </si>
  <si>
    <t>1-7 días</t>
  </si>
  <si>
    <t>8-15 días</t>
  </si>
  <si>
    <t>16-30 días</t>
  </si>
  <si>
    <t>31-60 días</t>
  </si>
  <si>
    <t>61-90 días</t>
  </si>
  <si>
    <t>CAVY860413Q60</t>
  </si>
  <si>
    <t>*T0000086</t>
  </si>
  <si>
    <t>Efectivo</t>
  </si>
  <si>
    <t>11/12/2025</t>
  </si>
  <si>
    <t>100137602</t>
  </si>
  <si>
    <t>araceli121285@gmail.com</t>
  </si>
  <si>
    <t>CRIA Y EXPLOTACION DE GANADO OVINO</t>
  </si>
  <si>
    <t>ROSALBA GONZALEZ CRUZ</t>
  </si>
  <si>
    <t>5585724160</t>
  </si>
  <si>
    <t>MARGARITA MARTINEZ</t>
  </si>
  <si>
    <t>7121359448</t>
  </si>
  <si>
    <t>ESTELA SANCHEZ</t>
  </si>
  <si>
    <t>7121918364</t>
  </si>
  <si>
    <t>EL TUNAL #SN</t>
  </si>
  <si>
    <t>El Tunal</t>
  </si>
  <si>
    <t>19°42'56.5"N 99°57'39.4"W</t>
  </si>
  <si>
    <t>100139202</t>
  </si>
  <si>
    <t>18/12/2025</t>
  </si>
  <si>
    <t>EAGA651219TR2</t>
  </si>
  <si>
    <t>*T0000211</t>
  </si>
  <si>
    <t>12/12/2025</t>
  </si>
  <si>
    <t>11</t>
  </si>
  <si>
    <t>GATI630708KL8</t>
  </si>
  <si>
    <t>*T0000104</t>
  </si>
  <si>
    <t>GUCA790611RSA</t>
  </si>
  <si>
    <t>*T0000123</t>
  </si>
  <si>
    <t>17/12/2025</t>
  </si>
  <si>
    <t>AUBA700222LXA</t>
  </si>
  <si>
    <t>*T0000030</t>
  </si>
  <si>
    <t>SOHE7207225C6</t>
  </si>
  <si>
    <t>*T0000031</t>
  </si>
  <si>
    <t>MOBL630606HF8</t>
  </si>
  <si>
    <t>*T0000106</t>
  </si>
  <si>
    <t>BEAP710630FQ0</t>
  </si>
  <si>
    <t>*T0000041</t>
  </si>
  <si>
    <t>MACI940628BP7</t>
  </si>
  <si>
    <t>*T0000120</t>
  </si>
  <si>
    <t>AIGS7901204S1</t>
  </si>
  <si>
    <t>*T0000214</t>
  </si>
  <si>
    <t>FOGA880202AV2</t>
  </si>
  <si>
    <t>*T0000138</t>
  </si>
  <si>
    <t>DOSE820221VA8</t>
  </si>
  <si>
    <t>*T0000028</t>
  </si>
  <si>
    <t>LOFV580506AR2</t>
  </si>
  <si>
    <t>*T0000010</t>
  </si>
  <si>
    <t>AEJL890806SE8</t>
  </si>
  <si>
    <t>*T0000428</t>
  </si>
  <si>
    <t>2</t>
  </si>
  <si>
    <t>SAPE630629FC3</t>
  </si>
  <si>
    <t>*T0000429</t>
  </si>
  <si>
    <t>22/12/2025</t>
  </si>
  <si>
    <t>*T0000252</t>
  </si>
  <si>
    <t>GASG601212EHA</t>
  </si>
  <si>
    <t>*T0000134</t>
  </si>
  <si>
    <t>FOSC7411067Z7</t>
  </si>
  <si>
    <t>*T0000340</t>
  </si>
  <si>
    <t>LORE640802T28</t>
  </si>
  <si>
    <t>*T0000065</t>
  </si>
  <si>
    <t>REVL841006LT1</t>
  </si>
  <si>
    <t>*T0000061</t>
  </si>
  <si>
    <t>BAGD640325B52</t>
  </si>
  <si>
    <t>*T0000382</t>
  </si>
  <si>
    <t>24</t>
  </si>
  <si>
    <t>LOCB991209RL6</t>
  </si>
  <si>
    <t>*T0000020</t>
  </si>
  <si>
    <t>23/12/2025</t>
  </si>
  <si>
    <t>RACI761224NL4</t>
  </si>
  <si>
    <t>*T0000158</t>
  </si>
  <si>
    <t>CORG811010HT6</t>
  </si>
  <si>
    <t>MIMG950529FW9</t>
  </si>
  <si>
    <t>*T0000332</t>
  </si>
  <si>
    <t>VEGH9105219MA</t>
  </si>
  <si>
    <t>*T0000145</t>
  </si>
  <si>
    <t>AARA810726EU6</t>
  </si>
  <si>
    <t>*T0000112</t>
  </si>
  <si>
    <t>27</t>
  </si>
  <si>
    <t>LORS870625298</t>
  </si>
  <si>
    <t>*T0000105</t>
  </si>
  <si>
    <t>48</t>
  </si>
  <si>
    <t>14/12/2025</t>
  </si>
  <si>
    <t>MIFC801231DD6</t>
  </si>
  <si>
    <t>*T0000152</t>
  </si>
  <si>
    <t>19/12/2025</t>
  </si>
  <si>
    <t>3</t>
  </si>
  <si>
    <t>SASF860716TFA</t>
  </si>
  <si>
    <t>*T0000395</t>
  </si>
  <si>
    <t>FUEM891226NS0</t>
  </si>
  <si>
    <t>*T0000284</t>
  </si>
  <si>
    <t>26/12/2025</t>
  </si>
  <si>
    <t>005</t>
  </si>
  <si>
    <t>LOOM811201BKA</t>
  </si>
  <si>
    <t>*T0000147</t>
  </si>
  <si>
    <t>MIMM660116TQ9</t>
  </si>
  <si>
    <t>*T0000433</t>
  </si>
  <si>
    <t>PIGA920531PC0</t>
  </si>
  <si>
    <t>*T0000059</t>
  </si>
  <si>
    <t>SOAG710915JY8</t>
  </si>
  <si>
    <t>*T0000097</t>
  </si>
  <si>
    <t>Quirografario</t>
  </si>
  <si>
    <t>Crédito Individual Especial</t>
  </si>
  <si>
    <t>RACN6407201Q4</t>
  </si>
  <si>
    <t>*T0000476</t>
  </si>
  <si>
    <t>FOCA691120HU1</t>
  </si>
  <si>
    <t>*T0000036</t>
  </si>
  <si>
    <t>GAMA770708RP2</t>
  </si>
  <si>
    <t>*T0000023</t>
  </si>
  <si>
    <t>0009</t>
  </si>
  <si>
    <t>JUAN</t>
  </si>
  <si>
    <t>JUAN MARTINEZ BARRERA L01</t>
  </si>
  <si>
    <t>GOBE560619KT8</t>
  </si>
  <si>
    <t>*T0000009</t>
  </si>
  <si>
    <t>COLC8309065ZA</t>
  </si>
  <si>
    <t>*T0000289</t>
  </si>
  <si>
    <t>25/12/2025</t>
  </si>
  <si>
    <t>AAGT971018M81</t>
  </si>
  <si>
    <t>*T0000305</t>
  </si>
  <si>
    <t>90083849</t>
  </si>
  <si>
    <t>VESJ7506246I8</t>
  </si>
  <si>
    <t>*T0000073</t>
  </si>
  <si>
    <t>OEHL750819S91</t>
  </si>
  <si>
    <t>*T0000016</t>
  </si>
  <si>
    <t>29/12/2025</t>
  </si>
  <si>
    <t>PEFJ8011132T5</t>
  </si>
  <si>
    <t>*T0000012</t>
  </si>
  <si>
    <t>GAGP680601LS2</t>
  </si>
  <si>
    <t>*T0000156</t>
  </si>
  <si>
    <t>30/12/2025</t>
  </si>
  <si>
    <t>PERB7512063K3</t>
  </si>
  <si>
    <t>*T0000377</t>
  </si>
  <si>
    <t>29/01/1900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</si>
</sst>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\-&quot;$&quot;#,##0.00"/>
    <numFmt numFmtId="165" formatCode="_-&quot;$&quot;* #,##0.00_-;\-&quot;$&quot;* #,##0.00_-;_-&quot;$&quot;* &quot;-&quot;??_-;_-@_-"/>
    <numFmt numFmtId="166" formatCode="\$#,##0.00"/>
    <numFmt numFmtId="167" formatCode="dd/mm/yyyy;@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rgb="FF0000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66"/>
      <name val="Arial"/>
      <family val="2"/>
    </font>
    <font>
      <sz val="2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indexed="18"/>
      </top>
      <bottom style="medium">
        <color indexed="18"/>
      </bottom>
      <diagonal/>
    </border>
  </borders>
  <cellStyleXfs count="4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49" fontId="0" fillId="0" borderId="0" xfId="0" applyNumberFormat="1"/>
    <xf numFmtId="14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0" borderId="0" xfId="0" pivotButton="1"/>
    <xf numFmtId="165" fontId="0" fillId="0" borderId="0" xfId="0" applyNumberFormat="1"/>
    <xf numFmtId="9" fontId="0" fillId="0" borderId="0" xfId="2" applyFont="1"/>
    <xf numFmtId="0" fontId="5" fillId="3" borderId="2" xfId="0" applyFont="1" applyFill="1" applyBorder="1" applyAlignment="1">
      <alignment horizontal="center" vertical="center" wrapText="1"/>
    </xf>
    <xf numFmtId="165" fontId="5" fillId="4" borderId="3" xfId="1" applyFont="1" applyFill="1" applyBorder="1" applyAlignment="1">
      <alignment horizontal="center" vertical="center" wrapText="1"/>
    </xf>
    <xf numFmtId="49" fontId="4" fillId="0" borderId="0" xfId="0" applyNumberFormat="1" applyFont="1"/>
    <xf numFmtId="4" fontId="0" fillId="0" borderId="0" xfId="0" applyNumberFormat="1"/>
    <xf numFmtId="167" fontId="6" fillId="0" borderId="0" xfId="0" applyNumberFormat="1" applyFont="1"/>
    <xf numFmtId="167" fontId="4" fillId="0" borderId="0" xfId="0" applyNumberFormat="1" applyFont="1"/>
    <xf numFmtId="167" fontId="0" fillId="0" borderId="0" xfId="0" applyNumberFormat="1"/>
    <xf numFmtId="49" fontId="7" fillId="0" borderId="0" xfId="0" applyNumberFormat="1" applyFont="1"/>
    <xf numFmtId="4" fontId="4" fillId="4" borderId="0" xfId="0" applyNumberFormat="1" applyFont="1" applyFill="1"/>
    <xf numFmtId="4" fontId="4" fillId="0" borderId="0" xfId="0" applyNumberFormat="1" applyFont="1"/>
    <xf numFmtId="49" fontId="4" fillId="4" borderId="0" xfId="0" applyNumberFormat="1" applyFont="1" applyFill="1"/>
    <xf numFmtId="0" fontId="4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10" fontId="0" fillId="0" borderId="0" xfId="2" applyNumberFormat="1" applyFont="1"/>
    <xf numFmtId="164" fontId="0" fillId="0" borderId="0" xfId="0" applyNumberFormat="1"/>
    <xf numFmtId="0" fontId="0" fillId="5" borderId="0" xfId="0" applyFill="1"/>
    <xf numFmtId="0" fontId="5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6" borderId="0" xfId="0" applyFill="1"/>
    <xf numFmtId="165" fontId="5" fillId="4" borderId="3" xfId="1" applyFont="1" applyFill="1" applyBorder="1" applyAlignment="1">
      <alignment horizontal="center" vertical="top" wrapText="1"/>
    </xf>
    <xf numFmtId="0" fontId="9" fillId="0" borderId="0" xfId="0" applyFont="1"/>
    <xf numFmtId="10" fontId="5" fillId="3" borderId="4" xfId="2" applyNumberFormat="1" applyFont="1" applyFill="1" applyBorder="1"/>
    <xf numFmtId="0" fontId="0" fillId="0" borderId="0" xfId="0" pivotButton="1" applyAlignment="1">
      <alignment vertical="top"/>
    </xf>
    <xf numFmtId="10" fontId="0" fillId="0" borderId="0" xfId="0" applyNumberFormat="1"/>
    <xf numFmtId="165" fontId="5" fillId="3" borderId="4" xfId="2" applyNumberFormat="1" applyFont="1" applyFill="1" applyBorder="1"/>
    <xf numFmtId="165" fontId="5" fillId="3" borderId="0" xfId="0" applyNumberFormat="1" applyFont="1" applyFill="1"/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4">
    <cellStyle name="Currency" xfId="1" builtinId="4"/>
    <cellStyle name="Normal" xfId="0" builtinId="0"/>
    <cellStyle name="Normal 18" xfId="3" xr:uid="{2A504B10-7F54-4E2D-B0E4-83871B6AC25A}"/>
    <cellStyle name="Percent" xfId="2" builtinId="5"/>
  </cellStyles>
  <dxfs count="96"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alignment horizontal="center" vertical="center" wrapText="1"/>
    </dxf>
    <dxf>
      <alignment horizontal="general" vertical="bottom" textRotation="0" wrapText="0" indent="0" justifyLastLine="0" shrinkToFit="0" readingOrder="0"/>
    </dxf>
    <dxf>
      <numFmt numFmtId="14" formatCode="0.00%"/>
    </dxf>
    <dxf>
      <numFmt numFmtId="166" formatCode="\$#,##0.00"/>
    </dxf>
    <dxf>
      <numFmt numFmtId="166" formatCode="\$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  <scheme val="none"/>
      </font>
    </dxf>
    <dxf>
      <numFmt numFmtId="166" formatCode="\$#,##0.00"/>
    </dxf>
    <dxf>
      <numFmt numFmtId="166" formatCode="\$#,##0.00"/>
    </dxf>
    <dxf>
      <numFmt numFmtId="168" formatCode="dd/mm/yyyy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8" formatCode="dd/mm/yyyy"/>
    </dxf>
    <dxf>
      <numFmt numFmtId="168" formatCode="dd/mm/yyyy"/>
    </dxf>
    <dxf>
      <numFmt numFmtId="30" formatCode="@"/>
    </dxf>
    <dxf>
      <numFmt numFmtId="14" formatCode="0.00%"/>
    </dxf>
    <dxf>
      <numFmt numFmtId="166" formatCode="\$#,##0.00"/>
    </dxf>
    <dxf>
      <numFmt numFmtId="166" formatCode="\$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  <scheme val="none"/>
      </font>
    </dxf>
    <dxf>
      <numFmt numFmtId="166" formatCode="\$#,##0.00"/>
    </dxf>
    <dxf>
      <numFmt numFmtId="166" formatCode="\$#,##0.00"/>
    </dxf>
    <dxf>
      <numFmt numFmtId="168" formatCode="dd/mm/yyyy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8" formatCode="dd/mm/yyyy"/>
    </dxf>
    <dxf>
      <numFmt numFmtId="168" formatCode="dd/mm/yyyy"/>
    </dxf>
    <dxf>
      <numFmt numFmtId="30" formatCode="@"/>
    </dxf>
    <dxf>
      <numFmt numFmtId="0" formatCode="General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alignment horizontal="general" vertical="bottom" textRotation="0" wrapText="0" indent="0" justifyLastLine="0" shrinkToFit="0" readingOrder="0"/>
    </dxf>
    <dxf>
      <numFmt numFmtId="30" formatCode="@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font>
        <color theme="0"/>
      </font>
    </dxf>
    <dxf>
      <font>
        <color theme="0"/>
      </font>
    </dxf>
    <dxf>
      <font>
        <color theme="0"/>
      </font>
    </dxf>
    <dxf>
      <alignment vertical="top"/>
    </dxf>
    <dxf>
      <alignment vertical="top"/>
    </dxf>
    <dxf>
      <alignment vertical="top"/>
    </dxf>
    <dxf>
      <alignment vertical="top"/>
    </dxf>
    <dxf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30" formatCode="@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4" formatCode="0.00%"/>
      <alignment horizontal="general" vertical="bottom" textRotation="0" wrapText="0" indent="0" justifyLastLine="0" shrinkToFit="0" readingOrder="0"/>
    </dxf>
    <dxf>
      <numFmt numFmtId="0" formatCode="General"/>
      <alignment horizontal="center" vertical="center" wrapText="1"/>
    </dxf>
    <dxf>
      <font>
        <color theme="0"/>
      </font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alignment horizont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alignment horizontal="center" wrapText="1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center" vertical="center" wrapText="1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76200</xdr:rowOff>
    </xdr:from>
    <xdr:to>
      <xdr:col>1</xdr:col>
      <xdr:colOff>329205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921B63-2D8C-41AC-B02E-49AEAA27B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5920" y="76200"/>
          <a:ext cx="2150385" cy="6001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83820</xdr:rowOff>
    </xdr:from>
    <xdr:to>
      <xdr:col>1</xdr:col>
      <xdr:colOff>359685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F7947D0-042C-4806-94C2-B294BA3E7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83820"/>
          <a:ext cx="2150385" cy="60019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Mejia" refreshedDate="46024.444715625003" createdVersion="8" refreshedVersion="8" minRefreshableVersion="3" recordCount="212" xr:uid="{F1CA2943-AE00-4596-B1C0-C8370C58F79E}">
  <cacheSource type="worksheet">
    <worksheetSource ref="A2:BQ1048576" sheet="R_Completo"/>
  </cacheSource>
  <cacheFields count="69">
    <cacheField name="Código acreditado" numFmtId="0">
      <sharedItems containsBlank="1"/>
    </cacheField>
    <cacheField name="Nom. región" numFmtId="0">
      <sharedItems containsBlank="1"/>
    </cacheField>
    <cacheField name="Coordinación" numFmtId="0">
      <sharedItems containsBlank="1" count="6">
        <s v="Valle de bravo"/>
        <s v="Metepec"/>
        <s v="Maravatio"/>
        <s v="Tenancingo"/>
        <s v="Atlacomulco"/>
        <m/>
      </sharedItems>
    </cacheField>
    <cacheField name="Código promotor" numFmtId="0">
      <sharedItems containsBlank="1"/>
    </cacheField>
    <cacheField name="Nombre promotor" numFmtId="0">
      <sharedItems containsBlank="1"/>
    </cacheField>
    <cacheField name="Código recuperador" numFmtId="0">
      <sharedItems containsBlank="1" count="9">
        <s v="000020"/>
        <s v="000080"/>
        <s v="000085"/>
        <s v="000078"/>
        <s v="000037"/>
        <s v="000039"/>
        <s v="000079"/>
        <s v="000082"/>
        <m/>
      </sharedItems>
    </cacheField>
    <cacheField name="Nombre recuperador" numFmtId="0">
      <sharedItems containsBlank="1" count="9">
        <s v="Campos Sanchez Victor Humberto"/>
        <s v="Lopez Ramirez Irving Omar"/>
        <s v="Campuzano Sanchez Humbert"/>
        <s v="Atilano Saucedo Fortino"/>
        <s v="CREDIFLEXI CREDIFLEXI CREDIFLEXI"/>
        <s v="CALL CENTER"/>
        <s v="Gomez Campos Olga Janet"/>
        <s v="ENRIQUEZ VILCHIS MARIA ALEJANDRA"/>
        <m/>
      </sharedItems>
    </cacheField>
    <cacheField name="Ciclo" numFmtId="0">
      <sharedItems containsBlank="1"/>
    </cacheField>
    <cacheField name="Nombre acreditado" numFmtId="0">
      <sharedItems containsBlank="1"/>
    </cacheField>
    <cacheField name="Inicio ciclo" numFmtId="0">
      <sharedItems containsNonDate="0" containsDate="1" containsString="0" containsBlank="1" minDate="2023-08-04T00:00:00" maxDate="2025-12-19T00:00:00"/>
    </cacheField>
    <cacheField name="Fin ciclo" numFmtId="0">
      <sharedItems containsNonDate="0" containsDate="1" containsString="0" containsBlank="1" minDate="2024-08-04T00:00:00" maxDate="2027-01-28T00:00:00"/>
    </cacheField>
    <cacheField name="Cantidad entregada" numFmtId="0">
      <sharedItems containsString="0" containsBlank="1" containsNumber="1" minValue="0" maxValue="350000"/>
    </cacheField>
    <cacheField name="Cantidad Prestada" numFmtId="0">
      <sharedItems containsString="0" containsBlank="1" containsNumber="1" minValue="5267.04" maxValue="368692.72"/>
    </cacheField>
    <cacheField name="Días de mora" numFmtId="0">
      <sharedItems containsString="0" containsBlank="1" containsNumber="1" containsInteger="1" minValue="0" maxValue="578"/>
    </cacheField>
    <cacheField name="PAR" numFmtId="0">
      <sharedItems containsBlank="1" count="9">
        <s v="Mayor_90"/>
        <s v="90"/>
        <s v="60"/>
        <s v="30"/>
        <s v="15"/>
        <s v="7"/>
        <s v="0"/>
        <m/>
        <s v="&gt;90" u="1"/>
      </sharedItems>
    </cacheField>
    <cacheField name="Plazo del crédito" numFmtId="0">
      <sharedItems containsString="0" containsBlank="1" containsNumber="1" containsInteger="1" minValue="1" maxValue="48"/>
    </cacheField>
    <cacheField name="Periodicidad" numFmtId="0">
      <sharedItems containsBlank="1"/>
    </cacheField>
    <cacheField name="Parcialidad + Parcialidad comisión" numFmtId="0">
      <sharedItems containsString="0" containsBlank="1" containsNumber="1" minValue="365.7" maxValue="134083.64000000001"/>
    </cacheField>
    <cacheField name="Comisión a pagar" numFmtId="0">
      <sharedItems containsString="0" containsBlank="1" containsNumber="1" containsInteger="1" minValue="0" maxValue="17409"/>
    </cacheField>
    <cacheField name="Interés moratorio saldo vencido total" numFmtId="0">
      <sharedItems containsString="0" containsBlank="1" containsNumber="1" minValue="0" maxValue="12760"/>
    </cacheField>
    <cacheField name="Pagos vencidos" numFmtId="0">
      <sharedItems containsString="0" containsBlank="1" containsNumber="1" containsInteger="1" minValue="0" maxValue="28"/>
    </cacheField>
    <cacheField name="Periodos vencidos" numFmtId="0">
      <sharedItems containsString="0" containsBlank="1" containsNumber="1" minValue="0" maxValue="21.8"/>
    </cacheField>
    <cacheField name="Saldo capital" numFmtId="0">
      <sharedItems containsString="0" containsBlank="1" containsNumber="1" minValue="0.01" maxValue="300000"/>
    </cacheField>
    <cacheField name="Saldo vencido" numFmtId="0">
      <sharedItems containsString="0" containsBlank="1" containsNumber="1" minValue="0" maxValue="277809"/>
    </cacheField>
    <cacheField name="Saldo capital vencido" numFmtId="0">
      <sharedItems containsString="0" containsBlank="1" containsNumber="1" minValue="0" maxValue="210000"/>
    </cacheField>
    <cacheField name="Saldo interés vencido" numFmtId="0">
      <sharedItems containsString="0" containsBlank="1" containsNumber="1" minValue="0" maxValue="50400"/>
    </cacheField>
    <cacheField name="Saldo comisión vencida" numFmtId="0">
      <sharedItems containsString="0" containsBlank="1" containsNumber="1" minValue="0" maxValue="17409"/>
    </cacheField>
    <cacheField name="Saldo recargos" numFmtId="0">
      <sharedItems containsString="0" containsBlank="1" containsNumber="1" minValue="0" maxValue="12760"/>
    </cacheField>
    <cacheField name="$ Último pago" numFmtId="0">
      <sharedItems containsString="0" containsBlank="1" containsNumber="1" minValue="20" maxValue="47915.51"/>
    </cacheField>
    <cacheField name="Último pago" numFmtId="0">
      <sharedItems containsNonDate="0" containsDate="1" containsString="0" containsBlank="1" minDate="2024-05-01T00:00:00" maxDate="2025-12-31T00:00:00"/>
    </cacheField>
    <cacheField name="Situación crédito" numFmtId="0">
      <sharedItems containsBlank="1"/>
    </cacheField>
    <cacheField name="Medio comunic. 1" numFmtId="0">
      <sharedItems containsString="0" containsBlank="1" containsNumber="1" containsInteger="1" minValue="2225315368" maxValue="7861289536"/>
    </cacheField>
    <cacheField name="Medio comunic. 2" numFmtId="0">
      <sharedItems containsBlank="1"/>
    </cacheField>
    <cacheField name="Medio comunic. 3" numFmtId="0">
      <sharedItems containsString="0" containsBlank="1" containsNumber="1" containsInteger="1" minValue="2225315368" maxValue="7293774847"/>
    </cacheField>
    <cacheField name="Actividad económica PLD" numFmtId="0">
      <sharedItems containsBlank="1"/>
    </cacheField>
    <cacheField name="Código actividad económica PLD" numFmtId="0">
      <sharedItems containsString="0" containsBlank="1" containsNumber="1" containsInteger="1" minValue="111063" maxValue="9900908"/>
    </cacheField>
    <cacheField name="Nombre conyuge" numFmtId="0">
      <sharedItems containsBlank="1"/>
    </cacheField>
    <cacheField name="Teléfono conyuge" numFmtId="0">
      <sharedItems containsBlank="1"/>
    </cacheField>
    <cacheField name="Nombre Referencia1" numFmtId="0">
      <sharedItems containsBlank="1"/>
    </cacheField>
    <cacheField name="Teléfono Referencia1" numFmtId="0">
      <sharedItems containsBlank="1"/>
    </cacheField>
    <cacheField name="Nombre Referencia2" numFmtId="0">
      <sharedItems containsBlank="1"/>
    </cacheField>
    <cacheField name="Teléfono Referencia2" numFmtId="0">
      <sharedItems containsBlank="1"/>
    </cacheField>
    <cacheField name="Nombre Referencia3" numFmtId="0">
      <sharedItems containsBlank="1"/>
    </cacheField>
    <cacheField name="Teléfono Referencia3" numFmtId="0">
      <sharedItems containsBlank="1"/>
    </cacheField>
    <cacheField name="Tipo Garantía 1" numFmtId="0">
      <sharedItems containsBlank="1"/>
    </cacheField>
    <cacheField name="Descripción garantía 1" numFmtId="0">
      <sharedItems containsBlank="1" longText="1"/>
    </cacheField>
    <cacheField name="Garantía 1" numFmtId="0">
      <sharedItems containsBlank="1"/>
    </cacheField>
    <cacheField name="Tipo Garantía 2" numFmtId="0">
      <sharedItems containsBlank="1"/>
    </cacheField>
    <cacheField name="Descripción garantía 2" numFmtId="0">
      <sharedItems containsBlank="1" longText="1"/>
    </cacheField>
    <cacheField name="Garantía 2" numFmtId="0">
      <sharedItems containsBlank="1"/>
    </cacheField>
    <cacheField name="Saldo total" numFmtId="0">
      <sharedItems containsString="0" containsBlank="1" containsNumber="1" minValue="58.01" maxValue="382860.06"/>
    </cacheField>
    <cacheField name="Saldo adelantado" numFmtId="0">
      <sharedItems containsString="0" containsBlank="1" containsNumber="1" minValue="0" maxValue="1550.1536496000001"/>
    </cacheField>
    <cacheField name="Cód. producto crédito" numFmtId="0">
      <sharedItems containsString="0" containsBlank="1" containsNumber="1" containsInteger="1" minValue="1" maxValue="4"/>
    </cacheField>
    <cacheField name="Nom. producto crédito" numFmtId="0">
      <sharedItems containsBlank="1"/>
    </cacheField>
    <cacheField name="Calle" numFmtId="0">
      <sharedItems containsBlank="1"/>
    </cacheField>
    <cacheField name="Colonia" numFmtId="0">
      <sharedItems containsBlank="1"/>
    </cacheField>
    <cacheField name="Entidad federativa" numFmtId="0">
      <sharedItems containsBlank="1"/>
    </cacheField>
    <cacheField name="Municipio" numFmtId="0">
      <sharedItems containsBlank="1"/>
    </cacheField>
    <cacheField name="Geolocalización domicilio" numFmtId="0">
      <sharedItems containsBlank="1"/>
    </cacheField>
    <cacheField name="Link de Geolocalización" numFmtId="0">
      <sharedItems containsBlank="1"/>
    </cacheField>
    <cacheField name="Castigado cartera" numFmtId="0">
      <sharedItems containsNonDate="0" containsString="0" containsBlank="1"/>
    </cacheField>
    <cacheField name="Nom. personal castiga cartera" numFmtId="0">
      <sharedItems containsNonDate="0" containsString="0" containsBlank="1"/>
    </cacheField>
    <cacheField name="Frecuencia" numFmtId="0">
      <sharedItems containsString="0" containsBlank="1" containsNumber="1" containsInteger="1" minValue="0" maxValue="32"/>
    </cacheField>
    <cacheField name="Criticidad" numFmtId="0">
      <sharedItems containsString="0" containsBlank="1" containsNumber="1" containsInteger="1" minValue="0" maxValue="32"/>
    </cacheField>
    <cacheField name="Forma de entrega" numFmtId="0">
      <sharedItems containsBlank="1"/>
    </cacheField>
    <cacheField name="Concepto Depósito" numFmtId="0">
      <sharedItems containsBlank="1"/>
    </cacheField>
    <cacheField name="Saldo riesgo capital" numFmtId="0">
      <sharedItems containsString="0" containsBlank="1" containsNumber="1" minValue="0" maxValue="210000"/>
    </cacheField>
    <cacheField name="Saldo riesgo total" numFmtId="0">
      <sharedItems containsString="0" containsBlank="1" containsNumber="1" minValue="0" maxValue="277809"/>
    </cacheField>
    <cacheField name="% MORA" numFmtId="0">
      <sharedItems containsString="0" containsBlank="1" containsNumber="1" minValue="0" maxValue="1.03908356579756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2">
  <r>
    <s v="001039"/>
    <s v="Región Estado México"/>
    <x v="0"/>
    <s v="000008"/>
    <s v="Lopez Vargas Betsabe Yesenia"/>
    <x v="0"/>
    <x v="0"/>
    <s v="01"/>
    <s v="GARCIA REYES GUADALUPE"/>
    <d v="2024-01-31T00:00:00"/>
    <d v="2024-10-01T00:00:00"/>
    <n v="15000.01"/>
    <n v="15801.12"/>
    <n v="578"/>
    <x v="0"/>
    <n v="8"/>
    <s v="Mensual"/>
    <n v="3393.84"/>
    <n v="464"/>
    <n v="3480"/>
    <n v="0"/>
    <n v="5"/>
    <n v="11656.93"/>
    <n v="21312.720000000001"/>
    <n v="11656.93"/>
    <n v="5022.2700000000004"/>
    <n v="1153.52"/>
    <n v="3480"/>
    <n v="3400"/>
    <d v="2024-05-01T00:00:00"/>
    <s v="Entregado"/>
    <n v="5551538204"/>
    <m/>
    <m/>
    <s v="COMPRAVENTA DE ARTICULOS DE MERCERIA Y CEDERIA"/>
    <n v="6215017"/>
    <m/>
    <m/>
    <m/>
    <m/>
    <m/>
    <m/>
    <m/>
    <m/>
    <m/>
    <m/>
    <m/>
    <m/>
    <m/>
    <m/>
    <n v="21312.720000000001"/>
    <n v="0"/>
    <n v="1"/>
    <s v="Individual mensual garantia liquida nivel I TI"/>
    <s v="ANDADOR SAUCE SN  #SN"/>
    <s v="Valle de Bravo"/>
    <s v="México"/>
    <s v="Valle De Bravo"/>
    <m/>
    <s v="Ver en mapa"/>
    <m/>
    <m/>
    <n v="20"/>
    <n v="20"/>
    <s v="Desembolso en caja"/>
    <s v="100103901"/>
    <n v="11656.93"/>
    <n v="21312.720000000001"/>
    <n v="1"/>
  </r>
  <r>
    <s v="001004"/>
    <s v="Región Estado México"/>
    <x v="0"/>
    <s v="000005"/>
    <s v="Garduño Hernandez Miguel Angel"/>
    <x v="0"/>
    <x v="0"/>
    <s v="01"/>
    <s v="DE NOVA GABINO ROSA MARTHA"/>
    <d v="2023-08-04T00:00:00"/>
    <d v="2024-08-04T00:00:00"/>
    <n v="50000"/>
    <n v="52670.39"/>
    <n v="577"/>
    <x v="0"/>
    <n v="12"/>
    <s v="Mensual"/>
    <n v="8403.93"/>
    <n v="696"/>
    <n v="1715.44"/>
    <n v="0"/>
    <n v="2.6"/>
    <n v="18787.5"/>
    <n v="24059.17"/>
    <n v="18787.48"/>
    <n v="2512.25"/>
    <n v="1044"/>
    <n v="1715.44"/>
    <n v="4200"/>
    <d v="2025-02-21T00:00:00"/>
    <s v="Entregado"/>
    <n v="7443086818"/>
    <s v="reyesjosejuan738@gmail.com"/>
    <m/>
    <s v="COMPRAVENTA DE CARNE DE RES Y OTRAS ESPECIES DE GANADO"/>
    <n v="6122014"/>
    <m/>
    <m/>
    <m/>
    <m/>
    <m/>
    <m/>
    <m/>
    <m/>
    <m/>
    <m/>
    <m/>
    <m/>
    <m/>
    <m/>
    <n v="24059.19"/>
    <n v="0"/>
    <n v="1"/>
    <s v="Individual mensual con garantia nivel I TI"/>
    <s v="FLOR DE MARIA  #SN"/>
    <s v="San Antonio"/>
    <s v="México"/>
    <s v="Valle De Bravo"/>
    <m/>
    <s v="Ver en mapa"/>
    <m/>
    <m/>
    <n v="22"/>
    <n v="21"/>
    <s v="Desembolso en caja"/>
    <s v="100100401"/>
    <n v="18787.5"/>
    <n v="24059.19"/>
    <n v="0.99999916871681893"/>
  </r>
  <r>
    <s v="001027"/>
    <s v="Región Estado México"/>
    <x v="0"/>
    <s v="000005"/>
    <s v="Garduño Hernandez Miguel Angel"/>
    <x v="0"/>
    <x v="0"/>
    <s v="01"/>
    <s v="DE PAZ ESTRADA DIANA"/>
    <d v="2023-12-08T00:00:00"/>
    <d v="2024-12-08T00:00:00"/>
    <n v="40000"/>
    <n v="42136.31"/>
    <n v="571"/>
    <x v="0"/>
    <n v="12"/>
    <s v="Mensual"/>
    <n v="7264.24"/>
    <n v="696"/>
    <n v="3480"/>
    <n v="0"/>
    <n v="6.8"/>
    <n v="31607.599999999999"/>
    <n v="53523.88"/>
    <n v="31607.599999999999"/>
    <n v="17392.28"/>
    <n v="1044"/>
    <n v="3480"/>
    <n v="1500"/>
    <d v="2024-09-14T00:00:00"/>
    <s v="Entregado"/>
    <n v="7227163914"/>
    <m/>
    <m/>
    <s v="FABRICACION DE ALGODON ABSORBENTE VENDAS TELA ADHESIVA Y PRODUCTOS SIMILARES"/>
    <n v="2433019"/>
    <m/>
    <m/>
    <m/>
    <m/>
    <m/>
    <m/>
    <m/>
    <m/>
    <m/>
    <m/>
    <m/>
    <m/>
    <m/>
    <m/>
    <n v="53523.88"/>
    <n v="0"/>
    <n v="1"/>
    <s v="Individual mensual garantia liquida nivel I TI"/>
    <s v="SANTA MARIA PIPIOLTEPEC #SN"/>
    <s v="Santa María Pipioltepec (Pipioltepec)"/>
    <s v="México"/>
    <s v="Valle De Bravo"/>
    <m/>
    <s v="Ver en mapa"/>
    <m/>
    <m/>
    <n v="21"/>
    <n v="21"/>
    <s v="Transferencia electrónica"/>
    <s v="100102701"/>
    <n v="31607.599999999999"/>
    <n v="53523.88"/>
    <n v="1"/>
  </r>
  <r>
    <s v="001016"/>
    <s v="Región Estado México"/>
    <x v="1"/>
    <s v="000024"/>
    <s v="Navor Segura Cesar"/>
    <x v="0"/>
    <x v="0"/>
    <s v="01"/>
    <s v="GUADARRAMA CONDE ISAIAS"/>
    <d v="2023-09-25T00:00:00"/>
    <d v="2024-09-25T00:00:00"/>
    <n v="130000"/>
    <n v="136943.01"/>
    <n v="526"/>
    <x v="0"/>
    <n v="12"/>
    <s v="Mensual"/>
    <n v="20230.48"/>
    <n v="696"/>
    <n v="580"/>
    <n v="0"/>
    <n v="2.1"/>
    <n v="39682.01"/>
    <n v="44620.42"/>
    <n v="39682"/>
    <n v="3488.42"/>
    <n v="870"/>
    <n v="580"/>
    <n v="5050"/>
    <d v="2024-09-20T00:00:00"/>
    <s v="Entregado"/>
    <n v="7226478184"/>
    <m/>
    <m/>
    <s v="COMPRAVENTA DE MATERIALES PARA CONSTRUCCION"/>
    <n v="6629010"/>
    <m/>
    <m/>
    <m/>
    <m/>
    <m/>
    <m/>
    <m/>
    <m/>
    <m/>
    <m/>
    <m/>
    <m/>
    <m/>
    <m/>
    <n v="42942.09"/>
    <n v="0"/>
    <n v="3"/>
    <s v="Individual mensual con garantia nivel I TPref"/>
    <s v="MIGUEL HIDALGO #104"/>
    <s v="San Francisco Putla"/>
    <s v="México"/>
    <s v="Tenango Del Valle"/>
    <m/>
    <s v="Ver en mapa"/>
    <m/>
    <m/>
    <n v="27"/>
    <n v="27"/>
    <s v="Transferencia electrónica"/>
    <s v="100101601"/>
    <n v="39682.01"/>
    <n v="42942.09"/>
    <n v="1.0390835657975659"/>
  </r>
  <r>
    <s v="001037"/>
    <s v="Región Estado México"/>
    <x v="0"/>
    <s v="000005"/>
    <s v="Garduño Hernandez Miguel Angel"/>
    <x v="0"/>
    <x v="0"/>
    <s v="01"/>
    <s v="SEBASTIAN FLORES MARGARITA"/>
    <d v="2024-01-31T00:00:00"/>
    <d v="2024-10-01T00:00:00"/>
    <n v="20000"/>
    <n v="21068.16"/>
    <n v="519"/>
    <x v="0"/>
    <n v="8"/>
    <s v="Mensual"/>
    <n v="4505.78"/>
    <n v="464"/>
    <n v="2320"/>
    <n v="0"/>
    <n v="3"/>
    <n v="10454.49"/>
    <n v="16704.25"/>
    <n v="10454.51"/>
    <n v="2888.83"/>
    <n v="1040.9100000000001"/>
    <n v="2320"/>
    <n v="4520"/>
    <d v="2024-07-25T00:00:00"/>
    <s v="Entregado"/>
    <n v="7224419211"/>
    <m/>
    <m/>
    <s v="COMPRAVENTA DE ARTICULOS DE MERCERIA Y CEDERIA"/>
    <n v="6215017"/>
    <s v="CASTILLO MIGUEL FELIPE"/>
    <s v="7224419212.0"/>
    <m/>
    <m/>
    <m/>
    <m/>
    <m/>
    <m/>
    <m/>
    <m/>
    <m/>
    <m/>
    <m/>
    <m/>
    <n v="16704.23"/>
    <n v="0"/>
    <n v="1"/>
    <s v="Individual mensual garantia liquida nivel I TI"/>
    <s v="LOS MISPEROS #SN"/>
    <s v="Loma Bonita"/>
    <s v="México"/>
    <s v="Valle De Bravo"/>
    <m/>
    <s v="Ver en mapa"/>
    <m/>
    <m/>
    <n v="21"/>
    <n v="21"/>
    <s v="Desembolso en caja"/>
    <s v="100103701"/>
    <n v="10454.49"/>
    <n v="16704.23"/>
    <n v="1.0000011973015219"/>
  </r>
  <r>
    <s v="001069"/>
    <s v="Región Estado México"/>
    <x v="1"/>
    <s v="000002"/>
    <s v="Vargas Castañeda Javier Jesus"/>
    <x v="0"/>
    <x v="0"/>
    <s v="01"/>
    <s v="GARCIA VACA MARTHA"/>
    <d v="2024-07-19T00:00:00"/>
    <d v="2025-01-19T00:00:00"/>
    <n v="15000"/>
    <n v="15000"/>
    <n v="501"/>
    <x v="0"/>
    <n v="6"/>
    <s v="Mensual"/>
    <n v="2876.97"/>
    <n v="0"/>
    <n v="0"/>
    <n v="0"/>
    <n v="6"/>
    <n v="15000"/>
    <n v="17261.82"/>
    <n v="14999.99"/>
    <n v="2261.83"/>
    <n v="0"/>
    <n v="0"/>
    <m/>
    <m/>
    <s v="Entregado"/>
    <n v="7226072677"/>
    <s v="lau.garciavaca1981@gmail.com"/>
    <m/>
    <s v="EMPLEADO DEL SECTOR PRIVADO"/>
    <n v="9501009"/>
    <m/>
    <m/>
    <m/>
    <m/>
    <m/>
    <m/>
    <m/>
    <m/>
    <m/>
    <m/>
    <m/>
    <m/>
    <m/>
    <m/>
    <n v="17261.830000000002"/>
    <n v="0"/>
    <n v="1"/>
    <s v="Individual Especial Semanal"/>
    <s v="CERRADA POPOCATEPETL #1-SN"/>
    <s v="San Bartolomé Atlatlahuca"/>
    <s v="México"/>
    <s v="Tenango Del Valle"/>
    <m/>
    <s v="Ver en mapa"/>
    <m/>
    <m/>
    <n v="17"/>
    <n v="17"/>
    <s v="Desembolso en caja"/>
    <s v="100106901"/>
    <n v="15000"/>
    <n v="17261.830000000002"/>
    <n v="0.99999942068714598"/>
  </r>
  <r>
    <s v="001056"/>
    <s v="Región Estado México"/>
    <x v="2"/>
    <s v="000016"/>
    <s v="Basurto Lara Carmen Evelia"/>
    <x v="0"/>
    <x v="0"/>
    <s v="01"/>
    <s v="CELESTINO SEGUNDO MARIA DEL CARMEN"/>
    <d v="2024-05-24T00:00:00"/>
    <d v="2025-05-24T00:00:00"/>
    <n v="25000"/>
    <n v="26335.19"/>
    <n v="374"/>
    <x v="0"/>
    <n v="12"/>
    <s v="Mensual"/>
    <n v="4230.97"/>
    <n v="696"/>
    <n v="3898.82"/>
    <n v="0"/>
    <n v="6"/>
    <n v="17352.87"/>
    <n v="29632.639999999999"/>
    <n v="17352.87"/>
    <n v="7684.95"/>
    <n v="696"/>
    <n v="3898.82"/>
    <n v="2250"/>
    <d v="2024-12-30T00:00:00"/>
    <s v="Entregado"/>
    <n v="4471660443"/>
    <s v="carmencelestino@gmail.com"/>
    <m/>
    <s v="COMPRAVENTA DE ARTICULOS PARA DECORACION"/>
    <n v="6322010"/>
    <m/>
    <m/>
    <s v="ADRIANA TAPIA BRAVO"/>
    <s v="4471044505"/>
    <s v="JUANA RODEA TAPIA"/>
    <s v="4471735169"/>
    <s v="DOLORES SOLIS"/>
    <s v="4471731819"/>
    <s v="Garantía Prendaria"/>
    <s v="Valor 65,000.00, Nombre CAMIONETA EXPLORER XLT, Folio Factura 4663, Fecha Factura 05/02/2008, Número de serie 1FMDU32X7TZB66870, Número de motor SN, Modelo 1996, Marca FORD, Propietario CELESTINO SEGUNDO MARIA DEL CARMEN"/>
    <s v="CAMIONETA EXPLORER XLT"/>
    <m/>
    <m/>
    <m/>
    <n v="29632.639999999999"/>
    <n v="0"/>
    <n v="1"/>
    <s v="Individual mensual con garantia nivel I TI"/>
    <s v="LAZARO CARDENAS #25-SN"/>
    <s v="Guadalupe"/>
    <s v="Michoacán"/>
    <s v="Maravatio"/>
    <m/>
    <s v="Ver en mapa"/>
    <m/>
    <m/>
    <n v="18"/>
    <n v="18"/>
    <s v="Transferencia electrónica"/>
    <s v="100105601"/>
    <n v="17352.87"/>
    <n v="29632.639999999999"/>
    <n v="1"/>
  </r>
  <r>
    <s v="001062"/>
    <s v="Región Estado México"/>
    <x v="2"/>
    <s v="000017"/>
    <s v="Maya Luna Norma"/>
    <x v="1"/>
    <x v="1"/>
    <s v="01"/>
    <s v="LOPEZ ESPINOZA JESUS ARMANDO"/>
    <d v="2024-06-10T00:00:00"/>
    <d v="2025-06-19T00:00:00"/>
    <n v="60000"/>
    <n v="63204.47"/>
    <n v="289"/>
    <x v="0"/>
    <n v="12"/>
    <s v="Mensual"/>
    <n v="10073.120000000001"/>
    <n v="696"/>
    <n v="1740"/>
    <n v="0"/>
    <n v="3.3"/>
    <n v="27412.04"/>
    <n v="35498.44"/>
    <n v="27412.04"/>
    <n v="5824.4000000000005"/>
    <n v="522"/>
    <n v="1740"/>
    <n v="500"/>
    <d v="2025-12-04T00:00:00"/>
    <s v="Entregado"/>
    <n v="4476902875"/>
    <s v="armando.zurimi@gmail.com"/>
    <m/>
    <s v="RESTAURANTE"/>
    <n v="8711021"/>
    <m/>
    <m/>
    <s v="ESTEPHANI LOPEZ JIMENEZ"/>
    <s v="4471032764"/>
    <s v="MARTHA ESPINOZA JIMENEZ"/>
    <s v="4471736177"/>
    <s v="ERNESTO RUBIO MARTINEZ"/>
    <s v="4471005257"/>
    <s v="Garantía Prendaria"/>
    <s v="FACTURA DE OPERADORA DE AUTOS MAYA, S.A. DE C.V., , Valor 95,000.00, Nombre AUTOMOVIL BORA STYLE, Folio Factura 0538A, Fecha Factura 22/08/2005, Número de serie 3VWPF11KX6M608338, Número de motor BGP025303, Modelo 2006, Marca VOLKSWAGEN, Propietario LOPEZ ESPINOZA JESUS ARMANDO"/>
    <s v="AUTOMOVIL BORA STYLE"/>
    <m/>
    <m/>
    <m/>
    <n v="35498.44"/>
    <n v="0"/>
    <n v="1"/>
    <s v="Individual mensual con garantia nivel I TI"/>
    <s v="FRANCISCO J MUJICA  #220-SN"/>
    <s v="INFONAVIT"/>
    <s v="Michoacán"/>
    <s v="Maravatio"/>
    <m/>
    <s v="Ver en mapa"/>
    <m/>
    <m/>
    <n v="18"/>
    <n v="18"/>
    <s v="Transferencia electrónica"/>
    <s v="100106201"/>
    <n v="27412.04"/>
    <n v="35498.44"/>
    <n v="1"/>
  </r>
  <r>
    <s v="001035"/>
    <s v="Región Estado México"/>
    <x v="0"/>
    <s v="000014"/>
    <s v="Rios Osorio Maritere"/>
    <x v="2"/>
    <x v="2"/>
    <s v="02"/>
    <s v="RAMIREZ DIAZ REBECA"/>
    <d v="2024-07-19T00:00:00"/>
    <d v="2025-07-19T00:00:00"/>
    <n v="40000"/>
    <n v="42136.31"/>
    <n v="289"/>
    <x v="0"/>
    <n v="12"/>
    <s v="Mensual"/>
    <n v="6476.17"/>
    <n v="696"/>
    <n v="2900"/>
    <n v="0"/>
    <n v="4.9000000000000004"/>
    <n v="23860.74"/>
    <n v="34785.040000000001"/>
    <n v="23860.73"/>
    <n v="7502.31"/>
    <n v="522"/>
    <n v="2900"/>
    <n v="1000"/>
    <d v="2025-04-24T00:00:00"/>
    <s v="Entregado"/>
    <n v="7222671821"/>
    <s v="rebelu_2704@hotmail.com"/>
    <m/>
    <s v="RESTAURANTE"/>
    <n v="8711021"/>
    <s v="FAITAN GUERRA DANTE"/>
    <s v="5529416705.0"/>
    <s v="MIGUEL ANGEL PAGAZO PAGAZO"/>
    <s v="7221455287"/>
    <s v="LUIS ANTONIO MERCED CRUZ"/>
    <s v="5553343631"/>
    <s v="MAURICIO MERCADO ALVAREZ"/>
    <s v="7224863196"/>
    <m/>
    <m/>
    <m/>
    <m/>
    <m/>
    <m/>
    <n v="34785.050000000003"/>
    <n v="0"/>
    <n v="1"/>
    <s v="Individual mensual garantia liquida nivel I TI"/>
    <s v="SAN JOSE  #300-SN"/>
    <s v="Valle de Bravo"/>
    <s v="México"/>
    <s v="Valle De Bravo"/>
    <m/>
    <s v="Ver en mapa"/>
    <m/>
    <m/>
    <n v="17"/>
    <n v="17"/>
    <s v="Transferencia electrónica"/>
    <s v="100103502"/>
    <n v="23860.74"/>
    <n v="34785.050000000003"/>
    <n v="0.99999971252017739"/>
  </r>
  <r>
    <s v="001245"/>
    <s v="Región Estado México"/>
    <x v="3"/>
    <s v="000037"/>
    <s v="CREDIFLEXI CREDIFLEXI CREDIFLEXI"/>
    <x v="3"/>
    <x v="3"/>
    <s v="01"/>
    <s v="ACOSTA ACOSTA ELENA"/>
    <d v="2025-04-14T00:00:00"/>
    <d v="2025-10-14T00:00:00"/>
    <n v="10000"/>
    <n v="10534.08"/>
    <n v="233"/>
    <x v="0"/>
    <n v="6"/>
    <s v="Mensual"/>
    <n v="2351.3000000000002"/>
    <n v="348"/>
    <n v="3480"/>
    <n v="0"/>
    <n v="5.6000000000000014"/>
    <n v="10129.700000000001"/>
    <n v="16703.830000000002"/>
    <n v="10129.700000000001"/>
    <n v="2688.12"/>
    <n v="406.01"/>
    <n v="3480"/>
    <n v="1000"/>
    <d v="2025-10-02T00:00:00"/>
    <s v="Entregado"/>
    <n v="7203071835"/>
    <s v="elacosta@gmail.com"/>
    <m/>
    <s v="COMPRAVENTA DE LEGUMBRES Y HORTALIZAS"/>
    <n v="6112023"/>
    <s v="SEGOVIO VICTOR MANUEL"/>
    <m/>
    <s v="ROBERTO PALMA URBANO"/>
    <s v="6645477087"/>
    <s v="MA DEL SOCORRO DOMINGUEZ"/>
    <s v="7296081362"/>
    <s v="GABRIEL JUANA PEREZ DOMINGUEZ"/>
    <s v="7221696574"/>
    <m/>
    <m/>
    <m/>
    <m/>
    <m/>
    <m/>
    <n v="16703.830000000002"/>
    <n v="0"/>
    <n v="1"/>
    <s v="Individual sin Garantía"/>
    <s v="JUAN ESCUTIA #331-SN"/>
    <s v="San José el Cuartel"/>
    <s v="México"/>
    <s v="Tenancingo"/>
    <m/>
    <s v="Ver en mapa"/>
    <m/>
    <m/>
    <n v="8"/>
    <n v="8"/>
    <s v="Transferencia electrónica"/>
    <s v="100124501"/>
    <n v="10129.700000000001"/>
    <n v="16703.830000000002"/>
    <n v="1"/>
  </r>
  <r>
    <s v="001257"/>
    <s v="Región Estado México"/>
    <x v="2"/>
    <s v="000037"/>
    <s v="CREDIFLEXI CREDIFLEXI CREDIFLEXI"/>
    <x v="1"/>
    <x v="1"/>
    <s v="01"/>
    <s v="ARMENTA GARCIA AZUCENA"/>
    <d v="2025-04-21T00:00:00"/>
    <d v="2025-10-21T00:00:00"/>
    <n v="5000"/>
    <n v="5267.04"/>
    <n v="226"/>
    <x v="0"/>
    <n v="6"/>
    <s v="Mensual"/>
    <n v="1320.32"/>
    <n v="348"/>
    <n v="3480"/>
    <n v="0"/>
    <n v="5.2"/>
    <n v="4659.5200000000004"/>
    <n v="10467.9"/>
    <n v="4659.5200000000004"/>
    <n v="1922.38"/>
    <n v="406"/>
    <n v="3480"/>
    <n v="1050"/>
    <d v="2025-05-21T00:00:00"/>
    <s v="Entregado"/>
    <n v="4471516545"/>
    <s v="azucenaarmenta65@gmail.com"/>
    <m/>
    <s v="COMPRAVENTA DE ROPA"/>
    <n v="6211023"/>
    <m/>
    <m/>
    <s v="MARIA JOSEFINA ALONZO"/>
    <s v="4471252542"/>
    <s v="MICHEL ESTEFANI LIRA MIRRANDA"/>
    <s v="4471060791"/>
    <s v="ILIANA ABIGAIL MANRIQUEZ"/>
    <s v="4472036183"/>
    <m/>
    <m/>
    <m/>
    <m/>
    <m/>
    <m/>
    <n v="10467.9"/>
    <n v="0"/>
    <n v="1"/>
    <s v="Individual sin Garantía"/>
    <s v="SAN FRANCISCO #13-SN"/>
    <s v="Uripitio"/>
    <s v="Michoacán"/>
    <s v="Maravatio"/>
    <m/>
    <s v="Ver en mapa"/>
    <m/>
    <m/>
    <n v="8"/>
    <n v="8"/>
    <s v="Transferencia electrónica"/>
    <s v="100125701"/>
    <n v="4659.5200000000004"/>
    <n v="10467.9"/>
    <n v="1"/>
  </r>
  <r>
    <s v="001270"/>
    <s v="Región Estado México"/>
    <x v="2"/>
    <s v="000037"/>
    <s v="CREDIFLEXI CREDIFLEXI CREDIFLEXI"/>
    <x v="1"/>
    <x v="1"/>
    <s v="01"/>
    <s v="MORENO AGUILLON GEOVANNI MARTYN"/>
    <d v="2025-04-25T00:00:00"/>
    <d v="2025-10-25T00:00:00"/>
    <n v="7000"/>
    <n v="7373.85"/>
    <n v="221"/>
    <x v="0"/>
    <n v="6"/>
    <s v="Mensual"/>
    <n v="1825.24"/>
    <n v="348"/>
    <n v="3480"/>
    <n v="0"/>
    <n v="6"/>
    <n v="7373.85"/>
    <n v="14547.45"/>
    <n v="7373.85"/>
    <n v="3229.6"/>
    <n v="464"/>
    <n v="3480"/>
    <m/>
    <m/>
    <s v="Entregado"/>
    <n v="3349586209"/>
    <s v="morenogeovanni633@gmail.com"/>
    <m/>
    <s v="COMPRAVENTA DE MUEBLES"/>
    <n v="6312011"/>
    <s v="HERNANDEZ GONZALEZ EVA"/>
    <s v="3349586209.0"/>
    <s v="MARTIN AGUILAR HERNANDEZ"/>
    <s v="4622905488"/>
    <s v="BENJAMIN ACOSTA GARCIA"/>
    <s v="3311713150"/>
    <s v="EDGARDO MORENO BAUUTISTA"/>
    <s v="4778198022"/>
    <m/>
    <m/>
    <m/>
    <m/>
    <m/>
    <m/>
    <n v="14547.45"/>
    <n v="0"/>
    <n v="1"/>
    <s v="Individual sin Garantía"/>
    <s v="FRANCISCO J MUJICA #232-SN"/>
    <s v="INFONAVIT"/>
    <s v="Michoacán"/>
    <s v="Maravatio"/>
    <m/>
    <s v="Ver en mapa"/>
    <m/>
    <m/>
    <n v="8"/>
    <n v="8"/>
    <s v="Transferencia electrónica"/>
    <s v="100127001"/>
    <n v="7373.85"/>
    <n v="14547.45"/>
    <n v="1"/>
  </r>
  <r>
    <s v="001274"/>
    <s v="Región Estado México"/>
    <x v="3"/>
    <s v="000037"/>
    <s v="CREDIFLEXI CREDIFLEXI CREDIFLEXI"/>
    <x v="3"/>
    <x v="3"/>
    <s v="01"/>
    <s v="BERNAL BERNAL MARIA YESSENIA"/>
    <d v="2025-04-30T00:00:00"/>
    <d v="2025-10-30T00:00:00"/>
    <n v="15000"/>
    <n v="15801.12"/>
    <n v="217"/>
    <x v="0"/>
    <n v="6"/>
    <s v="Mensual"/>
    <n v="3844.95"/>
    <n v="348"/>
    <n v="3480"/>
    <n v="0"/>
    <n v="6"/>
    <n v="15801.12"/>
    <n v="26665.69"/>
    <n v="15801.12"/>
    <n v="6920.57"/>
    <n v="464"/>
    <n v="3480"/>
    <m/>
    <m/>
    <s v="Entregado"/>
    <n v="7224191963"/>
    <s v="maryessbb@gmail.com"/>
    <m/>
    <s v="CULTIVO DE FLORES Y PLANTAS DE ORNATO"/>
    <n v="131011"/>
    <s v="MORALES VAZQUEZ JESUS ARMANDO"/>
    <m/>
    <s v="MARI CARMEN MORALES VAZQUEZ"/>
    <s v="7225656079"/>
    <s v="ROSA ELENA BERNAL BERNAL"/>
    <s v="7221065423"/>
    <s v="ARNULFO BERNAL TRUJILLO"/>
    <s v="7291078655"/>
    <m/>
    <m/>
    <m/>
    <m/>
    <m/>
    <m/>
    <n v="26665.69"/>
    <n v="0"/>
    <n v="1"/>
    <s v="Individual sin Garantía"/>
    <s v="DOM CON  #SN"/>
    <s v="Villa Guerrero"/>
    <s v="México"/>
    <s v="Villa Guerrero"/>
    <m/>
    <s v="Ver en mapa"/>
    <m/>
    <m/>
    <n v="8"/>
    <n v="8"/>
    <s v="Transferencia electrónica"/>
    <s v="100127401"/>
    <n v="15801.12"/>
    <n v="26665.69"/>
    <n v="1"/>
  </r>
  <r>
    <s v="001285"/>
    <s v="Región Estado México"/>
    <x v="3"/>
    <s v="000037"/>
    <s v="CREDIFLEXI CREDIFLEXI CREDIFLEXI"/>
    <x v="3"/>
    <x v="3"/>
    <s v="01"/>
    <s v="GONZALEZ GUADARRAMA EDUARDO"/>
    <d v="2025-04-30T00:00:00"/>
    <d v="2026-04-30T00:00:00"/>
    <n v="12000"/>
    <n v="12640.89"/>
    <n v="217"/>
    <x v="0"/>
    <n v="12"/>
    <s v="Mensual"/>
    <n v="2031.63"/>
    <n v="696"/>
    <n v="4640"/>
    <n v="0"/>
    <n v="8"/>
    <n v="12640.89"/>
    <n v="20893.033427333299"/>
    <n v="8427.26"/>
    <n v="7361.77"/>
    <n v="464"/>
    <n v="4640"/>
    <m/>
    <m/>
    <s v="Entregado"/>
    <n v="7222031200"/>
    <s v="pgg250789@gmail.com"/>
    <m/>
    <s v="RESTAURANTE"/>
    <n v="8711021"/>
    <s v="GARCIA GALLEGOS PATRICIA"/>
    <m/>
    <s v="LETICIA GARCIA GALLEGOS"/>
    <s v="7223878493"/>
    <s v="MARIA GABRIELA BAUTISTA GARCIA"/>
    <s v="7224940976"/>
    <s v="VICTOR BALCAZAR"/>
    <s v="7226835984"/>
    <m/>
    <m/>
    <m/>
    <m/>
    <m/>
    <m/>
    <n v="28787.55"/>
    <n v="0"/>
    <n v="1"/>
    <s v="Individual sin Garantía"/>
    <s v="CEDROS #122-SN"/>
    <s v="Shiperes"/>
    <s v="México"/>
    <s v="Tenancingo"/>
    <m/>
    <s v="Ver en mapa"/>
    <m/>
    <m/>
    <n v="8"/>
    <n v="8"/>
    <s v="Transferencia electrónica"/>
    <s v="100128501"/>
    <n v="12640.89"/>
    <n v="28787.55"/>
    <n v="0.72576629228028433"/>
  </r>
  <r>
    <s v="001295"/>
    <s v="Región Estado México"/>
    <x v="0"/>
    <s v="000037"/>
    <s v="CREDIFLEXI CREDIFLEXI CREDIFLEXI"/>
    <x v="2"/>
    <x v="2"/>
    <s v="01"/>
    <s v="TRINIDAD ORTEGA MARIBEL"/>
    <d v="2025-05-07T00:00:00"/>
    <d v="2025-11-07T00:00:00"/>
    <n v="5000"/>
    <n v="5267.04"/>
    <n v="207"/>
    <x v="0"/>
    <n v="6"/>
    <s v="Mensual"/>
    <n v="1322.42"/>
    <n v="348"/>
    <n v="2900"/>
    <n v="0"/>
    <n v="5.6000000000000014"/>
    <n v="5091.62"/>
    <n v="10272.5"/>
    <n v="5091.62"/>
    <n v="1932.88"/>
    <n v="348"/>
    <n v="2900"/>
    <n v="1200"/>
    <d v="2025-06-18T00:00:00"/>
    <s v="Entregado"/>
    <n v="7205451836"/>
    <s v="maribeltrinidad78@gmail.com"/>
    <m/>
    <s v="COMPRAVENTA DE LEGUMBRES Y HORTALIZAS"/>
    <n v="6112023"/>
    <m/>
    <m/>
    <s v="MARIA GUADALUPE EMETERIO"/>
    <s v="7297364541"/>
    <s v="JERONIMO RAMIREZ DE LA CRUZ"/>
    <s v="7471491786"/>
    <s v="JOSEFINA EMETERIO GARCIA"/>
    <s v="5513416476"/>
    <m/>
    <m/>
    <m/>
    <m/>
    <m/>
    <m/>
    <n v="10272.5"/>
    <n v="0"/>
    <n v="1"/>
    <s v="Individual sin Garantía"/>
    <s v="DOM CON #SN"/>
    <s v="San Mateo"/>
    <s v="México"/>
    <s v="Amanalco"/>
    <m/>
    <s v="Ver en mapa"/>
    <m/>
    <m/>
    <n v="7"/>
    <n v="7"/>
    <s v="Transferencia electrónica"/>
    <s v="100129501"/>
    <n v="5091.62"/>
    <n v="10272.5"/>
    <n v="1"/>
  </r>
  <r>
    <s v="001324"/>
    <s v="Región Estado México"/>
    <x v="3"/>
    <s v="000042"/>
    <s v="Avila Nieto Luis Alfredo"/>
    <x v="3"/>
    <x v="3"/>
    <s v="01"/>
    <s v="AGUILAR ORTIZ DIANA KAREN"/>
    <d v="2025-05-20T00:00:00"/>
    <d v="2025-11-04T00:00:00"/>
    <n v="5000"/>
    <n v="5267.04"/>
    <n v="206"/>
    <x v="0"/>
    <n v="24"/>
    <s v="Semanal"/>
    <n v="365.7"/>
    <n v="1392"/>
    <n v="12760"/>
    <n v="24"/>
    <n v="21.8"/>
    <n v="4828.12"/>
    <n v="21134.81"/>
    <n v="4828.12"/>
    <n v="1864.69"/>
    <n v="1682"/>
    <n v="12760"/>
    <n v="500"/>
    <d v="2025-06-04T00:00:00"/>
    <s v="Entregado"/>
    <n v="5615319505"/>
    <s v="da2789515@gmail.com"/>
    <m/>
    <s v="TORTILLERIA"/>
    <n v="2093011"/>
    <m/>
    <m/>
    <s v="ADRIANA BLANCAS RAMIREZ"/>
    <s v="7293002621"/>
    <s v="BERENICE RUBI ESTRADA TETATZIN"/>
    <s v="7228010787"/>
    <s v="ANAHI RAMIREZ ZAMORA"/>
    <s v="7228010787"/>
    <m/>
    <m/>
    <m/>
    <m/>
    <m/>
    <m/>
    <n v="21134.81"/>
    <n v="0"/>
    <n v="1"/>
    <s v="Individual sin Garantía"/>
    <s v="CLL BENITO JUAREZ #2-SN"/>
    <s v="San Nicolás"/>
    <s v="México"/>
    <s v="Malinalco"/>
    <m/>
    <s v="Ver en mapa"/>
    <m/>
    <m/>
    <n v="32"/>
    <n v="32"/>
    <s v="Transferencia electrónica"/>
    <s v="100132401"/>
    <n v="4828.12"/>
    <n v="21134.81"/>
    <n v="1"/>
  </r>
  <r>
    <s v="001341"/>
    <s v="Región Estado México"/>
    <x v="3"/>
    <s v="000042"/>
    <s v="Avila Nieto Luis Alfredo"/>
    <x v="3"/>
    <x v="3"/>
    <s v="01"/>
    <s v="DOMINGUEZ VELAZQUEZ GABRIELA"/>
    <d v="2025-05-26T00:00:00"/>
    <d v="2025-11-10T00:00:00"/>
    <n v="5000"/>
    <n v="5267.04"/>
    <n v="193"/>
    <x v="0"/>
    <n v="12"/>
    <s v="Catorcenal"/>
    <n v="673.4"/>
    <n v="696"/>
    <n v="6380"/>
    <n v="12"/>
    <n v="10.3"/>
    <n v="4562"/>
    <n v="13460.81"/>
    <n v="4562"/>
    <n v="1764.81"/>
    <n v="754"/>
    <n v="6380"/>
    <n v="500"/>
    <d v="2025-10-28T00:00:00"/>
    <s v="Entregado"/>
    <n v="7228634600"/>
    <s v="gabita24.a2@gmail.com"/>
    <m/>
    <s v="SERVICIOS DE ALIMENTOS EN LENCERIAS TAQUERIAS Y TORTERIAS"/>
    <n v="8712011"/>
    <m/>
    <m/>
    <s v="LUCIA EUSEVIA SANDOVAL"/>
    <s v="7221218282"/>
    <s v="LETICIA MEDINA PAREDES"/>
    <s v="7223018763"/>
    <s v="DIANA GRANADOS REZA"/>
    <s v="7299507509"/>
    <m/>
    <m/>
    <m/>
    <m/>
    <m/>
    <m/>
    <n v="13460.81"/>
    <n v="0"/>
    <n v="1"/>
    <s v="Individual sin Garantía"/>
    <s v="PASANDO EL PANTEON #SN"/>
    <s v="Portezuelos Uno (San Andrés)"/>
    <s v="México"/>
    <s v="Ixtapan De La Sal"/>
    <m/>
    <s v="Ver en mapa"/>
    <m/>
    <m/>
    <n v="14"/>
    <n v="14"/>
    <s v="Transferencia electrónica"/>
    <s v="100134101"/>
    <n v="4562"/>
    <n v="13460.81"/>
    <n v="1"/>
  </r>
  <r>
    <s v="001061"/>
    <s v="Región Estado México"/>
    <x v="2"/>
    <s v="000016"/>
    <s v="Basurto Lara Carmen Evelia"/>
    <x v="1"/>
    <x v="1"/>
    <s v="01"/>
    <s v="RAMIREZ ALVARADO EDUARDO FELIPE"/>
    <d v="2024-06-04T00:00:00"/>
    <d v="2025-09-04T00:00:00"/>
    <n v="80000"/>
    <n v="84272.62"/>
    <n v="182"/>
    <x v="0"/>
    <n v="15"/>
    <s v="Mensual"/>
    <n v="12168.07"/>
    <n v="870"/>
    <n v="1740"/>
    <n v="0"/>
    <n v="3"/>
    <n v="29287.439999999999"/>
    <n v="38277.06"/>
    <n v="29287.43"/>
    <n v="6959.63"/>
    <n v="290"/>
    <n v="1740"/>
    <n v="12170"/>
    <d v="2025-06-03T00:00:00"/>
    <s v="Entregado"/>
    <n v="4471051698"/>
    <s v="arcangellamaravilla248@gmail.com"/>
    <m/>
    <s v="CULTIVO DE FRESA"/>
    <n v="119017"/>
    <m/>
    <m/>
    <s v="JOSE ALFREDO VILLANUEVA"/>
    <s v="4471505629"/>
    <s v="MIGUEL JIMENEZ CABRERA"/>
    <s v="4471506587"/>
    <s v="JUAN GUADALUPE RAMIREZ"/>
    <s v="7861655445"/>
    <s v="Garantía Prendaria"/>
    <s v="TITULO DE STATE OF OKLAHOMA, Valor 166,666.00, Nombre VEHICULO AC F15 , Folio Factura 810010811822, Fecha Factura 08/11/2020, Número de serie 1FTRX12W24NC25538, Número de motor SIN NUMERO, Modelo 2004, Marca FORD, Propietario RAMIREZ ALVARADO EDUARDO FELIPE"/>
    <s v="VEHICULO AC F15"/>
    <m/>
    <m/>
    <m/>
    <n v="38277.07"/>
    <n v="0"/>
    <n v="1"/>
    <s v="Individual mensual con garantia nivel I TI"/>
    <s v="BENIGNO BUSTAMANTE #110A-SN"/>
    <s v="San Pedro Tungareo"/>
    <s v="Michoacán"/>
    <s v="Maravatio"/>
    <m/>
    <s v="Ver en mapa"/>
    <m/>
    <m/>
    <n v="16"/>
    <n v="9"/>
    <s v="Transferencia electrónica"/>
    <s v="100106101"/>
    <n v="29287.439999999999"/>
    <n v="38277.07"/>
    <n v="0.99999973874698345"/>
  </r>
  <r>
    <s v="001378"/>
    <s v="Región Estado México"/>
    <x v="0"/>
    <s v="000029"/>
    <s v="Colin Garduño Estefani"/>
    <x v="2"/>
    <x v="2"/>
    <s v="01"/>
    <s v="BAUTISTA REBOLLAR DANIEL"/>
    <d v="2025-06-06T00:00:00"/>
    <d v="2026-06-06T00:00:00"/>
    <n v="30000"/>
    <n v="31602.23"/>
    <n v="179"/>
    <x v="0"/>
    <n v="12"/>
    <s v="Mensual"/>
    <n v="4992.07"/>
    <n v="696"/>
    <n v="3480"/>
    <n v="0"/>
    <n v="6"/>
    <n v="31602.23"/>
    <n v="33432.445"/>
    <n v="15801.12"/>
    <n v="13803.33"/>
    <n v="348"/>
    <n v="3480"/>
    <m/>
    <m/>
    <s v="Entregado"/>
    <n v="7226159497"/>
    <s v="7226159497"/>
    <m/>
    <s v="FABRICACION DE HELADOS NIEVES Y PALETAS"/>
    <n v="2097013"/>
    <s v="VERONICO POMPA BLANCA YESENIA"/>
    <s v="7861219357.0"/>
    <s v="WALTER TINOCO BAUTISTA"/>
    <s v="7223712601"/>
    <s v="FRANCISCO ESQUIVEL"/>
    <s v="7226839207"/>
    <s v="ARMANDO DE LA ROSA GARDUÑO"/>
    <s v="9517772748"/>
    <m/>
    <m/>
    <m/>
    <m/>
    <m/>
    <m/>
    <n v="63036.88"/>
    <n v="0"/>
    <n v="1"/>
    <s v="Individual sin Garantía"/>
    <s v="RINCON CHICO  #SN"/>
    <s v="Colorines"/>
    <s v="México"/>
    <s v="Valle De Bravo"/>
    <s v="19°10'04.1&quot;N 100°13'11.1&quot;W"/>
    <s v="Ver en mapa"/>
    <m/>
    <m/>
    <n v="6"/>
    <n v="6"/>
    <s v="Transferencia electrónica"/>
    <s v="100137801"/>
    <n v="31602.23"/>
    <n v="63036.88"/>
    <n v="0.530363257191663"/>
  </r>
  <r>
    <s v="001304"/>
    <s v="Región Estado México"/>
    <x v="0"/>
    <s v="000037"/>
    <s v="CREDIFLEXI CREDIFLEXI CREDIFLEXI"/>
    <x v="2"/>
    <x v="2"/>
    <s v="01"/>
    <s v="BLANCO FLORES MIRELLA"/>
    <d v="2025-05-09T00:00:00"/>
    <d v="2026-05-09T00:00:00"/>
    <n v="10000"/>
    <n v="10534.08"/>
    <n v="177"/>
    <x v="0"/>
    <n v="12"/>
    <s v="Mensual"/>
    <n v="1702.69"/>
    <n v="696"/>
    <n v="3480"/>
    <n v="0"/>
    <n v="6"/>
    <n v="9656.24"/>
    <n v="13695.8423386667"/>
    <n v="5267.04"/>
    <n v="4601.1099999999997"/>
    <n v="347.69"/>
    <n v="3480"/>
    <n v="1703"/>
    <d v="2025-06-09T00:00:00"/>
    <s v="Entregado"/>
    <n v="7226786248"/>
    <s v="m2152334@gmail.com"/>
    <m/>
    <s v="EMPLEADO PRIVADO"/>
    <n v="8944098"/>
    <m/>
    <m/>
    <s v="KARINA REYES URBINA"/>
    <s v="7294499383"/>
    <s v="NANCI CASTILLO VYVA"/>
    <s v="7223487516"/>
    <s v="JOSEFINA MARIN CRUZ"/>
    <s v="7227871773"/>
    <m/>
    <m/>
    <m/>
    <m/>
    <m/>
    <m/>
    <n v="21919.3"/>
    <n v="0"/>
    <n v="1"/>
    <s v="Individual sin Garantía"/>
    <s v="CERRADA ISIDRO FABELA EL CALVA  #SN"/>
    <s v="Barranca Seca"/>
    <s v="México"/>
    <s v="Valle De Bravo"/>
    <m/>
    <s v="Ver en mapa"/>
    <m/>
    <m/>
    <n v="6"/>
    <n v="6"/>
    <s v="Transferencia electrónica"/>
    <s v="100130401"/>
    <n v="9656.24"/>
    <n v="21919.3"/>
    <n v="0.62483027919079082"/>
  </r>
  <r>
    <s v="001352"/>
    <s v="Región Estado México"/>
    <x v="3"/>
    <s v="000041"/>
    <s v="Martinez Perez Juan Daniel"/>
    <x v="3"/>
    <x v="3"/>
    <s v="01"/>
    <s v="ESCOBAR AGUILAR OSCAR"/>
    <d v="2025-05-28T00:00:00"/>
    <d v="2026-04-29T00:00:00"/>
    <n v="10000"/>
    <n v="10534.08"/>
    <n v="177"/>
    <x v="0"/>
    <n v="24"/>
    <s v="Catorcenal"/>
    <n v="849.88"/>
    <n v="1392"/>
    <n v="7540"/>
    <n v="15"/>
    <n v="13"/>
    <n v="9656.24"/>
    <n v="18588.23"/>
    <n v="5705.96"/>
    <n v="4588.51"/>
    <n v="753.76"/>
    <n v="7540"/>
    <n v="850"/>
    <d v="2025-06-25T00:00:00"/>
    <s v="Entregado"/>
    <n v="7292923057"/>
    <s v="oscarescobaraguilar@gmail.com"/>
    <m/>
    <s v="FABRICACION DE PAN Y PASTELES"/>
    <n v="2071017"/>
    <m/>
    <m/>
    <s v="YOVANI ZAMORA"/>
    <s v="6084501672"/>
    <s v="CRISOFORO CORTEZ FRANCO"/>
    <s v="7203042712"/>
    <s v="MANUEL VEGA"/>
    <s v="7141088208"/>
    <m/>
    <m/>
    <m/>
    <m/>
    <m/>
    <m/>
    <n v="25715.17"/>
    <n v="0"/>
    <n v="1"/>
    <s v="Individual sin Garantía"/>
    <s v="PROL INDEPENDENCIA #SN"/>
    <s v="San Pedro Ejido Tecomatlán"/>
    <s v="México"/>
    <s v="Tenancingo"/>
    <m/>
    <s v="Ver en mapa"/>
    <m/>
    <m/>
    <n v="13"/>
    <n v="13"/>
    <s v="Transferencia electrónica"/>
    <s v="100135201"/>
    <n v="9656.24"/>
    <n v="25715.17"/>
    <n v="0.72285075307688018"/>
  </r>
  <r>
    <s v="001342"/>
    <s v="Región Estado México"/>
    <x v="3"/>
    <s v="000042"/>
    <s v="Avila Nieto Luis Alfredo"/>
    <x v="3"/>
    <x v="3"/>
    <s v="01"/>
    <s v="GAMA GONZALEZ PEDRO"/>
    <d v="2025-05-26T00:00:00"/>
    <d v="2025-11-26T00:00:00"/>
    <n v="5000"/>
    <n v="5267.04"/>
    <n v="158"/>
    <x v="0"/>
    <n v="6"/>
    <s v="Mensual"/>
    <n v="1322.42"/>
    <n v="348"/>
    <n v="3460.42"/>
    <n v="0"/>
    <n v="5"/>
    <n v="4389.2"/>
    <n v="10072.5"/>
    <n v="4389.2"/>
    <n v="1932.88"/>
    <n v="290"/>
    <n v="3460.42"/>
    <n v="200"/>
    <d v="2025-12-16T00:00:00"/>
    <s v="Entregado"/>
    <n v="7228065155"/>
    <s v="espinoza222318@gmail.com"/>
    <m/>
    <s v="PENSIONADO"/>
    <n v="9900907"/>
    <m/>
    <m/>
    <s v="REYNA GARCIA GONZALEZ"/>
    <s v="5565256507"/>
    <s v="VICTOR CORNELIO GARCIA SOTELO"/>
    <s v="7223554519"/>
    <s v="MARIA TERESA ROGEL GARCIA"/>
    <s v="7226018034"/>
    <m/>
    <m/>
    <m/>
    <m/>
    <m/>
    <m/>
    <n v="10072.5"/>
    <n v="0"/>
    <n v="1"/>
    <s v="Individual sin Garantía"/>
    <s v="5 DE MAYO #SN"/>
    <s v="Ixtapan de la Sal"/>
    <s v="México"/>
    <s v="Ixtapan De La Sal"/>
    <m/>
    <s v="Ver en mapa"/>
    <m/>
    <m/>
    <n v="7"/>
    <n v="7"/>
    <s v="Transferencia electrónica"/>
    <s v="100134201"/>
    <n v="4389.2"/>
    <n v="10072.5"/>
    <n v="1"/>
  </r>
  <r>
    <s v="001451"/>
    <s v="Región Estado México"/>
    <x v="0"/>
    <s v="000040"/>
    <s v="Olayo Gaytan Luis Enrique"/>
    <x v="2"/>
    <x v="2"/>
    <s v="01"/>
    <s v="BAUTISTA GONZALEZ BRIANDA"/>
    <d v="2025-06-26T00:00:00"/>
    <d v="2026-07-01T00:00:00"/>
    <n v="10000"/>
    <n v="10534.08"/>
    <n v="154"/>
    <x v="0"/>
    <n v="12"/>
    <s v="Mensual"/>
    <n v="1713.2"/>
    <n v="696"/>
    <n v="2320"/>
    <n v="0"/>
    <n v="5.3"/>
    <n v="10199.44"/>
    <n v="11429.180576000001"/>
    <n v="4932.4000000000005"/>
    <n v="3886.78"/>
    <n v="290"/>
    <n v="2320"/>
    <n v="1750"/>
    <d v="2025-08-04T00:00:00"/>
    <s v="Entregado"/>
    <n v="7297872956"/>
    <s v="bribavo705@gmail.com"/>
    <m/>
    <s v="COMPRAVENTA DE OTROS ARTICULOS DE PLASTICO"/>
    <n v="6999041"/>
    <m/>
    <m/>
    <s v="ANGELICA VERENICE BAUTISTA"/>
    <s v="7223669091"/>
    <s v="DANA LAURA BAUTISTA"/>
    <s v="7293461613"/>
    <s v="GONZALO GUZMAN GONZALEZ"/>
    <s v="7297053779"/>
    <m/>
    <m/>
    <m/>
    <m/>
    <m/>
    <m/>
    <n v="21360.36"/>
    <n v="0"/>
    <n v="1"/>
    <s v="Individual sin Garantía"/>
    <s v="ISIDRO FABELA  #SN"/>
    <s v="Barranca Seca"/>
    <s v="México"/>
    <s v="Valle De Bravo"/>
    <s v="19°12'12.2&quot;N 100°07'51.8&quot;W"/>
    <s v="Ver en mapa"/>
    <m/>
    <m/>
    <n v="6"/>
    <n v="6"/>
    <s v="Transferencia electrónica"/>
    <s v="100145101"/>
    <n v="10199.44"/>
    <n v="21360.36"/>
    <n v="0.53506497905466011"/>
  </r>
  <r>
    <s v="001145"/>
    <s v="Región Estado México"/>
    <x v="1"/>
    <s v="000037"/>
    <s v="CREDIFLEXI CREDIFLEXI CREDIFLEXI"/>
    <x v="4"/>
    <x v="4"/>
    <s v="02"/>
    <s v="NAVOR SEGURA CESAR"/>
    <d v="2025-05-06T00:00:00"/>
    <d v="2026-05-06T00:00:00"/>
    <n v="14000"/>
    <n v="14000"/>
    <n v="149"/>
    <x v="0"/>
    <n v="12"/>
    <s v="Mensual"/>
    <n v="1506.19"/>
    <n v="0"/>
    <n v="0"/>
    <n v="0"/>
    <n v="5"/>
    <n v="12115.83"/>
    <n v="7527.14"/>
    <n v="5441.8"/>
    <n v="2085.34"/>
    <n v="0"/>
    <n v="0"/>
    <n v="1506.19"/>
    <d v="2025-07-31T00:00:00"/>
    <s v="Entregado"/>
    <n v="7293862169"/>
    <s v="cnavorsegura@gmail.com"/>
    <m/>
    <s v="EMPLEADO PRIVADO"/>
    <n v="8944098"/>
    <m/>
    <m/>
    <m/>
    <m/>
    <m/>
    <m/>
    <m/>
    <m/>
    <m/>
    <m/>
    <m/>
    <m/>
    <m/>
    <m/>
    <n v="14201.17"/>
    <n v="0"/>
    <n v="1"/>
    <s v="Individual Especial Semanal"/>
    <s v="FRANCISCO VILLA #134-4"/>
    <s v="El Llano del Compromiso"/>
    <s v="México"/>
    <s v="Ocoyoacac"/>
    <m/>
    <s v="Ver en mapa"/>
    <m/>
    <m/>
    <n v="6"/>
    <n v="6"/>
    <s v="Transferencia electrónica"/>
    <s v="100114502"/>
    <n v="12115.83"/>
    <n v="14201.17"/>
    <n v="0.53003660965962662"/>
  </r>
  <r>
    <s v="001397"/>
    <s v="Región Estado México"/>
    <x v="3"/>
    <s v="000042"/>
    <s v="Avila Nieto Luis Alfredo"/>
    <x v="3"/>
    <x v="3"/>
    <s v="01"/>
    <s v="CARBAJAL VAZQUEZ RICARDO"/>
    <d v="2025-06-12T00:00:00"/>
    <d v="2025-11-27T00:00:00"/>
    <n v="8000"/>
    <n v="8427.26"/>
    <n v="148"/>
    <x v="0"/>
    <n v="12"/>
    <s v="Catorcenal"/>
    <n v="1042.6400000000001"/>
    <n v="696"/>
    <n v="5220"/>
    <n v="12"/>
    <n v="9"/>
    <n v="6320.4400000000014"/>
    <n v="14718.26"/>
    <n v="6320.4400000000014"/>
    <n v="2541.3200000000002"/>
    <n v="636.5"/>
    <n v="5220"/>
    <n v="43"/>
    <d v="2025-07-28T00:00:00"/>
    <s v="Entregado"/>
    <n v="7225288410"/>
    <s v="ricardocarbajalvazquez842@gmail.com"/>
    <m/>
    <s v="EMPLEADO PRIVADO"/>
    <n v="8944098"/>
    <s v="GARCIA TRUJILLO MARICELA"/>
    <m/>
    <s v="GUSTAVO ANGEL DESIDERIO"/>
    <s v="7218890536"/>
    <s v="EDUARDO CARBAJAL GARCIA"/>
    <s v="5647483002"/>
    <m/>
    <m/>
    <m/>
    <m/>
    <m/>
    <m/>
    <m/>
    <m/>
    <n v="14718.26"/>
    <n v="0"/>
    <n v="1"/>
    <s v="Individual sin Garantía"/>
    <s v="PROGRESO #SN"/>
    <s v="El Progreso"/>
    <s v="México"/>
    <s v="Ixtapan De La Sal"/>
    <s v="18°50'55.0&quot;N 99°40'04.8&quot;W"/>
    <s v="Ver en mapa"/>
    <m/>
    <m/>
    <n v="13"/>
    <n v="13"/>
    <s v="Transferencia electrónica"/>
    <s v="100139701"/>
    <n v="6320.4400000000014"/>
    <n v="14718.26"/>
    <n v="1"/>
  </r>
  <r>
    <s v="001354"/>
    <s v="Región Estado México"/>
    <x v="3"/>
    <s v="000042"/>
    <s v="Avila Nieto Luis Alfredo"/>
    <x v="3"/>
    <x v="3"/>
    <s v="01"/>
    <s v="ROMERO ROSALIO MARIA DEL CARMEN"/>
    <d v="2025-05-29T00:00:00"/>
    <d v="2025-11-13T00:00:00"/>
    <n v="10000"/>
    <n v="10534.08"/>
    <n v="148"/>
    <x v="0"/>
    <n v="12"/>
    <s v="Catorcenal"/>
    <n v="1288.8"/>
    <n v="696"/>
    <n v="4640"/>
    <n v="12"/>
    <n v="8"/>
    <n v="7022.73"/>
    <n v="15124.42"/>
    <n v="7022.73"/>
    <n v="2823.69"/>
    <n v="638"/>
    <n v="4640"/>
    <n v="1288.8"/>
    <d v="2025-07-24T00:00:00"/>
    <s v="Entregado"/>
    <n v="7223114459"/>
    <s v="rosaliomariadelcarmen378@gmail.com"/>
    <m/>
    <s v="RESTAURANTE"/>
    <n v="8711021"/>
    <m/>
    <m/>
    <s v="MARICRUZ GARCIA ESCOBAR"/>
    <s v="7211021471"/>
    <s v="ARIANA GOMEZ SOTELO"/>
    <s v="7227536718"/>
    <s v="MARIA ISABEL GARCIA PEREZ"/>
    <s v="7221691659"/>
    <m/>
    <m/>
    <m/>
    <m/>
    <m/>
    <m/>
    <n v="15124.42"/>
    <n v="0"/>
    <n v="1"/>
    <s v="Individual sin Garantía"/>
    <s v="CAMINO REAL S #SN"/>
    <s v="Ixtapan de la Sal"/>
    <s v="México"/>
    <s v="Ixtapan De La Sal"/>
    <m/>
    <s v="Ver en mapa"/>
    <m/>
    <m/>
    <n v="11"/>
    <n v="11"/>
    <s v="Transferencia electrónica"/>
    <s v="100135401"/>
    <n v="7022.73"/>
    <n v="15124.42"/>
    <n v="1"/>
  </r>
  <r>
    <s v="001312"/>
    <s v="Región Estado México"/>
    <x v="0"/>
    <s v="000037"/>
    <s v="CREDIFLEXI CREDIFLEXI CREDIFLEXI"/>
    <x v="2"/>
    <x v="2"/>
    <s v="01"/>
    <s v="GARCIA GARCIA ROSALBA ERICA"/>
    <d v="2025-05-13T00:00:00"/>
    <d v="2026-05-13T00:00:00"/>
    <n v="10000"/>
    <n v="10534.08"/>
    <n v="142"/>
    <x v="0"/>
    <n v="12"/>
    <s v="Mensual"/>
    <n v="1702.69"/>
    <n v="696"/>
    <n v="2900"/>
    <n v="0"/>
    <n v="4.4000000000000004"/>
    <n v="8595.9500000000007"/>
    <n v="10406.1523386667"/>
    <n v="4206.75"/>
    <n v="3067.4"/>
    <n v="232"/>
    <n v="2900"/>
    <n v="500"/>
    <d v="2025-12-11T00:00:00"/>
    <s v="Entregado"/>
    <n v="7223586415"/>
    <s v="garcia83erika@gmail.com"/>
    <m/>
    <s v="COMPRAVENTA DE ROPA"/>
    <n v="6211023"/>
    <m/>
    <m/>
    <s v="MARI CRUZ GARCIA BENITEZ"/>
    <s v="7224444593"/>
    <s v="MARINA MACIEL SANCHEZ MORALES"/>
    <s v="7228160540"/>
    <s v="MARIA DE JESUS GONZALEZ REYES"/>
    <s v="7223635713"/>
    <m/>
    <m/>
    <m/>
    <m/>
    <m/>
    <m/>
    <n v="18629.61"/>
    <n v="0"/>
    <n v="1"/>
    <s v="Individual sin Garantía"/>
    <s v="COLORINES #SN"/>
    <s v="Colorines"/>
    <s v="México"/>
    <s v="Valle De Bravo"/>
    <m/>
    <s v="Ver en mapa"/>
    <m/>
    <m/>
    <n v="6"/>
    <n v="6"/>
    <s v="Transferencia electrónica"/>
    <s v="100131201"/>
    <n v="8595.9500000000007"/>
    <n v="18629.61"/>
    <n v="0.55858133040180113"/>
  </r>
  <r>
    <s v="001317"/>
    <s v="Región Estado México"/>
    <x v="3"/>
    <s v="000041"/>
    <s v="Martinez Perez Juan Daniel"/>
    <x v="3"/>
    <x v="3"/>
    <s v="01"/>
    <s v="MACHADO GONZALEZ ALEJANDRO"/>
    <d v="2025-05-14T00:00:00"/>
    <d v="2026-05-14T00:00:00"/>
    <n v="20000"/>
    <n v="21068.16"/>
    <n v="141"/>
    <x v="0"/>
    <n v="12"/>
    <s v="Mensual"/>
    <n v="3347.38"/>
    <n v="696"/>
    <n v="2900"/>
    <n v="0"/>
    <n v="4.9000000000000004"/>
    <n v="17556.8"/>
    <n v="19136.9246773333"/>
    <n v="8778.4"/>
    <n v="7226.52"/>
    <n v="232"/>
    <n v="2900"/>
    <n v="500"/>
    <d v="2025-09-22T00:00:00"/>
    <s v="Entregado"/>
    <n v="7294809159"/>
    <s v="alexmlzm@gmail.com"/>
    <m/>
    <s v="EMPLEADO PRIVADO"/>
    <n v="8944098"/>
    <m/>
    <m/>
    <s v="LUIS JAVIER SOTELO VELA"/>
    <s v="7201229534"/>
    <s v="SABINA GUARDA RAMIREZ"/>
    <s v="7225973209"/>
    <s v="ROSI ITZEL ESCOBAR GUARDA"/>
    <s v="7225450074"/>
    <m/>
    <m/>
    <m/>
    <m/>
    <m/>
    <m/>
    <n v="35583.839999999997"/>
    <n v="0"/>
    <n v="1"/>
    <s v="Individual sin Garantía"/>
    <s v="CDA DE LOS PINOS #5-SN"/>
    <s v="San José el Cuartel"/>
    <s v="México"/>
    <s v="Tenancingo"/>
    <m/>
    <s v="Ver en mapa"/>
    <m/>
    <m/>
    <n v="5"/>
    <n v="5"/>
    <s v="Transferencia electrónica"/>
    <s v="100131701"/>
    <n v="17556.8"/>
    <n v="35583.839999999997"/>
    <n v="0.53779818809137236"/>
  </r>
  <r>
    <s v="001076"/>
    <s v="Región Estado México"/>
    <x v="2"/>
    <s v="000016"/>
    <s v="Basurto Lara Carmen Evelia"/>
    <x v="1"/>
    <x v="1"/>
    <s v="01"/>
    <s v="GONZALEZ BELTRAN JOSE EMANUEL"/>
    <d v="2024-08-23T00:00:00"/>
    <d v="2025-09-15T00:00:00"/>
    <n v="30000"/>
    <n v="31602.23"/>
    <n v="140"/>
    <x v="0"/>
    <n v="12"/>
    <s v="Mensual"/>
    <n v="5448.58"/>
    <n v="696"/>
    <n v="1740"/>
    <n v="0"/>
    <n v="1.7"/>
    <n v="8804.75"/>
    <n v="11336.96"/>
    <n v="8804.76"/>
    <n v="560.20000000000005"/>
    <n v="232"/>
    <n v="1740"/>
    <n v="500"/>
    <d v="2025-12-29T00:00:00"/>
    <s v="Entregado"/>
    <n v="4171576513"/>
    <s v="josebeltran18@gmail.com"/>
    <m/>
    <s v="FABRICACION DE MUEBLES DE MADERA"/>
    <n v="2711019"/>
    <s v="BAUTISTA GARCIA MARIA DEL ROSARIO"/>
    <m/>
    <s v="MIGUEL GONZALEZ BAUTISTA"/>
    <s v="4471466258"/>
    <s v="SANDRA MARIELA GARCIA MEJIA"/>
    <s v="4471260680"/>
    <s v="FELIPE MUÑOZ"/>
    <s v="4471083180"/>
    <s v="Garantía Prendaria"/>
    <s v="TITILO EXPEDIDO POR STATE OF IOWA, Valor 59,650.00, Nombre VEHICULO GRAND CARAVAN SPORT SV, Folio Factura 77AL67194, Fecha Factura 20/03/2013, Número de serie 1D4GP44R43B300517, Número de motor SIN NUMERO, Modelo 2003, Marca DODGE, Propietario GONZALEZ BELTRAN JOSE EMANUEL"/>
    <s v="VEHICULO GRAND CARAVAN SPORT SV"/>
    <m/>
    <m/>
    <m/>
    <n v="11336.95"/>
    <n v="0"/>
    <n v="1"/>
    <s v="Individual mensual con garantia nivel I TI"/>
    <s v="REVOLUCION #591 C-SN"/>
    <s v="San Miguel Curinhuato"/>
    <s v="Michoacán"/>
    <s v="Maravatio"/>
    <m/>
    <s v="Ver en mapa"/>
    <m/>
    <m/>
    <n v="10"/>
    <n v="9"/>
    <s v="Transferencia electrónica"/>
    <s v="100107601"/>
    <n v="8804.75"/>
    <n v="11336.95"/>
    <n v="1.000000882071457"/>
  </r>
  <r>
    <s v="001332"/>
    <s v="Región Estado México"/>
    <x v="3"/>
    <s v="000041"/>
    <s v="Martinez Perez Juan Daniel"/>
    <x v="3"/>
    <x v="3"/>
    <s v="01"/>
    <s v="NUÑEZ VALLEJO ADRIANA DANIELA"/>
    <d v="2025-05-22T00:00:00"/>
    <d v="2025-11-22T00:00:00"/>
    <n v="30000"/>
    <n v="31602.23"/>
    <n v="133"/>
    <x v="0"/>
    <n v="6"/>
    <s v="Mensual"/>
    <n v="7059.79"/>
    <n v="348"/>
    <n v="2320"/>
    <n v="0"/>
    <n v="4"/>
    <n v="21068.15"/>
    <n v="30606.74"/>
    <n v="21068.15"/>
    <n v="6939.01"/>
    <n v="279.58"/>
    <n v="2320"/>
    <n v="7650"/>
    <d v="2025-07-30T00:00:00"/>
    <s v="Entregado"/>
    <n v="7222506939"/>
    <s v="danielavallejo18@icloud.com"/>
    <m/>
    <s v="COMPRAVENTA DE ROPA"/>
    <n v="6211023"/>
    <m/>
    <m/>
    <s v="VICTOR VILLA VILLEGAS"/>
    <s v="7221551295"/>
    <s v="MONICA GARCIA NUÑEZ"/>
    <s v="7295030367"/>
    <s v="MIRIAM QUIROZ RAMIREZ"/>
    <s v="7298576589"/>
    <m/>
    <m/>
    <m/>
    <m/>
    <m/>
    <m/>
    <n v="30606.74"/>
    <n v="0"/>
    <n v="1"/>
    <s v="Individual sin Garantía"/>
    <s v="CALLE EL CRUCERO #SN"/>
    <s v="San Nicolás"/>
    <s v="México"/>
    <s v="Tenancingo"/>
    <m/>
    <s v="Ver en mapa"/>
    <m/>
    <m/>
    <n v="7"/>
    <n v="7"/>
    <s v="Transferencia electrónica"/>
    <s v="100133201"/>
    <n v="21068.15"/>
    <n v="30606.74"/>
    <n v="1"/>
  </r>
  <r>
    <s v="001431"/>
    <s v="Región Estado México"/>
    <x v="0"/>
    <s v="000040"/>
    <s v="Olayo Gaytan Luis Enrique"/>
    <x v="2"/>
    <x v="2"/>
    <s v="01"/>
    <s v="ESQUIVEL SOTO LETICIA"/>
    <d v="2025-06-24T00:00:00"/>
    <d v="2025-12-24T00:00:00"/>
    <n v="5000"/>
    <n v="5267.04"/>
    <n v="130"/>
    <x v="0"/>
    <n v="6"/>
    <s v="Mensual"/>
    <n v="1320.32"/>
    <n v="348"/>
    <n v="2900"/>
    <n v="0"/>
    <n v="4.5"/>
    <n v="4111.67"/>
    <n v="8781.58"/>
    <n v="4111.67"/>
    <n v="1537.91"/>
    <n v="232"/>
    <n v="2900"/>
    <n v="1300"/>
    <d v="2025-09-29T00:00:00"/>
    <s v="Entregado"/>
    <n v="5642385924"/>
    <s v="esquivelsotoleticia83@gmail.com"/>
    <m/>
    <s v="TIENDA DE ABARROTES Y MISCELANEA"/>
    <n v="6131023"/>
    <s v="SALVADOR ARIAS LORENZO"/>
    <s v="5642385924.0"/>
    <s v="ELVIRA AGUILAR CASTILLO"/>
    <s v="7293358332"/>
    <s v="CARLOS SALVADOR ARIES"/>
    <s v="7225310616"/>
    <s v="LORENZO SALVADOR  ARIES"/>
    <s v="5665416876"/>
    <m/>
    <m/>
    <m/>
    <m/>
    <m/>
    <m/>
    <n v="8781.58"/>
    <n v="0"/>
    <n v="1"/>
    <s v="Individual sin Garantía"/>
    <s v="SAN BARTOLO AMANALCO #SN -SN"/>
    <s v="San Bartolo"/>
    <s v="México"/>
    <s v="Amanalco"/>
    <s v="https://www.google.com/maps/@1"/>
    <s v="Ver en mapa"/>
    <m/>
    <m/>
    <n v="6"/>
    <n v="6"/>
    <s v="Transferencia electrónica"/>
    <s v="100143101"/>
    <n v="4111.67"/>
    <n v="8781.58"/>
    <n v="1"/>
  </r>
  <r>
    <s v="001336"/>
    <s v="Región Estado México"/>
    <x v="4"/>
    <s v="000047"/>
    <s v="Juarez Matias Alejandro"/>
    <x v="1"/>
    <x v="1"/>
    <s v="01"/>
    <s v="SANCHEZ LINARES OSCAR"/>
    <d v="2025-05-23T00:00:00"/>
    <d v="2026-05-23T00:00:00"/>
    <n v="20000"/>
    <n v="21068.16"/>
    <n v="130"/>
    <x v="0"/>
    <n v="12"/>
    <s v="Mensual"/>
    <n v="3347.38"/>
    <n v="696"/>
    <n v="2900"/>
    <n v="0"/>
    <n v="5"/>
    <n v="17556.8"/>
    <n v="19491.684677333302"/>
    <n v="8778.4"/>
    <n v="7581.28"/>
    <n v="232"/>
    <n v="2900"/>
    <n v="6000"/>
    <d v="2025-08-14T00:00:00"/>
    <s v="Entregado"/>
    <n v="7122175275"/>
    <s v="refaccionariadelpunto@gmail.com"/>
    <m/>
    <s v="COMPRAVENTA DE REFACCIONES Y ACCESORIOS NUEVOS PARA AUTOS Y CAMIONES"/>
    <n v="6815015"/>
    <m/>
    <m/>
    <s v="RUBEN DANIEL GUTIERREZ GARCIA"/>
    <s v="2292504100"/>
    <s v="VICTOR HUGO SANCHEZ LINARES"/>
    <s v="7121074554"/>
    <s v="MARIA FERNANDA SANCHO SANCHEZ"/>
    <s v="7121365176"/>
    <m/>
    <m/>
    <m/>
    <m/>
    <m/>
    <m/>
    <n v="35938.6"/>
    <n v="0"/>
    <n v="1"/>
    <s v="Individual sin Garantía"/>
    <s v="LAGUNA SUPERIOR #4-4"/>
    <s v="Río Lerma (Tic Ti)"/>
    <s v="México"/>
    <s v="Atlacomulco"/>
    <m/>
    <s v="Ver en mapa"/>
    <m/>
    <m/>
    <n v="7"/>
    <n v="7"/>
    <s v="Transferencia electrónica"/>
    <s v="100133601"/>
    <n v="17556.8"/>
    <n v="35938.6"/>
    <n v="0.54236071180661749"/>
  </r>
  <r>
    <s v="001272"/>
    <s v="Región Estado México"/>
    <x v="2"/>
    <s v="000037"/>
    <s v="CREDIFLEXI CREDIFLEXI CREDIFLEXI"/>
    <x v="1"/>
    <x v="1"/>
    <s v="01"/>
    <s v="GONZALEZ AGUIRRE JOSE"/>
    <d v="2025-04-25T00:00:00"/>
    <d v="2026-04-25T00:00:00"/>
    <n v="10000"/>
    <n v="10534.08"/>
    <n v="130"/>
    <x v="0"/>
    <n v="12"/>
    <s v="Mensual"/>
    <n v="1702.69"/>
    <n v="696"/>
    <n v="3023.39"/>
    <n v="0"/>
    <n v="5"/>
    <n v="7900.56"/>
    <n v="11478.844101333299"/>
    <n v="4389.2"/>
    <n v="3834.25"/>
    <n v="232"/>
    <n v="3023.39"/>
    <n v="1000"/>
    <d v="2025-12-17T00:00:00"/>
    <s v="Entregado"/>
    <n v="4472170440"/>
    <s v="tecladosiamo512@gmail.com"/>
    <m/>
    <s v="EMPLEADO PUBLICO"/>
    <n v="9411998"/>
    <s v="RAMOS GUERRERO ARACELI"/>
    <m/>
    <s v="J ISABEL ESQUIVEL"/>
    <s v="4471072858"/>
    <s v="ALEJANDRO FLORES"/>
    <s v="4431747146"/>
    <s v="JUAN REFUGIO MORALES"/>
    <s v="JUAN REFUGIO MORALES"/>
    <m/>
    <m/>
    <m/>
    <m/>
    <m/>
    <m/>
    <n v="18057.61"/>
    <n v="0"/>
    <n v="1"/>
    <s v="Individual sin Garantía"/>
    <s v="HIDALGO #216-SN"/>
    <s v="Lázaro Cárdenas (El Llano)"/>
    <s v="Michoacán"/>
    <s v="Maravatio"/>
    <m/>
    <s v="Ver en mapa"/>
    <m/>
    <m/>
    <n v="7"/>
    <n v="7"/>
    <s v="Transferencia electrónica"/>
    <s v="100127201"/>
    <n v="7900.56"/>
    <n v="18057.61"/>
    <n v="0.63567903511778689"/>
  </r>
  <r>
    <s v="001280"/>
    <s v="Región Estado México"/>
    <x v="2"/>
    <s v="000037"/>
    <s v="CREDIFLEXI CREDIFLEXI CREDIFLEXI"/>
    <x v="1"/>
    <x v="1"/>
    <s v="01"/>
    <s v="FRAGA LUGO ALEJANDRA"/>
    <d v="2025-04-28T00:00:00"/>
    <d v="2026-04-28T00:00:00"/>
    <n v="10000"/>
    <n v="10534.08"/>
    <n v="127"/>
    <x v="0"/>
    <n v="12"/>
    <s v="Mensual"/>
    <n v="1702.69"/>
    <n v="696"/>
    <n v="2900"/>
    <n v="0"/>
    <n v="4.6000000000000014"/>
    <n v="7900.56"/>
    <n v="10712.844101333299"/>
    <n v="4389.2"/>
    <n v="3191.64"/>
    <n v="232"/>
    <n v="2900"/>
    <n v="500"/>
    <d v="2025-10-29T00:00:00"/>
    <s v="Entregado"/>
    <n v="4471414092"/>
    <s v="fraga1601@gmail.com"/>
    <m/>
    <s v="TALLER DE CONFECCION DE VESTIDOS"/>
    <n v="2411023"/>
    <s v="RUIZ AGUILAR ISRAEL"/>
    <s v="4432638938.0"/>
    <s v="DIANA REYES"/>
    <s v="4472222231"/>
    <s v="LUZ MARIA REYES"/>
    <s v="4471092915"/>
    <s v="JUAN CARLOS GARCIA"/>
    <s v="4471532962"/>
    <m/>
    <m/>
    <m/>
    <m/>
    <m/>
    <m/>
    <n v="17291.61"/>
    <n v="0"/>
    <n v="1"/>
    <s v="Individual sin Garantía"/>
    <s v="HIDALGO #368-SN"/>
    <s v="Guadalupe"/>
    <s v="Michoacán"/>
    <s v="Maravatio"/>
    <m/>
    <s v="Ver en mapa"/>
    <m/>
    <m/>
    <n v="6"/>
    <n v="6"/>
    <s v="Transferencia electrónica"/>
    <s v="100128001"/>
    <n v="7900.56"/>
    <n v="17291.61"/>
    <n v="0.61954000242506624"/>
  </r>
  <r>
    <s v="001331"/>
    <s v="Región Estado México"/>
    <x v="0"/>
    <s v="000040"/>
    <s v="Olayo Gaytan Luis Enrique"/>
    <x v="2"/>
    <x v="2"/>
    <s v="01"/>
    <s v="CARBAJAL AGUILAR MARLEN"/>
    <d v="2025-05-23T00:00:00"/>
    <d v="2025-11-07T00:00:00"/>
    <n v="5000"/>
    <n v="5267.04"/>
    <n v="126"/>
    <x v="0"/>
    <n v="12"/>
    <s v="Catorcenal"/>
    <n v="673.4"/>
    <n v="696"/>
    <n v="3480"/>
    <n v="12"/>
    <n v="6"/>
    <n v="2633.52"/>
    <n v="7718.81"/>
    <n v="2633.52"/>
    <n v="1058.8800000000001"/>
    <n v="546.41"/>
    <n v="3480"/>
    <n v="680"/>
    <d v="2025-08-15T00:00:00"/>
    <s v="Entregado"/>
    <n v="7224078649"/>
    <s v="marlenhdsn@gmail.com"/>
    <m/>
    <s v="EMPLEADO PRIVADO"/>
    <n v="8944098"/>
    <m/>
    <m/>
    <s v="MARIA DEL CARMEN BARCENAS RODR"/>
    <s v="7226663905"/>
    <s v="ISMAEL PEÑALOZA GARDUÑO"/>
    <s v="7293220268"/>
    <s v="BRANDON FRANCISCO VELAZQUEZ ME"/>
    <s v="7224255678"/>
    <m/>
    <m/>
    <m/>
    <m/>
    <m/>
    <m/>
    <n v="7718.81"/>
    <n v="0"/>
    <n v="1"/>
    <s v="Individual sin Garantía"/>
    <s v="ALFAREROS  #129-SN"/>
    <s v="Valle de Bravo"/>
    <s v="México"/>
    <s v="Valle De Bravo"/>
    <m/>
    <s v="Ver en mapa"/>
    <m/>
    <m/>
    <n v="11"/>
    <n v="10"/>
    <s v="Transferencia electrónica"/>
    <s v="100133101"/>
    <n v="2633.52"/>
    <n v="7718.81"/>
    <n v="1"/>
  </r>
  <r>
    <s v="001357"/>
    <s v="Región Estado México"/>
    <x v="3"/>
    <s v="000042"/>
    <s v="Avila Nieto Luis Alfredo"/>
    <x v="3"/>
    <x v="3"/>
    <s v="01"/>
    <s v="CARRILLO SALINAS TATIANA"/>
    <d v="2025-05-30T00:00:00"/>
    <d v="2026-01-09T00:00:00"/>
    <n v="10000"/>
    <n v="10534.08"/>
    <n v="119"/>
    <x v="0"/>
    <n v="16"/>
    <s v="Catorcenal"/>
    <n v="1069.3399999999999"/>
    <n v="928"/>
    <n v="5220"/>
    <n v="15"/>
    <n v="9"/>
    <n v="6583.8"/>
    <n v="14840.13"/>
    <n v="5925.42"/>
    <n v="3176.66"/>
    <n v="518.04999999999995"/>
    <n v="5220"/>
    <n v="1070"/>
    <d v="2025-08-22T00:00:00"/>
    <s v="Entregado"/>
    <n v="7221191802"/>
    <s v="tatiscarrillo0201@hotmail.com"/>
    <m/>
    <s v="EMPLEADO PRIVADO"/>
    <n v="8944098"/>
    <m/>
    <m/>
    <s v="ROSA MARIA SANCHEZ GARCIA"/>
    <s v="7221459037"/>
    <s v="JUAN CARLOS GONZALEZ LARA"/>
    <s v="7224918355"/>
    <s v="RAFAEL SANCHEZ MADARIAGA"/>
    <s v="7224446260"/>
    <m/>
    <m/>
    <m/>
    <m/>
    <m/>
    <m/>
    <n v="15851.47"/>
    <n v="0"/>
    <n v="1"/>
    <s v="Individual sin Garantía"/>
    <s v="5 DE MAYO  #303-SN"/>
    <s v="Santiaguito Cuaxustenco"/>
    <s v="México"/>
    <s v="Tenango Del Valle"/>
    <m/>
    <s v="Ver en mapa"/>
    <m/>
    <m/>
    <n v="9"/>
    <n v="9"/>
    <s v="Transferencia electrónica"/>
    <s v="100135701"/>
    <n v="6583.8"/>
    <n v="15851.47"/>
    <n v="0.9361989771295659"/>
  </r>
  <r>
    <s v="001423"/>
    <s v="Región Estado México"/>
    <x v="1"/>
    <s v="000037"/>
    <s v="CREDIFLEXI CREDIFLEXI CREDIFLEXI"/>
    <x v="5"/>
    <x v="5"/>
    <s v="01"/>
    <s v="AGUADO MARTINEZ RENE JOAQUIN"/>
    <d v="2025-08-05T00:00:00"/>
    <d v="2025-11-05T00:00:00"/>
    <n v="0"/>
    <n v="210000"/>
    <n v="119"/>
    <x v="0"/>
    <n v="3"/>
    <s v="Mensual"/>
    <n v="18403"/>
    <n v="17409"/>
    <n v="0"/>
    <n v="0"/>
    <n v="7.2"/>
    <n v="210000"/>
    <n v="277809"/>
    <n v="210000"/>
    <n v="50400"/>
    <n v="17409"/>
    <n v="0"/>
    <m/>
    <m/>
    <s v="Entregado"/>
    <n v="5510686525"/>
    <s v="reneaguado@gmail.com"/>
    <m/>
    <s v="PRESTACION DE OTROS SERVICIOS TECNICOS"/>
    <n v="8429012"/>
    <s v="ESPINOZA SUZETTE MARIE"/>
    <s v="5540792811.0"/>
    <s v="JORGE RODRIGUEZ DUPOND"/>
    <s v="5544790066"/>
    <m/>
    <m/>
    <m/>
    <m/>
    <m/>
    <m/>
    <m/>
    <m/>
    <m/>
    <m/>
    <n v="277809"/>
    <n v="0"/>
    <n v="2"/>
    <s v="Individual Especial Revolvente"/>
    <s v="JESUS DEL MONTE #47-SN"/>
    <s v="Jesús del Monte"/>
    <s v="México"/>
    <s v="Huixquilucan"/>
    <m/>
    <s v="Ver en mapa"/>
    <m/>
    <m/>
    <n v="4"/>
    <n v="4"/>
    <s v="Transferencia electrónica"/>
    <s v="100142301"/>
    <n v="210000"/>
    <n v="277809"/>
    <n v="1"/>
  </r>
  <r>
    <s v="001473"/>
    <s v="Región Estado México"/>
    <x v="3"/>
    <s v="000042"/>
    <s v="Avila Nieto Luis Alfredo"/>
    <x v="3"/>
    <x v="3"/>
    <s v="01"/>
    <s v="ALBARRAN ACACIO MARIA DEL CARMEN"/>
    <d v="2025-07-08T00:00:00"/>
    <d v="2026-07-08T00:00:00"/>
    <n v="10000"/>
    <n v="10534.08"/>
    <n v="116"/>
    <x v="0"/>
    <n v="12"/>
    <s v="Mensual"/>
    <n v="1702.69"/>
    <n v="696"/>
    <n v="2320"/>
    <n v="0"/>
    <n v="4"/>
    <n v="9656.24"/>
    <n v="9129.4600000000009"/>
    <n v="3511.36"/>
    <n v="3067.41"/>
    <n v="230.69"/>
    <n v="2320"/>
    <n v="2284"/>
    <d v="2025-08-21T00:00:00"/>
    <s v="Entregado"/>
    <n v="7226407121"/>
    <s v="caralba00@gmail.com"/>
    <m/>
    <s v="COMPRAVENTA DE OTROS ARTICULOS DE PLASTICO"/>
    <n v="6999041"/>
    <m/>
    <m/>
    <s v="ESTRELLA RUIZ GARCIA"/>
    <s v="7226682127"/>
    <s v="RAMIRO SILVA MORALES"/>
    <s v="7221854627"/>
    <s v="ELIZABETH GONZALEZ VAZQUEZ"/>
    <s v="7221056419"/>
    <m/>
    <m/>
    <m/>
    <m/>
    <m/>
    <m/>
    <n v="20642.3"/>
    <n v="0"/>
    <n v="1"/>
    <s v="Individual sin Garantía"/>
    <s v="BUENAVISTA #SN"/>
    <s v="Buenavista"/>
    <s v="México"/>
    <s v="Villa Guerrero"/>
    <s v="18°56'39.4&quot;N 99°39'19.0&quot;W"/>
    <s v="Ver en mapa"/>
    <m/>
    <m/>
    <n v="5"/>
    <n v="5"/>
    <s v="Transferencia electrónica"/>
    <s v="100147301"/>
    <n v="9656.24"/>
    <n v="20642.3"/>
    <n v="0.44226951454053087"/>
  </r>
  <r>
    <s v="001360"/>
    <s v="Región Estado México"/>
    <x v="0"/>
    <s v="000029"/>
    <s v="Colin Garduño Estefani"/>
    <x v="2"/>
    <x v="2"/>
    <s v="01"/>
    <s v="CAMBRON NAVA VICTOR"/>
    <d v="2025-06-03T00:00:00"/>
    <d v="2025-11-18T00:00:00"/>
    <n v="7000"/>
    <n v="7373.85"/>
    <n v="115"/>
    <x v="0"/>
    <n v="12"/>
    <s v="Catorcenal"/>
    <n v="919.56000000000006"/>
    <n v="696"/>
    <n v="3480.01"/>
    <n v="12"/>
    <n v="6"/>
    <n v="3686.92"/>
    <n v="9170.73"/>
    <n v="3686.92"/>
    <n v="1482.44"/>
    <n v="521.36"/>
    <n v="3480.01"/>
    <n v="1498"/>
    <d v="2025-09-08T00:00:00"/>
    <s v="Entregado"/>
    <n v="7292966799"/>
    <s v="victorcambro1971@gmail.com"/>
    <m/>
    <s v="TRANSPORTE EN AUTOMOVILES DE SITIO Y TURISMO"/>
    <n v="7114010"/>
    <m/>
    <m/>
    <s v="ORLANDO SALGADO BERNAL"/>
    <s v="7224318100"/>
    <s v="JULIO GABRIEL PALACIOS GARCIA"/>
    <s v="7228048725"/>
    <s v="JOHAN RAMIREZ VAZQUEZ"/>
    <s v="7226734465"/>
    <m/>
    <m/>
    <m/>
    <m/>
    <m/>
    <m/>
    <n v="9170.73"/>
    <n v="0"/>
    <n v="1"/>
    <s v="Individual sin Garantía"/>
    <s v="CDA LAURELES  #20-SN"/>
    <s v="Loma Bonita"/>
    <s v="México"/>
    <s v="Valle De Bravo"/>
    <m/>
    <s v="Ver en mapa"/>
    <m/>
    <m/>
    <n v="14"/>
    <n v="14"/>
    <s v="Transferencia electrónica"/>
    <s v="100136001"/>
    <n v="3686.92"/>
    <n v="9170.73"/>
    <n v="1"/>
  </r>
  <r>
    <s v="001362"/>
    <s v="Región Estado México"/>
    <x v="0"/>
    <s v="000029"/>
    <s v="Colin Garduño Estefani"/>
    <x v="2"/>
    <x v="2"/>
    <s v="01"/>
    <s v="ESTRADA CRUZ BEATRIZ"/>
    <d v="2025-06-03T00:00:00"/>
    <d v="2026-05-05T00:00:00"/>
    <n v="25000"/>
    <n v="26335.19"/>
    <n v="115"/>
    <x v="0"/>
    <n v="24"/>
    <s v="Catorcenal"/>
    <n v="2037.7"/>
    <n v="1392"/>
    <n v="5733.43"/>
    <n v="15"/>
    <n v="9"/>
    <n v="19751.39"/>
    <n v="24014.763800000001"/>
    <n v="9875.69"/>
    <n v="7941.64"/>
    <n v="464"/>
    <n v="5733.43"/>
    <n v="700"/>
    <d v="2025-10-14T00:00:00"/>
    <s v="Entregado"/>
    <n v="7293511678"/>
    <s v="beatriz.e89@gmail.com"/>
    <m/>
    <s v="COMPRAVENTA DE ROPA"/>
    <n v="6211023"/>
    <s v="SANEMO SANCHEZ PEDRO"/>
    <s v="7293511678.0"/>
    <s v="JOSEFINA CRUZ FRUTIS"/>
    <s v="7225023325"/>
    <s v="MARIA GUADALUPE OLIVEROS CHAMORRO"/>
    <s v="7295970168"/>
    <s v="PEDRAZA NAVA REYNA"/>
    <s v="7235672081"/>
    <m/>
    <m/>
    <m/>
    <m/>
    <m/>
    <m/>
    <n v="41832.1"/>
    <n v="0"/>
    <n v="1"/>
    <s v="Individual sin Garantía"/>
    <s v="LAZARO CARDENAS  #SN"/>
    <s v="La Capilla"/>
    <s v="México"/>
    <s v="Valle De Bravo"/>
    <s v="19°12'07.3&quot;N 100°07'39.6&quot;W"/>
    <s v="Ver en mapa"/>
    <m/>
    <m/>
    <n v="12"/>
    <n v="11"/>
    <s v="Transferencia electrónica"/>
    <s v="100136201"/>
    <n v="19751.39"/>
    <n v="41832.1"/>
    <n v="0.57407502372579911"/>
  </r>
  <r>
    <s v="001490"/>
    <s v="Región Estado México"/>
    <x v="3"/>
    <s v="000042"/>
    <s v="Avila Nieto Luis Alfredo"/>
    <x v="3"/>
    <x v="3"/>
    <s v="01"/>
    <s v="FACIO VARA LUZ MARIA"/>
    <d v="2025-07-10T00:00:00"/>
    <d v="2026-01-10T00:00:00"/>
    <n v="5000"/>
    <n v="5267.04"/>
    <n v="114"/>
    <x v="0"/>
    <n v="6"/>
    <s v="Mensual"/>
    <n v="1322.42"/>
    <n v="348"/>
    <n v="2780.42"/>
    <n v="0"/>
    <n v="4"/>
    <n v="4389.2"/>
    <n v="8012.09"/>
    <n v="3511.36"/>
    <n v="1546.31"/>
    <n v="174"/>
    <n v="2780.42"/>
    <n v="500"/>
    <d v="2025-12-03T00:00:00"/>
    <s v="Entregado"/>
    <n v="7223150550"/>
    <s v="2305luzfacio@gmail.com"/>
    <m/>
    <s v="TIENDA DE ABARROTES Y MISCELANEA"/>
    <n v="6131023"/>
    <m/>
    <m/>
    <s v="JOSE JUAN FACIO VARA"/>
    <s v="7227861311"/>
    <s v="DULCE CRISTINA FACIO VARA"/>
    <s v="7295040120"/>
    <s v="MARINA VARA FUENTES"/>
    <s v="5532502067"/>
    <m/>
    <m/>
    <m/>
    <m/>
    <m/>
    <m/>
    <n v="9276.5"/>
    <n v="0"/>
    <n v="1"/>
    <s v="Individual sin Garantía"/>
    <s v="LA VALENCIANA #SN"/>
    <s v="San Francisco"/>
    <s v="México"/>
    <s v="Villa Guerrero"/>
    <s v="18°56'00.7&quot;N 99°38'40.3&quot;W"/>
    <s v="Ver en mapa"/>
    <m/>
    <m/>
    <n v="5"/>
    <n v="5"/>
    <s v="Transferencia electrónica"/>
    <s v="100149001"/>
    <n v="4389.2"/>
    <n v="9276.5"/>
    <n v="0.86369751522664795"/>
  </r>
  <r>
    <s v="001333"/>
    <s v="Región Estado México"/>
    <x v="3"/>
    <s v="000041"/>
    <s v="Martinez Perez Juan Daniel"/>
    <x v="3"/>
    <x v="3"/>
    <s v="01"/>
    <s v="CASTAÑEDA PADILLA IVETTE"/>
    <d v="2025-05-22T00:00:00"/>
    <d v="2025-11-06T00:00:00"/>
    <n v="5000"/>
    <n v="5267.04"/>
    <n v="113"/>
    <x v="0"/>
    <n v="12"/>
    <s v="Catorcenal"/>
    <n v="673.4"/>
    <n v="696"/>
    <n v="2900"/>
    <n v="12"/>
    <n v="5"/>
    <n v="2194.6"/>
    <n v="6488.81"/>
    <n v="2194.6"/>
    <n v="882.4"/>
    <n v="511.81"/>
    <n v="2900"/>
    <n v="675"/>
    <d v="2025-08-28T00:00:00"/>
    <s v="Entregado"/>
    <n v="7298803794"/>
    <s v="ivettecastaneda@gmail.com"/>
    <m/>
    <s v="RESTAURANTE"/>
    <n v="8711021"/>
    <m/>
    <m/>
    <s v="CLEMENTE GALINDO"/>
    <s v="7221196228"/>
    <s v="MAYRA CORTES"/>
    <s v="7222459682"/>
    <s v="JAZMIN PEREZ"/>
    <s v="7225119418"/>
    <m/>
    <m/>
    <m/>
    <m/>
    <m/>
    <m/>
    <n v="6488.81"/>
    <n v="0"/>
    <n v="1"/>
    <s v="Individual sin Garantía"/>
    <s v="CALLE JAIME TORRES #SN"/>
    <s v="San Nicolás"/>
    <s v="México"/>
    <s v="Tenancingo"/>
    <m/>
    <s v="Ver en mapa"/>
    <m/>
    <m/>
    <n v="9"/>
    <n v="9"/>
    <s v="Transferencia electrónica"/>
    <s v="100133301"/>
    <n v="2194.6"/>
    <n v="6488.81"/>
    <n v="1"/>
  </r>
  <r>
    <s v="001765"/>
    <s v="Región Estado México"/>
    <x v="3"/>
    <s v="000042"/>
    <s v="Avila Nieto Luis Alfredo"/>
    <x v="3"/>
    <x v="3"/>
    <s v="01"/>
    <s v="CAMACHO PEDROZA LIZETH VALERIA"/>
    <d v="2025-08-14T00:00:00"/>
    <d v="2026-02-14T00:00:00"/>
    <n v="10000"/>
    <n v="10534.08"/>
    <n v="109"/>
    <x v="0"/>
    <n v="6"/>
    <s v="Mensual"/>
    <n v="2586.83"/>
    <n v="348"/>
    <n v="2320"/>
    <n v="0"/>
    <n v="3.6"/>
    <n v="10365.23"/>
    <n v="11667.34"/>
    <n v="6853.87"/>
    <n v="2319.46"/>
    <n v="174.01"/>
    <n v="2320"/>
    <n v="1000"/>
    <d v="2025-10-25T00:00:00"/>
    <s v="Entregado"/>
    <n v="7201474818"/>
    <s v="valerializeth.campedroza@gmail.com"/>
    <m/>
    <s v="CULTIVO DE FLORES Y PLANTAS DE ORNATO"/>
    <n v="131011"/>
    <s v="CRUZ CHAVEZ LINO ARTURO"/>
    <m/>
    <s v="MARIBEL PEDROZA CASTREJON"/>
    <s v="7224658183"/>
    <s v="ANA XIMENA CAMACHO PEDROZA"/>
    <s v="7221315918"/>
    <s v="FERNANDO CRUZ CHAVEZ"/>
    <s v="7224592356"/>
    <m/>
    <m/>
    <m/>
    <m/>
    <m/>
    <m/>
    <n v="16725.009999999998"/>
    <n v="0"/>
    <n v="1"/>
    <s v="Individual sin Garantía"/>
    <s v="CJON ADOLFO LOPEZ MATEOS #SN"/>
    <s v="Santa Ana Ixtlahuatzingo (Santa Ana)"/>
    <s v="México"/>
    <s v="Tenancingo"/>
    <s v="18°58'17.3&quot;N 99°37'55.7&quot;W"/>
    <s v="Ver en mapa"/>
    <m/>
    <m/>
    <n v="4"/>
    <n v="4"/>
    <s v="Transferencia electrónica"/>
    <s v="100176501"/>
    <n v="10365.23"/>
    <n v="16725.009999999998"/>
    <n v="0.69759838708616606"/>
  </r>
  <r>
    <s v="001340"/>
    <s v="Región Estado México"/>
    <x v="3"/>
    <s v="000042"/>
    <s v="Avila Nieto Luis Alfredo"/>
    <x v="3"/>
    <x v="3"/>
    <s v="01"/>
    <s v="FIGUEROA VARA MARIA EUGENIA"/>
    <d v="2025-05-26T00:00:00"/>
    <d v="2025-09-15T00:00:00"/>
    <n v="5000"/>
    <n v="5267.04"/>
    <n v="109"/>
    <x v="0"/>
    <n v="16"/>
    <s v="Semanal"/>
    <n v="475.43"/>
    <n v="928"/>
    <n v="0"/>
    <n v="16"/>
    <n v="0.1"/>
    <n v="26.89"/>
    <n v="490.89"/>
    <n v="26.89"/>
    <n v="0"/>
    <n v="464"/>
    <n v="0"/>
    <n v="478"/>
    <d v="2025-11-06T00:00:00"/>
    <s v="Entregado"/>
    <n v="7201686870"/>
    <s v="mariafigueroa151168@gmail.com"/>
    <m/>
    <s v="COMPRAVENTA DE CALZADO"/>
    <n v="6212013"/>
    <m/>
    <m/>
    <s v="GABRIELA DOMINGUEZ VELAZQUEZ"/>
    <s v="7228634600"/>
    <s v="JORGE AYALA VILLA"/>
    <s v="7228634600"/>
    <s v="CARMEN GUARDA VAZQUEZ"/>
    <s v="5564729233"/>
    <m/>
    <m/>
    <m/>
    <m/>
    <m/>
    <m/>
    <n v="490.89"/>
    <n v="0"/>
    <n v="1"/>
    <s v="Individual sin Garantía"/>
    <s v="PROL OBREGON PASANDO EL PUENT #49-SN"/>
    <s v="El Progreso"/>
    <s v="México"/>
    <s v="Ixtapan De La Sal"/>
    <m/>
    <s v="Ver en mapa"/>
    <m/>
    <m/>
    <n v="18"/>
    <n v="17"/>
    <s v="Transferencia electrónica"/>
    <s v="100134001"/>
    <n v="26.89"/>
    <n v="490.89"/>
    <n v="1"/>
  </r>
  <r>
    <s v="001540"/>
    <s v="Región Estado México"/>
    <x v="3"/>
    <s v="000041"/>
    <s v="Martinez Perez Juan Daniel"/>
    <x v="3"/>
    <x v="3"/>
    <s v="01"/>
    <s v="GARCES PACHECO ISABEL"/>
    <d v="2025-07-15T00:00:00"/>
    <d v="2026-07-15T00:00:00"/>
    <n v="10000"/>
    <n v="10534.08"/>
    <n v="109"/>
    <x v="0"/>
    <n v="12"/>
    <s v="Mensual"/>
    <n v="1702.69"/>
    <n v="696"/>
    <n v="2320"/>
    <n v="0"/>
    <n v="3.2"/>
    <n v="9043.7800000000007"/>
    <n v="7693.46"/>
    <n v="2898.9"/>
    <n v="2300.56"/>
    <n v="174"/>
    <n v="2320"/>
    <n v="2000"/>
    <d v="2025-11-14T00:00:00"/>
    <s v="Entregado"/>
    <n v="7223455461"/>
    <s v="isabelgarces3@gmail.com"/>
    <m/>
    <s v="FABRICACION DE PAN Y PASTELES"/>
    <n v="2071017"/>
    <s v="PALOMARES CRUZ ROBERTO VICTOR"/>
    <m/>
    <s v="ANA ROSA PALOMARES GARCES"/>
    <s v="7228600375"/>
    <s v="GABRIELA MICHEL PALOMARES"/>
    <s v="5530791723"/>
    <s v="ANAYELI OFELIA PALOMARES GARCES"/>
    <s v="7205832505"/>
    <m/>
    <m/>
    <m/>
    <m/>
    <m/>
    <m/>
    <n v="19206.3"/>
    <n v="0"/>
    <n v="1"/>
    <s v="Individual sin Garantía"/>
    <s v="GUERRERO #SN"/>
    <s v="Tecomatlán (San Miguel Tecomatlán)"/>
    <s v="México"/>
    <s v="Tenancingo"/>
    <s v="18°58'58.3&quot;N 99°31'37.3&quot;W"/>
    <s v="Ver en mapa"/>
    <m/>
    <m/>
    <n v="5"/>
    <n v="5"/>
    <s v="Transferencia electrónica"/>
    <s v="100154001"/>
    <n v="9043.7800000000007"/>
    <n v="19206.3"/>
    <n v="0.40056960476510312"/>
  </r>
  <r>
    <s v="001408"/>
    <s v="Región Estado México"/>
    <x v="1"/>
    <s v="000044"/>
    <s v="Gonzalez Irala Jesus"/>
    <x v="6"/>
    <x v="6"/>
    <s v="01"/>
    <s v="MIRAFUENTES GONZALEZ ALAN YAMIR"/>
    <d v="2025-06-17T00:00:00"/>
    <d v="2025-12-17T00:00:00"/>
    <n v="10000"/>
    <n v="10534.08"/>
    <n v="107"/>
    <x v="0"/>
    <n v="6"/>
    <s v="Mensual"/>
    <n v="2582.63"/>
    <n v="348"/>
    <n v="2320"/>
    <n v="0"/>
    <n v="3.9"/>
    <n v="7022.72"/>
    <n v="12312.17"/>
    <n v="7022.72"/>
    <n v="2795.45"/>
    <n v="174"/>
    <n v="2320"/>
    <n v="1000"/>
    <d v="2025-11-27T00:00:00"/>
    <s v="Entregado"/>
    <n v="7201031689"/>
    <s v="titog0369@gmail.com"/>
    <m/>
    <s v="SALON DE BELLEZA"/>
    <n v="8933013"/>
    <m/>
    <m/>
    <s v="JAVIER ACOSTA"/>
    <s v="7205964302"/>
    <s v="SANTOS GONZALEZ"/>
    <s v="7221416489"/>
    <s v="VICTOR CALLEJAS"/>
    <s v="7205747763"/>
    <m/>
    <m/>
    <m/>
    <m/>
    <m/>
    <m/>
    <n v="12312.17"/>
    <n v="0"/>
    <n v="1"/>
    <s v="Individual sin Garantía"/>
    <s v="INDEPENCIA  #38-SN"/>
    <s v="San Pedro Cholula"/>
    <s v="México"/>
    <s v="Ocoyoacac"/>
    <s v="19°15'51.3&quot;N 99°29'12.7&quot;W"/>
    <s v="Ver en mapa"/>
    <m/>
    <m/>
    <n v="6"/>
    <n v="6"/>
    <s v="Transferencia electrónica"/>
    <s v="100140801"/>
    <n v="7022.72"/>
    <n v="12312.17"/>
    <n v="1"/>
  </r>
  <r>
    <s v="001439"/>
    <s v="Región Estado México"/>
    <x v="3"/>
    <s v="000041"/>
    <s v="Martinez Perez Juan Daniel"/>
    <x v="3"/>
    <x v="3"/>
    <s v="01"/>
    <s v="CHAVEZ PEDROZA IRENE"/>
    <d v="2025-06-24T00:00:00"/>
    <d v="2025-12-09T00:00:00"/>
    <n v="8000"/>
    <n v="8427.26"/>
    <n v="107"/>
    <x v="0"/>
    <n v="12"/>
    <s v="Catorcenal"/>
    <n v="1042.6400000000001"/>
    <n v="696"/>
    <n v="4060"/>
    <n v="12"/>
    <n v="7"/>
    <n v="4915.9000000000005"/>
    <n v="11379.69"/>
    <n v="4915.9000000000005"/>
    <n v="1976.58"/>
    <n v="427.21"/>
    <n v="4060"/>
    <n v="1650"/>
    <d v="2025-09-05T00:00:00"/>
    <s v="Entregado"/>
    <n v="7122231528"/>
    <s v="irenechavez01843@hotmail.com"/>
    <m/>
    <s v="EMPLEADO PRIVADO"/>
    <n v="8944098"/>
    <s v="GUADARRAMA GARCIA CARLOS"/>
    <m/>
    <s v="MAGALI SANCHEZ CASTILLO"/>
    <s v="7225205121"/>
    <s v="JUANA DEL ROSARIO MARTINEZ"/>
    <s v="7222024897"/>
    <s v="PABLO CABRERA SANCHEZ"/>
    <s v="7228353081"/>
    <m/>
    <m/>
    <m/>
    <m/>
    <m/>
    <m/>
    <n v="11379.69"/>
    <n v="0"/>
    <n v="1"/>
    <s v="Individual sin Garantía"/>
    <s v="C SIN NOMBRE  #SN"/>
    <s v="La Ocotalera cu"/>
    <s v="México"/>
    <s v="Tenancingo"/>
    <s v="18°57'57.5&quot;N 99°36'07.0&quot;W"/>
    <s v="Ver en mapa"/>
    <m/>
    <m/>
    <n v="9"/>
    <n v="9"/>
    <s v="Transferencia electrónica"/>
    <s v="100143901"/>
    <n v="4915.9000000000005"/>
    <n v="11379.69"/>
    <n v="1"/>
  </r>
  <r>
    <s v="001492"/>
    <s v="Región Estado México"/>
    <x v="1"/>
    <s v="000043"/>
    <s v="Cedillo Gonzalez Hugo"/>
    <x v="6"/>
    <x v="6"/>
    <s v="01"/>
    <s v="MONTES ZEPEDA GRACIELA ESMERALDA"/>
    <d v="2025-07-10T00:00:00"/>
    <d v="2025-12-25T00:00:00"/>
    <n v="5000"/>
    <n v="5267.04"/>
    <n v="106"/>
    <x v="0"/>
    <n v="12"/>
    <s v="Catorcenal"/>
    <n v="673.4"/>
    <n v="696"/>
    <n v="4640"/>
    <n v="12"/>
    <n v="8"/>
    <n v="3511.36"/>
    <n v="10024.81"/>
    <n v="3511.36"/>
    <n v="1411.85"/>
    <n v="461.6"/>
    <n v="4640"/>
    <n v="674"/>
    <d v="2025-09-04T00:00:00"/>
    <s v="Entregado"/>
    <n v="7226795168"/>
    <s v="esmeraldamonteszepeda@gmail.com"/>
    <m/>
    <s v="COMPRAVENTA DE ROPA"/>
    <n v="6211023"/>
    <s v="CARREÑO ANAYA IVAN"/>
    <m/>
    <s v="QUETZALIN ALICE CORTEZ"/>
    <s v="7224647788"/>
    <s v="IVAN CARREÑO ANAYA"/>
    <s v="7226795168"/>
    <s v="ESTHELA ZEPEDA SANCHEZ"/>
    <s v="7223477860"/>
    <m/>
    <m/>
    <m/>
    <m/>
    <m/>
    <m/>
    <n v="10024.81"/>
    <n v="0"/>
    <n v="1"/>
    <s v="Individual sin Garantía"/>
    <s v="NICOLAS BRAVO #192-SN"/>
    <s v="San Miguel"/>
    <s v="México"/>
    <s v="Metepec"/>
    <s v="19°14'56.8&quot;N 99°35'25.7&quot;W"/>
    <s v="Ver en mapa"/>
    <m/>
    <m/>
    <n v="8"/>
    <n v="8"/>
    <s v="Transferencia electrónica"/>
    <s v="100149201"/>
    <n v="3511.36"/>
    <n v="10024.81"/>
    <n v="1"/>
  </r>
  <r>
    <s v="001420"/>
    <s v="Región Estado México"/>
    <x v="3"/>
    <s v="000042"/>
    <s v="Avila Nieto Luis Alfredo"/>
    <x v="3"/>
    <x v="3"/>
    <s v="01"/>
    <s v="GUADARRAMA LOPEZ MARIA EUGENIA"/>
    <d v="2025-06-19T00:00:00"/>
    <d v="2026-06-19T00:00:00"/>
    <n v="25000"/>
    <n v="26335.19"/>
    <n v="105"/>
    <x v="0"/>
    <n v="12"/>
    <s v="Mensual"/>
    <n v="4169.7299999999996"/>
    <n v="696"/>
    <n v="2320"/>
    <n v="0"/>
    <n v="3.3"/>
    <n v="20920.57"/>
    <n v="15998.3670721667"/>
    <n v="7752.98"/>
    <n v="5751.39"/>
    <n v="174"/>
    <n v="2320"/>
    <n v="2000"/>
    <d v="2025-12-10T00:00:00"/>
    <s v="Entregado"/>
    <n v="7228603189"/>
    <s v="marug6737@gmail.com"/>
    <m/>
    <s v="RESTAURANTE"/>
    <n v="8711021"/>
    <s v="MILLAN HERRERA JOSE MIGUEL"/>
    <m/>
    <s v="VIANEY JACINTO DIAZ"/>
    <s v="7228603189"/>
    <s v="JUANA DIAZ HERNANDEZ"/>
    <s v="7224516487"/>
    <s v="JOSE ANGEL GARCIA VERA"/>
    <s v="7294881432"/>
    <m/>
    <m/>
    <m/>
    <m/>
    <m/>
    <m/>
    <n v="40668.730000000003"/>
    <n v="0"/>
    <n v="1"/>
    <s v="Individual sin Garantía"/>
    <s v="PROL RAYON #SN"/>
    <s v="Villa Guerrero"/>
    <s v="México"/>
    <s v="Villa Guerrero"/>
    <s v="18°57'33.5&quot;N 99°38'21.2&quot;W"/>
    <s v="Ver en mapa"/>
    <m/>
    <m/>
    <n v="4"/>
    <n v="4"/>
    <s v="Transferencia electrónica"/>
    <s v="100142001"/>
    <n v="20920.57"/>
    <n v="40668.730000000003"/>
    <n v="0.39338250966201049"/>
  </r>
  <r>
    <s v="001807"/>
    <s v="Región Estado México"/>
    <x v="3"/>
    <s v="000042"/>
    <s v="Avila Nieto Luis Alfredo"/>
    <x v="3"/>
    <x v="3"/>
    <s v="01"/>
    <s v="JIMENEZ VIQUEZ ALEJANDRA"/>
    <d v="2025-08-22T00:00:00"/>
    <d v="2026-02-06T00:00:00"/>
    <n v="10000"/>
    <n v="10534.08"/>
    <n v="105"/>
    <x v="0"/>
    <n v="12"/>
    <s v="Catorcenal"/>
    <n v="1288.8"/>
    <n v="696"/>
    <n v="4640"/>
    <n v="9"/>
    <n v="8"/>
    <n v="9656.24"/>
    <n v="14950.42"/>
    <n v="7022.72"/>
    <n v="2823.7"/>
    <n v="464"/>
    <n v="4640"/>
    <n v="1288.8"/>
    <d v="2025-09-05T00:00:00"/>
    <s v="Entregado"/>
    <n v="7222950728"/>
    <s v="alem.viq@gmail.com"/>
    <m/>
    <s v="SERVICIOS DE ALIMENTOS EN LENCERIAS TAQUERIAS Y TORTERIAS"/>
    <n v="8712011"/>
    <s v="ACEVEDO GOMEZ WILVER OMAR"/>
    <m/>
    <s v="GRISELDA MERIDA GARCIA"/>
    <s v="7224239669"/>
    <s v="INOSENTA LOPEZ VELAZCO"/>
    <s v="7294677816"/>
    <s v="MIGUEL LOPEZ MARTINEZ"/>
    <s v="7224673273"/>
    <m/>
    <m/>
    <m/>
    <m/>
    <m/>
    <m/>
    <n v="18642.82"/>
    <n v="0"/>
    <n v="1"/>
    <s v="Individual sin Garantía"/>
    <s v="PABLO GONZALEZ CASANOVA #39-SN"/>
    <s v="Tenancingo de Degollado Centro"/>
    <s v="México"/>
    <s v="Tenancingo"/>
    <s v="18°57'51.9&quot;N 99°35'36.2&quot;W"/>
    <s v="Ver en mapa"/>
    <m/>
    <m/>
    <n v="8"/>
    <n v="8"/>
    <s v="Transferencia electrónica"/>
    <s v="100180701"/>
    <n v="9656.24"/>
    <n v="18642.82"/>
    <n v="0.80193983528243051"/>
  </r>
  <r>
    <s v="001612"/>
    <s v="Región Estado México"/>
    <x v="3"/>
    <s v="000042"/>
    <s v="Avila Nieto Luis Alfredo"/>
    <x v="3"/>
    <x v="3"/>
    <s v="01"/>
    <s v="NOVERON MARTINEZ HAZURI ARANZAZU"/>
    <d v="2025-07-23T00:00:00"/>
    <d v="2026-01-23T00:00:00"/>
    <n v="10000"/>
    <n v="10534.08"/>
    <n v="101"/>
    <x v="0"/>
    <n v="6"/>
    <s v="Mensual"/>
    <n v="2586.83"/>
    <n v="348"/>
    <n v="2320"/>
    <n v="0"/>
    <n v="4"/>
    <n v="8779.23"/>
    <n v="12668.1732693333"/>
    <n v="7023.55"/>
    <n v="3092.62"/>
    <n v="232"/>
    <n v="2320"/>
    <n v="2586"/>
    <d v="2025-08-25T00:00:00"/>
    <s v="Entregado"/>
    <n v="7299320496"/>
    <s v="noveronaranza622@gmail.com"/>
    <m/>
    <s v="FABRICACION DE PAN Y PASTELES"/>
    <n v="2071017"/>
    <s v="ARRIAGA NAVA FRANCISCO"/>
    <m/>
    <s v="SABDI SINAHI MARTINEZ SUAREZ"/>
    <s v="7227716303"/>
    <s v="FRANCISCO ARRIAGA NAVA"/>
    <s v="7203867108"/>
    <s v="MICAELA NOVERON MARTINEZ"/>
    <s v="7146904661"/>
    <m/>
    <m/>
    <m/>
    <m/>
    <m/>
    <m/>
    <n v="15197.01"/>
    <n v="0"/>
    <n v="1"/>
    <s v="Individual sin Garantía"/>
    <s v="ALDAMA  #54-3"/>
    <s v="Villa Guerrero"/>
    <s v="México"/>
    <s v="Villa Guerrero"/>
    <s v="18°57'54.7&quot;N 99°38'26.9&quot;W"/>
    <s v="Ver en mapa"/>
    <m/>
    <m/>
    <n v="4"/>
    <n v="4"/>
    <s v="Transferencia electrónica"/>
    <s v="100161201"/>
    <n v="8779.23"/>
    <n v="15197.01"/>
    <n v="0.83359642912212994"/>
  </r>
  <r>
    <s v="001587"/>
    <s v="Región Estado México"/>
    <x v="3"/>
    <s v="000042"/>
    <s v="Avila Nieto Luis Alfredo"/>
    <x v="3"/>
    <x v="3"/>
    <s v="01"/>
    <s v="MONTERO BRAVO AARON"/>
    <d v="2025-07-17T00:00:00"/>
    <d v="2026-01-01T00:00:00"/>
    <n v="10000"/>
    <n v="10534.08"/>
    <n v="99"/>
    <x v="0"/>
    <n v="12"/>
    <s v="Catorcenal"/>
    <n v="1288.8"/>
    <n v="696"/>
    <n v="3480"/>
    <n v="12"/>
    <n v="7.1000000000000014"/>
    <n v="6312.89"/>
    <n v="12669.62"/>
    <n v="6312.89"/>
    <n v="2470.73"/>
    <n v="406"/>
    <n v="3480"/>
    <n v="500"/>
    <d v="2025-10-22T00:00:00"/>
    <s v="Entregado"/>
    <n v="7145498442"/>
    <s v="monterobravoaaron06@gmail.com"/>
    <m/>
    <s v="CULTIVO DE FLORES Y PLANTAS DE ORNATO"/>
    <n v="131011"/>
    <s v="MENDEZ SANDOVAL YOVANA ROCIO"/>
    <m/>
    <s v="MIKE RODRIGUEZ RODRIGUEZ"/>
    <s v="7291195882"/>
    <s v="YOVANA ROCIO MENDEZ SANDOVAL"/>
    <s v="7145493921"/>
    <s v="MARIA DEL SOCORRO TRUJILLO GONZALEZ"/>
    <s v="7291464902"/>
    <m/>
    <m/>
    <m/>
    <m/>
    <m/>
    <m/>
    <n v="12669.62"/>
    <n v="0"/>
    <n v="1"/>
    <s v="Individual sin Garantía"/>
    <s v="LOS PINOS #SN"/>
    <s v="El Islote"/>
    <s v="México"/>
    <s v="Villa Guerrero"/>
    <s v="18°58'10.4&quot;N 99°39'42.0&quot;W"/>
    <s v="Ver en mapa"/>
    <m/>
    <m/>
    <n v="12"/>
    <n v="12"/>
    <s v="Transferencia electrónica"/>
    <s v="100158701"/>
    <n v="6312.89"/>
    <n v="12669.62"/>
    <n v="1"/>
  </r>
  <r>
    <s v="001194"/>
    <s v="Región Estado México"/>
    <x v="0"/>
    <s v="000029"/>
    <s v="Colin Garduño Estefani"/>
    <x v="2"/>
    <x v="2"/>
    <s v="01"/>
    <s v="GOMEZ TAGLE HUERTA FRANCISCO ABDIEL"/>
    <d v="2025-02-26T00:00:00"/>
    <d v="2026-02-26T00:00:00"/>
    <n v="35000"/>
    <n v="36869.269999999997"/>
    <n v="98"/>
    <x v="0"/>
    <n v="12"/>
    <s v="Mensual"/>
    <n v="6532.14"/>
    <n v="696"/>
    <n v="2320"/>
    <n v="0"/>
    <n v="3.5"/>
    <n v="18278.63"/>
    <n v="24832.853973611102"/>
    <n v="12133.75"/>
    <n v="10205.1"/>
    <n v="174"/>
    <n v="2320"/>
    <n v="2000"/>
    <d v="2025-12-12T00:00:00"/>
    <s v="Entregado"/>
    <n v="7225031264"/>
    <s v="franciscoagth@hotmail.com"/>
    <m/>
    <s v="COMPRAVENTA DE MEDICINAS"/>
    <n v="6231013"/>
    <s v="CASTRO CAMPOS BEATRIZ"/>
    <m/>
    <s v="CELIA BARCENAS VILCHIS"/>
    <s v="7221846492"/>
    <s v="OLGA MARIA SANTILLAN FLORES"/>
    <s v="7228507375"/>
    <s v="DAMARIS JANET LEMUS ORTIZ"/>
    <s v="DAMARIS JANET LEMUS ORTIZ"/>
    <s v="Garantía Prendaria"/>
    <s v="TITULO EXPEDIDO  POR COMMONWEALTH OF PENNSYLVANIA, , , , Valor 26,251.00, Nombre VEHICULO SW, Folio Factura 50829795103 TI, Fecha Factura 30/03/2007, Número de serie 1C4GP54R9VB331168, Número de motor SN, Modelo 1997, Marca CHRYSLER, Propietario GOMEZ TAGLE HUERTA FRANCISCO ABDIEL"/>
    <s v="VEHICULO SW"/>
    <s v="Garantía Prendaria"/>
    <s v="TITULO EXPEDIDO POR TEXAS CERTIFICATE OF TITLE, Valor 25,000.00, Nombre VEHICULO SABLE, Folio Factura 01525736137152854, Fecha Factura 23/12/1998, Número de serie 1MELM50U5TA643085, Número de motor SN, Modelo 1996, Marca MERCURY, Propietario GOMEZ TAGLE HUERTA FRANCISCO ABDIEL"/>
    <s v="VEHICULO SABLE"/>
    <n v="37781.14"/>
    <n v="0"/>
    <n v="1"/>
    <s v="Individual sin Garantía"/>
    <s v="EL LOBO SOLITARIO #SN"/>
    <s v="Santa María Pipioltepec (Pipioltepec)"/>
    <s v="México"/>
    <s v="Valle De Bravo"/>
    <m/>
    <s v="Ver en mapa"/>
    <m/>
    <m/>
    <n v="8"/>
    <n v="8"/>
    <s v="Transferencia electrónica"/>
    <s v="100119401"/>
    <n v="18278.63"/>
    <n v="37781.14"/>
    <n v="0.65728175416652601"/>
  </r>
  <r>
    <s v="001166"/>
    <s v="Región Estado México"/>
    <x v="1"/>
    <s v="000037"/>
    <s v="CREDIFLEXI CREDIFLEXI CREDIFLEXI"/>
    <x v="6"/>
    <x v="6"/>
    <s v="01"/>
    <s v="ALVAREZ CARMONA MARIA GUADALUPE"/>
    <d v="2025-04-28T00:00:00"/>
    <d v="2026-04-28T00:00:00"/>
    <n v="15000"/>
    <n v="15801.12"/>
    <n v="95"/>
    <x v="0"/>
    <n v="12"/>
    <s v="Mensual"/>
    <n v="2525.04"/>
    <n v="696"/>
    <n v="2320"/>
    <n v="0"/>
    <n v="3.4"/>
    <n v="10226.51"/>
    <n v="10904.301152"/>
    <n v="4959.47"/>
    <n v="3450.83"/>
    <n v="174"/>
    <n v="2320"/>
    <n v="500"/>
    <d v="2025-12-11T00:00:00"/>
    <s v="Entregado"/>
    <n v="7225619622"/>
    <s v="ma.guadalupe68@gmail.com"/>
    <m/>
    <s v="SERVICIOS DE ALIMENTOS EN LENCERIAS TAQUERIAS Y TORTERIAS"/>
    <n v="8712011"/>
    <m/>
    <m/>
    <s v="EDITH LOPEZ"/>
    <s v="7223944200"/>
    <s v="LILIANA DIAZ"/>
    <s v="7226756628"/>
    <s v="MICHELL RIOS"/>
    <s v="7291409879"/>
    <m/>
    <m/>
    <m/>
    <m/>
    <m/>
    <m/>
    <n v="20772.45"/>
    <n v="0"/>
    <n v="1"/>
    <s v="Individual sin Garantía"/>
    <s v="JUAN ESCUTIA #103-SN"/>
    <s v="San Marcos Yachihuacaltepec"/>
    <s v="México"/>
    <s v="Toluca"/>
    <m/>
    <s v="Ver en mapa"/>
    <m/>
    <m/>
    <n v="7"/>
    <n v="7"/>
    <s v="Transferencia electrónica"/>
    <s v="100116601"/>
    <n v="10226.51"/>
    <n v="20772.45"/>
    <n v="0.52494054153458058"/>
  </r>
  <r>
    <s v="001443"/>
    <s v="Región Estado México"/>
    <x v="1"/>
    <s v="000044"/>
    <s v="Gonzalez Irala Jesus"/>
    <x v="6"/>
    <x v="6"/>
    <s v="01"/>
    <s v="DAVILA CRUZ EDGAR"/>
    <d v="2025-06-25T00:00:00"/>
    <d v="2025-12-10T00:00:00"/>
    <n v="7000"/>
    <n v="7373.85"/>
    <n v="93"/>
    <x v="0"/>
    <n v="12"/>
    <s v="Catorcenal"/>
    <n v="919.56000000000006"/>
    <n v="696"/>
    <n v="3480"/>
    <n v="12"/>
    <n v="5.9"/>
    <n v="3686.92"/>
    <n v="8872.73"/>
    <n v="3686.92"/>
    <n v="1357.8"/>
    <n v="348.01"/>
    <n v="3480"/>
    <n v="920"/>
    <d v="2025-11-28T00:00:00"/>
    <s v="Entregado"/>
    <n v="7226713715"/>
    <s v="gatitome1954@gmail.com"/>
    <m/>
    <s v="RESTAURANTE"/>
    <n v="8711021"/>
    <s v="LUCAS GONZALEZ MA. DEL CARMEN"/>
    <m/>
    <s v="ARIANA LUCAS GONZALEZ"/>
    <s v="7205505507"/>
    <s v="JUAN LUCAS GONZALEZ"/>
    <s v="7293140618"/>
    <s v="JANETH DAVILA CRUZ"/>
    <s v="7226570890"/>
    <m/>
    <m/>
    <m/>
    <m/>
    <m/>
    <m/>
    <n v="8872.73"/>
    <n v="0"/>
    <n v="1"/>
    <s v="Individual sin Garantía"/>
    <s v="CUITLAHUAC #202"/>
    <s v="San Juan de las Huertas cu"/>
    <s v="México"/>
    <s v="Zinacantepec"/>
    <s v="19°14'58.1&quot;N 99°45'38.9&quot;W"/>
    <s v="Ver en mapa"/>
    <m/>
    <m/>
    <n v="11"/>
    <n v="10"/>
    <s v="Transferencia electrónica"/>
    <s v="100144301"/>
    <n v="3686.92"/>
    <n v="8872.73"/>
    <n v="1"/>
  </r>
  <r>
    <s v="001316"/>
    <s v="Región Estado México"/>
    <x v="2"/>
    <s v="000037"/>
    <s v="CREDIFLEXI CREDIFLEXI CREDIFLEXI"/>
    <x v="1"/>
    <x v="1"/>
    <s v="01"/>
    <s v="FLORES LEYVA JOSE ALEXIS"/>
    <d v="2025-05-14T00:00:00"/>
    <d v="2025-10-29T00:00:00"/>
    <n v="5000"/>
    <n v="5267.04"/>
    <n v="93"/>
    <x v="0"/>
    <n v="24"/>
    <s v="Semanal"/>
    <n v="365.7"/>
    <n v="1392"/>
    <n v="2965.07"/>
    <n v="24"/>
    <n v="5"/>
    <n v="1097.3"/>
    <n v="5257.57"/>
    <n v="1097.3"/>
    <n v="441.2"/>
    <n v="754"/>
    <n v="2965.07"/>
    <n v="1825.24"/>
    <d v="2025-11-03T00:00:00"/>
    <s v="Entregado"/>
    <n v="5513324034"/>
    <s v="alexleyva998@gmail.com"/>
    <m/>
    <s v="TALLER DE REPARACION DE CALZADO"/>
    <n v="8921018"/>
    <m/>
    <m/>
    <s v="CRISTIAN JIMENEZ"/>
    <s v="4472173415"/>
    <s v="ADELAIDA GARCIA"/>
    <s v="4431669365"/>
    <s v="ANA KAREN MUÑOZ"/>
    <s v="5513104248"/>
    <m/>
    <m/>
    <m/>
    <m/>
    <m/>
    <m/>
    <n v="5257.57"/>
    <n v="0"/>
    <n v="1"/>
    <s v="Individual sin Garantía"/>
    <s v="AV DREN CASA BLANCA #53-SN"/>
    <s v="Maravatio"/>
    <s v="Michoacán"/>
    <s v="Maravatio"/>
    <m/>
    <s v="Ver en mapa"/>
    <m/>
    <m/>
    <n v="16"/>
    <n v="16"/>
    <s v="Transferencia electrónica"/>
    <s v="100131601"/>
    <n v="1097.3"/>
    <n v="5257.57"/>
    <n v="1"/>
  </r>
  <r>
    <s v="001300"/>
    <s v="Región Estado México"/>
    <x v="1"/>
    <s v="000037"/>
    <s v="CREDIFLEXI CREDIFLEXI CREDIFLEXI"/>
    <x v="6"/>
    <x v="6"/>
    <s v="01"/>
    <s v="SERRANO ALVAREZ BUENAVENTURA"/>
    <d v="2025-05-06T00:00:00"/>
    <d v="2026-05-06T00:00:00"/>
    <n v="10000"/>
    <n v="10534.08"/>
    <n v="88"/>
    <x v="1"/>
    <n v="12"/>
    <s v="Mensual"/>
    <n v="1702.69"/>
    <n v="696"/>
    <n v="1740"/>
    <n v="0"/>
    <n v="2.6"/>
    <n v="7022.72"/>
    <n v="6095.8423386666664"/>
    <n v="2633.52"/>
    <n v="1606.32"/>
    <n v="116"/>
    <n v="1740"/>
    <n v="800"/>
    <d v="2025-11-24T00:00:00"/>
    <s v="Entregado"/>
    <n v="5573771781"/>
    <s v="litzyjeanycerinocolin@gmai.com"/>
    <m/>
    <s v="TORTILLERIA"/>
    <n v="2093011"/>
    <m/>
    <m/>
    <s v="KAREN VERA"/>
    <s v="7223987277"/>
    <s v="URIEL ALAVAREZ"/>
    <s v="7226611760"/>
    <s v="RICARDO COLIN"/>
    <s v="7224760204"/>
    <m/>
    <m/>
    <m/>
    <m/>
    <m/>
    <m/>
    <n v="14319.3"/>
    <n v="0"/>
    <n v="1"/>
    <s v="Individual sin Garantía"/>
    <s v="CUAUHTEMOC #125-1"/>
    <s v="San José"/>
    <s v="México"/>
    <s v="Rayon"/>
    <m/>
    <s v="Ver en mapa"/>
    <m/>
    <m/>
    <n v="7"/>
    <n v="7"/>
    <s v="Transferencia electrónica"/>
    <s v="100130001"/>
    <n v="7022.72"/>
    <n v="14319.3"/>
    <n v="0.4257081239073604"/>
  </r>
  <r>
    <s v="001303"/>
    <s v="Región Estado México"/>
    <x v="3"/>
    <s v="000037"/>
    <s v="CREDIFLEXI CREDIFLEXI CREDIFLEXI"/>
    <x v="3"/>
    <x v="3"/>
    <s v="01"/>
    <s v="ALVAREZ ESQUIVEL MA DE LOURDES"/>
    <d v="2025-05-08T00:00:00"/>
    <d v="2026-05-08T00:00:00"/>
    <n v="10000"/>
    <n v="10534.08"/>
    <n v="86"/>
    <x v="1"/>
    <n v="24"/>
    <s v="Quincenal"/>
    <n v="880.35"/>
    <n v="1392"/>
    <n v="3958.11"/>
    <n v="0"/>
    <n v="6"/>
    <n v="6583.8"/>
    <n v="9182.19"/>
    <n v="2633.52"/>
    <n v="2300.56"/>
    <n v="290"/>
    <n v="3958.11"/>
    <n v="1500"/>
    <d v="2025-10-17T00:00:00"/>
    <s v="Entregado"/>
    <n v="7225060623"/>
    <s v="lulualvarezctll@gmail.com"/>
    <m/>
    <s v="EMPLEADO PRIVADO"/>
    <n v="8944098"/>
    <m/>
    <m/>
    <s v="SALVADOR PONCE PEREZ"/>
    <s v="7226978030"/>
    <s v="DIEGO CAMACHO"/>
    <s v="7221195350"/>
    <s v="MARIA DE LOS ANGELEZ MILLAN"/>
    <s v="7223544346"/>
    <m/>
    <m/>
    <m/>
    <m/>
    <m/>
    <m/>
    <n v="16583.3"/>
    <n v="0"/>
    <n v="1"/>
    <s v="Individual sin Garantía"/>
    <s v="CALLE LAZARO  CARDENAS SN #SN"/>
    <s v="Emiliano Zapata"/>
    <s v="México"/>
    <s v="Tenancingo"/>
    <m/>
    <s v="Ver en mapa"/>
    <m/>
    <m/>
    <n v="12"/>
    <n v="10"/>
    <s v="Transferencia electrónica"/>
    <s v="100130301"/>
    <n v="6583.8"/>
    <n v="16583.3"/>
    <n v="0.55370101246434666"/>
  </r>
  <r>
    <s v="001256"/>
    <s v="Región Estado México"/>
    <x v="2"/>
    <s v="000037"/>
    <s v="CREDIFLEXI CREDIFLEXI CREDIFLEXI"/>
    <x v="1"/>
    <x v="1"/>
    <s v="01"/>
    <s v="GARFIAS MARTINEZ MARIA ADRIANA"/>
    <d v="2025-04-16T00:00:00"/>
    <d v="2026-04-16T00:00:00"/>
    <n v="10000"/>
    <n v="10534.08"/>
    <n v="78"/>
    <x v="1"/>
    <n v="12"/>
    <s v="Mensual"/>
    <n v="1702.69"/>
    <n v="696"/>
    <n v="2242.46"/>
    <n v="0"/>
    <n v="3"/>
    <n v="6144.88"/>
    <n v="7292.5341013333336"/>
    <n v="2633.52"/>
    <n v="2300.5500000000002"/>
    <n v="116"/>
    <n v="2242.46"/>
    <n v="500"/>
    <d v="2025-12-29T00:00:00"/>
    <s v="Entregado"/>
    <n v="4472218943"/>
    <s v="garfiasmartinezmariaadriana@gmail.com"/>
    <m/>
    <s v="EMPLEADO PRIVADO"/>
    <n v="8944098"/>
    <m/>
    <m/>
    <s v="ROSARIO GUERRA SOTO"/>
    <s v="4471155225"/>
    <s v="LUZ MARIA MARTINEZ CORDOBA"/>
    <s v="4471153604"/>
    <s v="ALICIA YASMIN GONZALEZ"/>
    <s v="4434603050"/>
    <m/>
    <m/>
    <m/>
    <m/>
    <m/>
    <m/>
    <n v="13871.3"/>
    <n v="0"/>
    <n v="1"/>
    <s v="Individual sin Garantía"/>
    <s v="MORELIA #218-SN"/>
    <s v="Melchor Ocampo"/>
    <s v="Michoacán"/>
    <s v="Maravatio"/>
    <m/>
    <s v="Ver en mapa"/>
    <m/>
    <m/>
    <n v="6"/>
    <n v="6"/>
    <s v="Transferencia electrónica"/>
    <s v="100125601"/>
    <n v="6144.88"/>
    <n v="13871.3"/>
    <n v="0.52572823753601561"/>
  </r>
  <r>
    <s v="001251"/>
    <s v="Región Estado México"/>
    <x v="0"/>
    <s v="000037"/>
    <s v="CREDIFLEXI CREDIFLEXI CREDIFLEXI"/>
    <x v="2"/>
    <x v="2"/>
    <s v="01"/>
    <s v="ROCHA MERCADO MARIA TERESA"/>
    <d v="2025-04-16T00:00:00"/>
    <d v="2026-04-16T00:00:00"/>
    <n v="12000"/>
    <n v="12640.89"/>
    <n v="78"/>
    <x v="1"/>
    <n v="12"/>
    <s v="Mensual"/>
    <n v="2031.63"/>
    <n v="696"/>
    <n v="1740"/>
    <n v="0"/>
    <n v="2.2999999999999998"/>
    <n v="6928.22"/>
    <n v="6411.0334273333328"/>
    <n v="2714.59"/>
    <n v="1840.44"/>
    <n v="116"/>
    <n v="1740"/>
    <n v="2000"/>
    <d v="2025-11-27T00:00:00"/>
    <s v="Entregado"/>
    <n v="7221087019"/>
    <s v="tereroch619@gmail.com"/>
    <m/>
    <s v="LAVANDERIA"/>
    <n v="8934011"/>
    <m/>
    <m/>
    <s v="DOLORES RIVERA CRISANTOS"/>
    <s v="7221491699"/>
    <s v="ROSA MARIA MILLAN LEGORRETA"/>
    <s v="7226929434"/>
    <s v="FRANCISCO LISEA ORTEGA"/>
    <s v="7261022128"/>
    <m/>
    <m/>
    <m/>
    <m/>
    <m/>
    <m/>
    <n v="14305.55"/>
    <n v="0"/>
    <n v="1"/>
    <s v="Individual sin Garantía"/>
    <s v="AV DE LAS FLORES  #SN"/>
    <s v="Santa María Pipioltepec (Pipioltepec)"/>
    <s v="México"/>
    <s v="Valle De Bravo"/>
    <m/>
    <s v="Ver en mapa"/>
    <m/>
    <m/>
    <n v="8"/>
    <n v="8"/>
    <s v="Transferencia electrónica"/>
    <s v="100125101"/>
    <n v="6928.22"/>
    <n v="14305.55"/>
    <n v="0.44815008352236252"/>
  </r>
  <r>
    <s v="001405"/>
    <s v="Región Estado México"/>
    <x v="4"/>
    <s v="000046"/>
    <s v="Pech Muñoz Oscar Adrian"/>
    <x v="1"/>
    <x v="1"/>
    <s v="01"/>
    <s v="ESPINOZA RUIZ MA TERESA"/>
    <d v="2025-06-16T00:00:00"/>
    <d v="2025-12-16T00:00:00"/>
    <n v="10000"/>
    <n v="10534.08"/>
    <n v="78"/>
    <x v="1"/>
    <n v="6"/>
    <s v="Mensual"/>
    <n v="2582.63"/>
    <n v="348"/>
    <n v="1160"/>
    <n v="0"/>
    <n v="2.7"/>
    <n v="5267.04"/>
    <n v="8194.7999999999993"/>
    <n v="5267.04"/>
    <n v="1651.76"/>
    <n v="116"/>
    <n v="1160"/>
    <n v="1292"/>
    <d v="2025-11-05T00:00:00"/>
    <s v="Entregado"/>
    <n v="7121352721"/>
    <s v="espinozatere682@gmail.com"/>
    <m/>
    <s v="COMPRAVENTA DE ROPA"/>
    <n v="6211023"/>
    <s v="MIRANDA LEGORRETA ALFONSO"/>
    <s v="7122420463.0"/>
    <s v="LUZ AIDE MONROY"/>
    <s v="7123382847"/>
    <s v="KARINA MENDOZA"/>
    <s v="7204361258"/>
    <s v="CESAR DE LA CRUZ"/>
    <s v="7121754870"/>
    <m/>
    <m/>
    <m/>
    <m/>
    <m/>
    <m/>
    <n v="8194.7999999999993"/>
    <n v="0"/>
    <n v="1"/>
    <s v="Individual sin Garantía"/>
    <s v="PROL PORFIRIO ALCANTARA B #108-SN"/>
    <s v="Cuatro Milpas"/>
    <s v="México"/>
    <s v="Atlacomulco"/>
    <s v="19°47'42.2&quot;N 99°53'01.2&quot;W"/>
    <s v="Ver en mapa"/>
    <m/>
    <m/>
    <n v="3"/>
    <n v="3"/>
    <s v="Transferencia electrónica"/>
    <s v="100140501"/>
    <n v="5267.04"/>
    <n v="8194.7999999999993"/>
    <n v="1"/>
  </r>
  <r>
    <s v="001030"/>
    <s v="Región Estado México"/>
    <x v="0"/>
    <s v="000029"/>
    <s v="Colin Garduño Estefani"/>
    <x v="2"/>
    <x v="2"/>
    <s v="02"/>
    <s v="CABALLERO CHAMORRO JUAN PATRICIO"/>
    <d v="2024-09-18T00:00:00"/>
    <d v="2026-03-18T00:00:00"/>
    <n v="80000"/>
    <n v="84272.62"/>
    <n v="74"/>
    <x v="1"/>
    <n v="18"/>
    <s v="Mensual"/>
    <n v="9747.24"/>
    <n v="1044"/>
    <n v="1160"/>
    <n v="0"/>
    <n v="2.1"/>
    <n v="38531.39"/>
    <n v="21595.68"/>
    <n v="14048.7"/>
    <n v="6270.98"/>
    <n v="116"/>
    <n v="1160"/>
    <n v="4000"/>
    <d v="2025-12-12T00:00:00"/>
    <s v="Entregado"/>
    <n v="7261018239"/>
    <s v="caballerochamorrojuanpatricio@gmail.com"/>
    <m/>
    <s v="HOTEL"/>
    <n v="8611015"/>
    <m/>
    <m/>
    <s v="PAULINA CABALLERO MERCADO"/>
    <s v="7224210374"/>
    <s v="ANTONIA PONCIANO ARIAS"/>
    <s v="7224210374"/>
    <s v="FERNANDO CABALLERO LEON"/>
    <s v="7293556085"/>
    <m/>
    <m/>
    <m/>
    <m/>
    <m/>
    <m/>
    <n v="46078.37"/>
    <n v="0"/>
    <n v="1"/>
    <s v="Individual mensual garantia liquida nivel I TI"/>
    <s v="BOCA NEGRA #SN"/>
    <s v="Valle de Bravo"/>
    <s v="México"/>
    <s v="Valle De Bravo"/>
    <m/>
    <s v="Ver en mapa"/>
    <m/>
    <m/>
    <n v="8"/>
    <n v="6"/>
    <s v="Transferencia electrónica"/>
    <s v="100103002"/>
    <n v="38531.39"/>
    <n v="46078.37"/>
    <n v="0.46867282848763958"/>
  </r>
  <r>
    <s v="001349"/>
    <s v="Región Estado México"/>
    <x v="0"/>
    <s v="000029"/>
    <s v="Colin Garduño Estefani"/>
    <x v="2"/>
    <x v="2"/>
    <s v="01"/>
    <s v="LOPEZ CABALLERO MARIA DEL ROCIO"/>
    <d v="2025-06-02T00:00:00"/>
    <d v="2026-05-04T00:00:00"/>
    <n v="15000"/>
    <n v="15801.12"/>
    <n v="74"/>
    <x v="1"/>
    <n v="24"/>
    <s v="Catorcenal"/>
    <n v="1245.82"/>
    <n v="1392"/>
    <n v="3480"/>
    <n v="15"/>
    <n v="5.5"/>
    <n v="9835.5500000000011"/>
    <n v="10327.342912"/>
    <n v="3910.13"/>
    <n v="2647.21"/>
    <n v="290"/>
    <n v="3480"/>
    <n v="3000"/>
    <d v="2025-12-18T00:00:00"/>
    <s v="Entregado"/>
    <n v="7225103543"/>
    <s v="guillermo_severiano@gmail.com"/>
    <m/>
    <s v="TIENDA DE ABARROTES Y MISCELANEA"/>
    <n v="6131023"/>
    <s v="GUILLERMO SEVERIANO FERNANDO"/>
    <s v="7225103543.0"/>
    <s v="VIRGINIA ROSALES POSADAS"/>
    <s v="7221582962"/>
    <s v="CECILIA REYES MORALES"/>
    <s v="7225848395"/>
    <s v="FERNANDA HERNANDEZ"/>
    <s v="7225496034"/>
    <m/>
    <m/>
    <m/>
    <m/>
    <m/>
    <m/>
    <n v="21017.75"/>
    <n v="0"/>
    <n v="1"/>
    <s v="Individual sin Garantía"/>
    <s v="CALLEJON DE LAS ANIMAS #SN"/>
    <s v="Valle de Bravo"/>
    <s v="México"/>
    <s v="Valle De Bravo"/>
    <m/>
    <s v="Ver en mapa"/>
    <m/>
    <m/>
    <n v="9"/>
    <n v="8"/>
    <s v="Transferencia electrónica"/>
    <s v="100134901"/>
    <n v="9835.5500000000011"/>
    <n v="21017.75"/>
    <n v="0.4913629152502052"/>
  </r>
  <r>
    <s v="001109"/>
    <s v="Región Estado México"/>
    <x v="1"/>
    <s v="000028"/>
    <s v="Jimenez Garcia Angelica Maribel"/>
    <x v="6"/>
    <x v="6"/>
    <s v="02"/>
    <s v="DELGADO SANCHEZ DAVID"/>
    <d v="2025-05-19T00:00:00"/>
    <d v="2025-11-19T00:00:00"/>
    <n v="50000"/>
    <n v="52670.39"/>
    <n v="74"/>
    <x v="1"/>
    <n v="6"/>
    <s v="Mensual"/>
    <n v="11727.65"/>
    <n v="348"/>
    <n v="1217.33"/>
    <n v="0"/>
    <n v="2"/>
    <n v="17556.8"/>
    <n v="24672.639999999999"/>
    <n v="17556.8"/>
    <n v="5782.51"/>
    <n v="116"/>
    <n v="1217.33"/>
    <n v="12307"/>
    <d v="2025-10-27T00:00:00"/>
    <s v="Entregado"/>
    <n v="7293597278"/>
    <s v="abejasdelgado@gmail.com"/>
    <m/>
    <s v="TRATAMIENTO Y ENVASE DE MIEL DE ABEJA"/>
    <n v="2084010"/>
    <s v="GARCIA ROMERO MARIA ELENA"/>
    <m/>
    <s v="MARLEN ALEJANDRA VELAZQUEZ"/>
    <s v="7293280241"/>
    <s v="RITA MENDOZA ROMERO"/>
    <s v="7204392072"/>
    <s v="MA ELENA SANCHEZ ROSALES"/>
    <s v="7226076142"/>
    <s v="Garantía Prendaria"/>
    <s v="FACTURA EXPEDIDA POR EXCELENCIA AUTOMOTRIZS.ADE C.V, Valor 63,500.00, Nombre VEHICULO CHEVY STATION WAGON, Folio Factura 33843, Fecha Factura 06/12/2000, Número de serie 8AGSM35N71R112539, Número de motor 1R112539, Modelo 2001, Marca CHEVROLET, Propietario DELGADO SANCHEZ DAVID"/>
    <s v="VEHICULO CHEVY STATION WAGON"/>
    <m/>
    <m/>
    <m/>
    <n v="24672.639999999999"/>
    <n v="0"/>
    <n v="1"/>
    <s v="Individual sin Garantía"/>
    <s v="ALFONSO GOMEZ OROZCO #6-SN"/>
    <s v="Rancho Buenavista"/>
    <s v="México"/>
    <s v="Toluca"/>
    <m/>
    <s v="Ver en mapa"/>
    <m/>
    <m/>
    <n v="5"/>
    <n v="5"/>
    <s v="Transferencia electrónica"/>
    <s v="100110902"/>
    <n v="17556.8"/>
    <n v="24672.639999999999"/>
    <n v="1"/>
  </r>
  <r>
    <s v="001548"/>
    <s v="Región Estado México"/>
    <x v="1"/>
    <s v="000044"/>
    <s v="Gonzalez Irala Jesus"/>
    <x v="6"/>
    <x v="6"/>
    <s v="01"/>
    <s v="ALFARO CAMACHO NORMA"/>
    <d v="2025-07-15T00:00:00"/>
    <d v="2025-12-30T00:00:00"/>
    <n v="5000"/>
    <n v="5267.04"/>
    <n v="73"/>
    <x v="1"/>
    <n v="12"/>
    <s v="Catorcenal"/>
    <n v="673.4"/>
    <n v="696"/>
    <n v="3812.4"/>
    <n v="12"/>
    <n v="6"/>
    <n v="2633.52"/>
    <n v="7794.81"/>
    <n v="2633.52"/>
    <n v="1058.8900000000001"/>
    <n v="290"/>
    <n v="3812.4"/>
    <n v="673"/>
    <d v="2025-11-29T00:00:00"/>
    <s v="Entregado"/>
    <n v="7293711279"/>
    <s v="alfaronorma244@gmail.com"/>
    <m/>
    <s v="RESTAURANTE"/>
    <n v="8711021"/>
    <m/>
    <m/>
    <s v="AMERICA JOCELYN ROSALES"/>
    <s v="7223899388"/>
    <s v="FABIOLA GOMEZ"/>
    <s v="7291669165"/>
    <s v="NAYELI GONZALEZ"/>
    <s v="7293110453"/>
    <m/>
    <m/>
    <m/>
    <m/>
    <m/>
    <m/>
    <n v="7794.81"/>
    <n v="0"/>
    <n v="1"/>
    <s v="Individual sin Garantía"/>
    <s v="PTO MEXICO #10"/>
    <s v="San Jerónimo Chicahualco"/>
    <s v="México"/>
    <s v="Metepec"/>
    <s v="19°16'50.5&quot;N 99°35'02.8&quot;W"/>
    <s v="Ver en mapa"/>
    <m/>
    <m/>
    <n v="10"/>
    <n v="10"/>
    <s v="Transferencia electrónica"/>
    <s v="100154801"/>
    <n v="2633.52"/>
    <n v="7794.81"/>
    <n v="1"/>
  </r>
  <r>
    <s v="001339"/>
    <s v="Región Estado México"/>
    <x v="2"/>
    <s v="000033"/>
    <s v="Garcia Ezquivel Jordi Nazaret"/>
    <x v="1"/>
    <x v="1"/>
    <s v="01"/>
    <s v="MOLINA CRUZ ANAI VERONICA"/>
    <d v="2025-05-23T00:00:00"/>
    <d v="2025-11-23T00:00:00"/>
    <n v="5000"/>
    <n v="5267.04"/>
    <n v="71"/>
    <x v="1"/>
    <n v="6"/>
    <s v="Mensual"/>
    <n v="1322.42"/>
    <n v="348"/>
    <n v="1740"/>
    <n v="0"/>
    <n v="2"/>
    <n v="1755.68"/>
    <n v="4432.08"/>
    <n v="1755.68"/>
    <n v="773.15"/>
    <n v="163.25"/>
    <n v="1740"/>
    <n v="1323"/>
    <d v="2025-10-23T00:00:00"/>
    <s v="Entregado"/>
    <n v="4472036771"/>
    <s v="ana072327@gmail.com"/>
    <m/>
    <s v="SERVICIOS DE CONSULTORIOS Y CLINICAS DENTALES"/>
    <n v="9213018"/>
    <m/>
    <m/>
    <s v="LORENA MAYA"/>
    <s v="4471738397"/>
    <s v="SERGIO MARTINEZ"/>
    <s v="3344322446"/>
    <s v="DANA ESPINOZA"/>
    <s v="4472232778"/>
    <m/>
    <m/>
    <m/>
    <m/>
    <m/>
    <m/>
    <n v="4432.08"/>
    <n v="0"/>
    <n v="1"/>
    <s v="Individual sin Garantía"/>
    <s v="PROL LEONA VICARIO #715-SN"/>
    <s v="INFONAVIT"/>
    <s v="Michoacán"/>
    <s v="Maravatio"/>
    <m/>
    <s v="Ver en mapa"/>
    <m/>
    <m/>
    <n v="4"/>
    <n v="4"/>
    <s v="Transferencia electrónica"/>
    <s v="100133901"/>
    <n v="1755.68"/>
    <n v="4432.08"/>
    <n v="1"/>
  </r>
  <r>
    <s v="001482"/>
    <s v="Región Estado México"/>
    <x v="3"/>
    <s v="000042"/>
    <s v="Avila Nieto Luis Alfredo"/>
    <x v="3"/>
    <x v="3"/>
    <s v="01"/>
    <s v="CANO MARTINEZ BERTHA XARENI"/>
    <d v="2025-07-17T00:00:00"/>
    <d v="2026-01-01T00:00:00"/>
    <n v="5000"/>
    <n v="5267.04"/>
    <n v="71"/>
    <x v="1"/>
    <n v="24"/>
    <s v="Semanal"/>
    <n v="365.7"/>
    <n v="1392"/>
    <n v="6075.47"/>
    <n v="24"/>
    <n v="11"/>
    <n v="2414.06"/>
    <n v="10040.17"/>
    <n v="2414.06"/>
    <n v="970.64"/>
    <n v="580"/>
    <n v="6075.47"/>
    <n v="500"/>
    <d v="2025-12-10T00:00:00"/>
    <s v="Entregado"/>
    <n v="5649639680"/>
    <s v="bercano598@gmail.com"/>
    <m/>
    <s v="FABRICACION DE OTROS PREPARADOS ALIMENTICIOS DERIVADOS DE CEREALES"/>
    <n v="2094027"/>
    <s v="GALLEGOS GARCIA AARON ISMAEL"/>
    <m/>
    <s v="LUZ FRANCO SANCHEZ"/>
    <s v="7224567448"/>
    <s v="JOSE LUIS TINOCO MOLINA"/>
    <s v="7223153613"/>
    <s v="FABIOLA CANO SOTELO"/>
    <s v="7222405074"/>
    <m/>
    <m/>
    <m/>
    <m/>
    <m/>
    <m/>
    <n v="10040.17"/>
    <n v="0"/>
    <n v="1"/>
    <s v="Individual sin Garantía"/>
    <s v="ALLENDE #SN"/>
    <s v="Villa Guerrero"/>
    <s v="México"/>
    <s v="Villa Guerrero"/>
    <s v="18°57'52.9&quot;N 99°38'24.4&quot;W"/>
    <s v="Ver en mapa"/>
    <m/>
    <m/>
    <n v="23"/>
    <n v="21"/>
    <s v="Transferencia electrónica"/>
    <s v="100148201"/>
    <n v="2414.06"/>
    <n v="10040.17"/>
    <n v="1"/>
  </r>
  <r>
    <s v="001101"/>
    <s v="Región Estado México"/>
    <x v="2"/>
    <s v="000053"/>
    <s v="Santos Gomez Mahogany"/>
    <x v="1"/>
    <x v="1"/>
    <s v="01"/>
    <s v="VILLEGAS RUIZ AZUCENA"/>
    <d v="2025-07-24T00:00:00"/>
    <d v="2026-07-24T00:00:00"/>
    <n v="20000"/>
    <n v="21068.16"/>
    <n v="70"/>
    <x v="1"/>
    <n v="12"/>
    <s v="Mensual"/>
    <n v="3347.38"/>
    <n v="696"/>
    <n v="1740"/>
    <n v="0"/>
    <n v="2.2999999999999998"/>
    <n v="16643.27"/>
    <n v="9276.92"/>
    <n v="4353.51"/>
    <n v="3067.41"/>
    <n v="116"/>
    <n v="1740"/>
    <n v="1000"/>
    <d v="2025-12-18T00:00:00"/>
    <s v="Entregado"/>
    <n v="7861289536"/>
    <s v="vazucena254@gmail.com"/>
    <m/>
    <s v="RESTAURANTE"/>
    <n v="8711021"/>
    <s v="GOMEZ VALDEZ JULIO CESAR"/>
    <m/>
    <s v="LUCIA GARCIA ALANIS"/>
    <s v="4471511369"/>
    <s v="ALEJANDRA MARTINEZ"/>
    <s v="4471035445"/>
    <s v="CAMILO EDUARDO LOPEZ"/>
    <s v="4471736466"/>
    <m/>
    <m/>
    <m/>
    <m/>
    <m/>
    <m/>
    <n v="32302.6"/>
    <n v="0"/>
    <n v="1"/>
    <s v="Individual sin Garantía"/>
    <s v="VISTA ALEGRE #29-SN"/>
    <s v="Diana Laura"/>
    <s v="Michoacán"/>
    <s v="Maravatio"/>
    <s v="19°53'32.3&quot;N 100°27'49.5&quot;W"/>
    <s v="Ver en mapa"/>
    <m/>
    <m/>
    <n v="4"/>
    <n v="3"/>
    <s v="Transferencia electrónica"/>
    <s v="100110101"/>
    <n v="16643.27"/>
    <n v="32302.6"/>
    <n v="0.28718802820825567"/>
  </r>
  <r>
    <s v="001167"/>
    <s v="Región Estado México"/>
    <x v="0"/>
    <s v="000029"/>
    <s v="Colin Garduño Estefani"/>
    <x v="2"/>
    <x v="2"/>
    <s v="01"/>
    <s v="PONCE JARAMILLO ERNESTO"/>
    <d v="2025-01-27T00:00:00"/>
    <d v="2026-01-27T00:00:00"/>
    <n v="35000"/>
    <n v="36869.269999999997"/>
    <n v="67"/>
    <x v="1"/>
    <n v="12"/>
    <s v="Mensual"/>
    <n v="5232.78"/>
    <n v="696"/>
    <n v="1740"/>
    <n v="0"/>
    <n v="2.4"/>
    <n v="15308.32"/>
    <n v="14438.24"/>
    <n v="10565.1"/>
    <n v="2017.14"/>
    <n v="116"/>
    <n v="1740"/>
    <n v="500"/>
    <d v="2025-12-15T00:00:00"/>
    <s v="Entregado"/>
    <n v="7229076845"/>
    <s v="hernesto01@gmail.com"/>
    <m/>
    <s v="FABRICACION DE PIEZAS METALICAS POR FUNDICION Y MOLDEO EXCEPTO PARA MAQUINARIA EQUIPO Y MATERIAL DE TRANSPORTE"/>
    <n v="3596014"/>
    <s v="MARTINEZ AGUILAR MARINA"/>
    <s v="7229076844.0"/>
    <s v="LEONARDO GARCIA VALDEZ"/>
    <s v="7225518180"/>
    <s v="ALONSO BARCENAS OLVERA"/>
    <s v="7222438793"/>
    <s v="RAMON HERNANDEZ ESTRADA"/>
    <s v="7222438793"/>
    <s v="Garantía Prendaria"/>
    <s v="TITULO EXPEDIDO POR STATE OF IOWA, Valor 80,000.00, Nombre CAMIONETA PICK UP RANGER, Folio Factura 30W098509, Fecha Factura 28/06/2000, Número de serie 1FTCR15T3KPB22390, Número de motor SIN NUMERO, Modelo 1989, Marca FORD, Propietario PONCE JARAMILLO ERNESTO"/>
    <s v="CAMIONETA PICK UP RANGER"/>
    <m/>
    <m/>
    <m/>
    <n v="19181.46"/>
    <n v="0"/>
    <n v="4"/>
    <s v="Individual mensual con garantia nivel I Tprem"/>
    <s v="AV BENITO JUAREZ #420-SN"/>
    <s v="Valle de Bravo"/>
    <s v="México"/>
    <s v="Valle De Bravo"/>
    <m/>
    <s v="Ver en mapa"/>
    <m/>
    <m/>
    <n v="6"/>
    <n v="5"/>
    <s v="Transferencia electrónica"/>
    <s v="100116701"/>
    <n v="15308.32"/>
    <n v="19181.46"/>
    <n v="0.75271851047834737"/>
  </r>
  <r>
    <s v="001337"/>
    <s v="Región Estado México"/>
    <x v="4"/>
    <s v="000045"/>
    <s v="Galindo Reyes Leticia"/>
    <x v="1"/>
    <x v="1"/>
    <s v="01"/>
    <s v="TORRES CRUZ MARTHA"/>
    <d v="2025-05-27T00:00:00"/>
    <d v="2025-11-27T00:00:00"/>
    <n v="7000"/>
    <n v="7373.85"/>
    <n v="67"/>
    <x v="1"/>
    <n v="6"/>
    <s v="Mensual"/>
    <n v="1828.18"/>
    <n v="348"/>
    <n v="1642.55"/>
    <n v="0"/>
    <n v="2"/>
    <n v="2457.9499999999998"/>
    <n v="5298.92"/>
    <n v="2457.9499999999998"/>
    <n v="1082.42"/>
    <n v="116"/>
    <n v="1642.55"/>
    <n v="500"/>
    <d v="2025-12-26T00:00:00"/>
    <s v="Entregado"/>
    <n v="7122282815"/>
    <s v="marthacruz83@gmail.com"/>
    <m/>
    <s v="SERVICIOS DE ALIMENTOS EN LENCERIAS TAQUERIAS Y TORTERIAS"/>
    <n v="8712011"/>
    <m/>
    <m/>
    <s v="ALAN SAUL SANCHEZ FELIPE"/>
    <s v="7121385731"/>
    <s v="VIVIANA PIÑA SANTOS"/>
    <s v="7291363725"/>
    <s v="HIPOLITA FELIPE SANCHEZ"/>
    <s v="5562120395"/>
    <m/>
    <m/>
    <m/>
    <m/>
    <m/>
    <m/>
    <n v="5298.92"/>
    <n v="0"/>
    <n v="1"/>
    <s v="Individual sin Garantía"/>
    <s v="MARIPOSA MONARCA #SN"/>
    <s v="Calvario Buenavista"/>
    <s v="México"/>
    <s v="San Felipe Del Progreso"/>
    <m/>
    <s v="Ver en mapa"/>
    <m/>
    <m/>
    <n v="6"/>
    <n v="6"/>
    <s v="Transferencia electrónica"/>
    <s v="100133701"/>
    <n v="2457.9499999999998"/>
    <n v="5298.92"/>
    <n v="1"/>
  </r>
  <r>
    <s v="001275"/>
    <s v="Región Estado México"/>
    <x v="2"/>
    <s v="000037"/>
    <s v="CREDIFLEXI CREDIFLEXI CREDIFLEXI"/>
    <x v="1"/>
    <x v="1"/>
    <s v="01"/>
    <s v="SORIA ARGUETA HORTENSIA"/>
    <d v="2025-04-28T00:00:00"/>
    <d v="2025-10-28T00:00:00"/>
    <n v="6000"/>
    <n v="6320.45"/>
    <n v="66"/>
    <x v="1"/>
    <n v="6"/>
    <s v="Mensual"/>
    <n v="1572.78"/>
    <n v="348"/>
    <n v="580"/>
    <n v="0"/>
    <n v="1"/>
    <n v="1053.4100000000001"/>
    <n v="2241.12"/>
    <n v="1053.4100000000001"/>
    <n v="461.37"/>
    <n v="146.34"/>
    <n v="580"/>
    <n v="1573"/>
    <d v="2025-09-29T00:00:00"/>
    <s v="Entregado"/>
    <n v="4471151624"/>
    <s v="hortensiasoria132@gmail.com"/>
    <m/>
    <s v="EMPLEADO PRIVADO"/>
    <n v="8944098"/>
    <m/>
    <m/>
    <s v="LORENA MAYA CRUZ"/>
    <s v="4471738397"/>
    <s v="MARICELA HERNANDEZ"/>
    <s v="4471536062"/>
    <s v="ANAI VERONICA MOLINA"/>
    <s v="4472036771"/>
    <m/>
    <m/>
    <m/>
    <m/>
    <m/>
    <m/>
    <n v="2241.12"/>
    <n v="0"/>
    <n v="1"/>
    <s v="Individual sin Garantía"/>
    <s v="CONSTITUYENTES #233-SN"/>
    <s v="Cuartel V"/>
    <s v="Michoacán"/>
    <s v="Maravatio"/>
    <m/>
    <s v="Ver en mapa"/>
    <m/>
    <m/>
    <n v="4"/>
    <n v="3"/>
    <s v="Transferencia electrónica"/>
    <s v="100127501"/>
    <n v="1053.4100000000001"/>
    <n v="2241.12"/>
    <n v="1"/>
  </r>
  <r>
    <s v="001494"/>
    <s v="Región Estado México"/>
    <x v="3"/>
    <s v="000041"/>
    <s v="Martinez Perez Juan Daniel"/>
    <x v="3"/>
    <x v="3"/>
    <s v="01"/>
    <s v="ORIHUELA GONZALEZ ESPERANZA"/>
    <d v="2025-07-24T00:00:00"/>
    <d v="2026-06-25T00:00:00"/>
    <n v="10000"/>
    <n v="10534.08"/>
    <n v="64"/>
    <x v="1"/>
    <n v="24"/>
    <s v="Catorcenal"/>
    <n v="849.88"/>
    <n v="1392"/>
    <n v="2900"/>
    <n v="11"/>
    <n v="5"/>
    <n v="7900.56"/>
    <n v="7148.8209791999998"/>
    <n v="2194.6"/>
    <n v="1764.81"/>
    <n v="289.41000000000003"/>
    <n v="2900"/>
    <n v="849.88"/>
    <d v="2025-10-16T00:00:00"/>
    <s v="Entregado"/>
    <n v="7222295955"/>
    <s v="perisorihuela@gmail.com"/>
    <m/>
    <s v="FABRICACION DE PAN Y PASTELES"/>
    <n v="2071017"/>
    <m/>
    <m/>
    <s v="CITLALLI ORIHUELA GONZALEZ"/>
    <s v="7296122538"/>
    <s v="KARLA FLORES ORIHUELA"/>
    <s v="7294528035"/>
    <s v="ROSA FLORES ORIHUELA"/>
    <s v="7294564515"/>
    <m/>
    <m/>
    <m/>
    <m/>
    <m/>
    <m/>
    <n v="17443.29"/>
    <n v="0"/>
    <n v="1"/>
    <s v="Individual sin Garantía"/>
    <s v="VICENTE GUERRERO #SN"/>
    <s v="Zepayautla"/>
    <s v="México"/>
    <s v="Tenancingo"/>
    <s v="19°00'48.5&quot;N 99°33'24.9&quot;W"/>
    <s v="Ver en mapa"/>
    <m/>
    <m/>
    <n v="5"/>
    <n v="5"/>
    <s v="Transferencia electrónica"/>
    <s v="100149401"/>
    <n v="7900.56"/>
    <n v="17443.29"/>
    <n v="0.40983214629808939"/>
  </r>
  <r>
    <s v="001562"/>
    <s v="Región Estado México"/>
    <x v="0"/>
    <s v="000040"/>
    <s v="Olayo Gaytan Luis Enrique"/>
    <x v="2"/>
    <x v="2"/>
    <s v="01"/>
    <s v="GARCIA ALVAREZ EDITH"/>
    <d v="2025-07-18T00:00:00"/>
    <d v="2025-11-07T00:00:00"/>
    <n v="10000"/>
    <n v="10534.08"/>
    <n v="63"/>
    <x v="1"/>
    <n v="16"/>
    <s v="Semanal"/>
    <n v="892.86"/>
    <n v="928"/>
    <n v="1160"/>
    <n v="16"/>
    <n v="1.3"/>
    <n v="923.44"/>
    <n v="2781.92"/>
    <n v="923.44"/>
    <n v="176.48"/>
    <n v="522"/>
    <n v="1160"/>
    <n v="893"/>
    <d v="2025-11-10T00:00:00"/>
    <s v="Entregado"/>
    <n v="7228467516"/>
    <s v="gonzalezrebollarflorencio@gmail.com"/>
    <m/>
    <s v="COMPRAVENTA DE PAN Y PASTELES"/>
    <n v="6132055"/>
    <s v="GONZALEZ REBOLLAR FLORENCIO"/>
    <s v="7228467516.0"/>
    <s v="FLORENCIO GONZALEZ REBOLLAR"/>
    <s v="7223579556"/>
    <s v="ROCIO GONZALEZ GARCIA"/>
    <s v="7228756678"/>
    <s v="EMMANUEL GONZALEZ GARCIA"/>
    <s v="7227869733"/>
    <m/>
    <m/>
    <m/>
    <m/>
    <m/>
    <m/>
    <n v="2781.92"/>
    <n v="0"/>
    <n v="1"/>
    <s v="Individual sin Garantía"/>
    <s v="SAN FRANCISCO MIHUAL #SN -SN"/>
    <s v="San Francisco Mihualtepec cu"/>
    <s v="México"/>
    <s v="Donato Guerra"/>
    <s v="19°14'59.7&quot;N 100°06'04.3&quot;W"/>
    <s v="Ver en mapa"/>
    <m/>
    <m/>
    <n v="12"/>
    <n v="12"/>
    <s v="Transferencia electrónica"/>
    <s v="100156201"/>
    <n v="923.44"/>
    <n v="2781.92"/>
    <n v="1"/>
  </r>
  <r>
    <s v="001433"/>
    <s v="Región Estado México"/>
    <x v="0"/>
    <s v="000040"/>
    <s v="Olayo Gaytan Luis Enrique"/>
    <x v="2"/>
    <x v="2"/>
    <s v="01"/>
    <s v="MARCOS CLEMENTE IVON"/>
    <d v="2025-06-30T00:00:00"/>
    <d v="2026-01-01T00:00:00"/>
    <n v="5000"/>
    <n v="5267.04"/>
    <n v="60"/>
    <x v="2"/>
    <n v="6"/>
    <s v="Mensual"/>
    <n v="1324.52"/>
    <n v="348"/>
    <n v="1521.55"/>
    <n v="0"/>
    <n v="3"/>
    <n v="2633.52"/>
    <n v="5437.11"/>
    <n v="2633.52"/>
    <n v="1166.04"/>
    <n v="116"/>
    <n v="1521.55"/>
    <n v="1000"/>
    <d v="2025-12-22T00:00:00"/>
    <s v="Entregado"/>
    <n v="7227829505"/>
    <s v="ivonemarcos325@gmail.com"/>
    <m/>
    <s v="EMPLEADO PRIVADO"/>
    <n v="8944098"/>
    <s v="GARCIA RODRIGUEZ MARIO"/>
    <s v="7227829505.0"/>
    <s v="BLANCA IVON CLEMENTE"/>
    <s v="7297561792"/>
    <s v="ZARAHI LUCAS EUGENIO"/>
    <s v="7191325520"/>
    <s v="DULCE MARIA GONZALEZ"/>
    <s v="7203569453"/>
    <m/>
    <m/>
    <m/>
    <m/>
    <m/>
    <m/>
    <n v="5437.11"/>
    <n v="0"/>
    <n v="1"/>
    <s v="Individual sin Garantía"/>
    <s v="SAN JUAN AMANALCO 2DA SECCION  #SN-SN"/>
    <s v="San Juan"/>
    <s v="México"/>
    <s v="Amanalco"/>
    <s v="19°14'51.1&quot;N 100°01'51.7&quot;W"/>
    <s v="Ver en mapa"/>
    <m/>
    <m/>
    <n v="4"/>
    <n v="4"/>
    <s v="Transferencia electrónica"/>
    <s v="100143301"/>
    <n v="2633.52"/>
    <n v="5437.11"/>
    <n v="1"/>
  </r>
  <r>
    <s v="001571"/>
    <s v="Región Estado México"/>
    <x v="3"/>
    <s v="000041"/>
    <s v="Martinez Perez Juan Daniel"/>
    <x v="3"/>
    <x v="3"/>
    <s v="01"/>
    <s v="VASQUEZ GUARDIAN SALVADOR"/>
    <d v="2025-07-29T00:00:00"/>
    <d v="2026-02-01T00:00:00"/>
    <n v="5000"/>
    <n v="5267.04"/>
    <n v="60"/>
    <x v="2"/>
    <n v="6"/>
    <s v="Mensual"/>
    <n v="1328.72"/>
    <n v="348"/>
    <n v="1740"/>
    <n v="0"/>
    <n v="3"/>
    <n v="3520.08"/>
    <n v="5734.8833013333333"/>
    <n v="2642.24"/>
    <n v="1178.6400000000001"/>
    <n v="174"/>
    <n v="1740"/>
    <n v="400"/>
    <d v="2025-12-13T00:00:00"/>
    <s v="Entregado"/>
    <n v="3344773102"/>
    <s v="nicoguardian52@gmail.com"/>
    <m/>
    <s v="TRANSPORTE EN AUTOMOVIL DE RULETEO"/>
    <n v="7113012"/>
    <s v="REYES SERRANO YARED"/>
    <m/>
    <s v="GLORIA GUARDIAN BERNAL"/>
    <s v="7226772974"/>
    <s v="SALVIO VASQUEZ FLORES"/>
    <s v="7227855416"/>
    <s v="DIANA MAYELI VASQUEZ REYES"/>
    <s v="7228333821"/>
    <m/>
    <m/>
    <m/>
    <m/>
    <m/>
    <m/>
    <n v="7005.6"/>
    <n v="0"/>
    <n v="1"/>
    <s v="Individual sin Garantía"/>
    <s v="AHUEHUETE #136-SN"/>
    <s v="San Juan Tetitlán"/>
    <s v="México"/>
    <s v="Tenancingo"/>
    <s v="18°58'21.1&quot;N 99°34'10.2&quot;W"/>
    <s v="Ver en mapa"/>
    <m/>
    <m/>
    <n v="5"/>
    <n v="5"/>
    <s v="Transferencia electrónica"/>
    <s v="100157101"/>
    <n v="3520.08"/>
    <n v="7005.6"/>
    <n v="0.81861415172623797"/>
  </r>
  <r>
    <s v="001595"/>
    <s v="Región Estado México"/>
    <x v="3"/>
    <s v="000042"/>
    <s v="Avila Nieto Luis Alfredo"/>
    <x v="3"/>
    <x v="3"/>
    <s v="01"/>
    <s v="GARCIA DIAZ MAYRA CECILIA"/>
    <d v="2025-07-28T00:00:00"/>
    <d v="2026-08-01T00:00:00"/>
    <n v="10000"/>
    <n v="10534.08"/>
    <n v="60"/>
    <x v="2"/>
    <n v="12"/>
    <s v="Mensual"/>
    <n v="1711.1"/>
    <n v="696"/>
    <n v="580"/>
    <n v="0"/>
    <n v="2.8"/>
    <n v="8778.4"/>
    <n v="5293.29"/>
    <n v="2633.52"/>
    <n v="1963.77"/>
    <n v="116"/>
    <n v="580"/>
    <n v="1000"/>
    <d v="2025-11-20T00:00:00"/>
    <s v="Entregado"/>
    <n v="7223016047"/>
    <s v="mayragarcia9707@gmail.com"/>
    <m/>
    <s v="EMPLEADO PUBLICO"/>
    <n v="9411998"/>
    <s v="GONZALEZ FABELA FERNANDO"/>
    <m/>
    <s v="EVELIN TORRES DIAZ"/>
    <s v="7207841465"/>
    <s v="FERNANDO GONZALEZ FABELA"/>
    <s v="5665289583"/>
    <s v="BRICIA MARIA GARCIA DIAZ"/>
    <s v="7293822882"/>
    <m/>
    <m/>
    <m/>
    <m/>
    <m/>
    <m/>
    <n v="16864.96"/>
    <n v="0"/>
    <n v="1"/>
    <s v="Individual sin Garantía"/>
    <s v="CRUZ VIDRIADA #SN"/>
    <s v="Cruz Vidriada cu"/>
    <s v="México"/>
    <s v="Villa Guerrero"/>
    <s v="18°59'47.3&quot;N 99°38'27.5&quot;W"/>
    <s v="Ver en mapa"/>
    <m/>
    <m/>
    <n v="4"/>
    <n v="4"/>
    <s v="Transferencia electrónica"/>
    <s v="100159501"/>
    <n v="8778.4"/>
    <n v="16864.96"/>
    <n v="0.31386318141282282"/>
  </r>
  <r>
    <s v="001570"/>
    <s v="Región Estado México"/>
    <x v="2"/>
    <s v="000053"/>
    <s v="Santos Gomez Mahogany"/>
    <x v="1"/>
    <x v="1"/>
    <s v="01"/>
    <s v="FERRER AVILA MIGUEL ANGEL"/>
    <d v="2025-07-28T00:00:00"/>
    <d v="2026-01-12T00:00:00"/>
    <n v="5000"/>
    <n v="5267.04"/>
    <n v="60"/>
    <x v="2"/>
    <n v="12"/>
    <s v="Catorcenal"/>
    <n v="673.4"/>
    <n v="696"/>
    <n v="2900"/>
    <n v="11"/>
    <n v="5"/>
    <n v="2633.52"/>
    <n v="6265.4104895999999"/>
    <n v="2194.6"/>
    <n v="882.4"/>
    <n v="288.41000000000003"/>
    <n v="2900"/>
    <n v="674"/>
    <d v="2025-10-20T00:00:00"/>
    <s v="Entregado"/>
    <n v="4472278159"/>
    <s v="angelferrer25.avila@gmail.com"/>
    <m/>
    <s v="COMPRAVENTA DE MUEBLES"/>
    <n v="6312011"/>
    <m/>
    <m/>
    <s v="DIANA HERRERA AVILA"/>
    <s v="4472267183"/>
    <s v="LEONILA AVILA MARTINEZ"/>
    <s v="4437947350"/>
    <s v="NATALI JAQUELIN CRUZ HERNANDEZ"/>
    <s v="4471006209"/>
    <m/>
    <m/>
    <m/>
    <m/>
    <m/>
    <m/>
    <n v="6880.81"/>
    <n v="0"/>
    <n v="1"/>
    <s v="Individual sin Garantía"/>
    <s v="C NIÑOS HEROES  #961-SN"/>
    <s v="San Antonio"/>
    <s v="Michoacán"/>
    <s v="Maravatio"/>
    <s v="19°53'20.1&quot;N 100°27'19.0&quot;W"/>
    <s v="Ver en mapa"/>
    <m/>
    <m/>
    <n v="6"/>
    <n v="5"/>
    <s v="Transferencia electrónica"/>
    <s v="100157001"/>
    <n v="2633.52"/>
    <n v="6880.81"/>
    <n v="0.91056292639965342"/>
  </r>
  <r>
    <s v="001447"/>
    <s v="Región Estado México"/>
    <x v="4"/>
    <s v="000046"/>
    <s v="Pech Muñoz Oscar Adrian"/>
    <x v="1"/>
    <x v="1"/>
    <s v="01"/>
    <s v="MONTOYA MIRANDA JUANA"/>
    <d v="2025-06-27T00:00:00"/>
    <d v="2026-01-01T00:00:00"/>
    <n v="20000"/>
    <n v="21068.16"/>
    <n v="60"/>
    <x v="2"/>
    <n v="6"/>
    <s v="Mensual"/>
    <n v="5149.28"/>
    <n v="348"/>
    <n v="1160"/>
    <n v="0"/>
    <n v="2.4"/>
    <n v="9199.86"/>
    <n v="13635.71"/>
    <n v="9199.86"/>
    <n v="3159.85"/>
    <n v="116"/>
    <n v="1160"/>
    <n v="1000"/>
    <d v="2025-12-19T00:00:00"/>
    <s v="Entregado"/>
    <n v="7121828911"/>
    <s v="mirandalec8@gmail.com"/>
    <m/>
    <s v="SERVICIOS EN BALNEARIOS Y ALBERCAS"/>
    <n v="8811011"/>
    <s v="RIVERA GASPAR JOSE DOMINGO"/>
    <s v="7121343454.0"/>
    <s v="FRYDA SOFIA HITURBIDE"/>
    <s v="7121665559"/>
    <s v="AMAPOLA MIRANDA VENEGAS"/>
    <s v="7121604381"/>
    <s v="YERALDIN ZALAZAR POSADAS"/>
    <s v="7121324666"/>
    <m/>
    <m/>
    <m/>
    <m/>
    <m/>
    <m/>
    <n v="13635.71"/>
    <n v="0"/>
    <n v="1"/>
    <s v="Individual sin Garantía"/>
    <s v="VILLA DE LOS  ANGELES #26-SN"/>
    <s v="Río Lerma (Tic Ti)"/>
    <s v="México"/>
    <s v="Atlacomulco"/>
    <s v="19°48'07.1&quot;N 99°53'40.5&quot;W"/>
    <s v="Ver en mapa"/>
    <m/>
    <m/>
    <n v="5"/>
    <n v="5"/>
    <s v="Transferencia electrónica"/>
    <s v="100144701"/>
    <n v="9199.86"/>
    <n v="13635.71"/>
    <n v="1"/>
  </r>
  <r>
    <s v="001456"/>
    <s v="Región Estado México"/>
    <x v="3"/>
    <s v="000041"/>
    <s v="Martinez Perez Juan Daniel"/>
    <x v="3"/>
    <x v="3"/>
    <s v="01"/>
    <s v="ZAMORA PARTIDA ANA CAREN"/>
    <d v="2025-06-30T00:00:00"/>
    <d v="2026-01-01T00:00:00"/>
    <n v="5000"/>
    <n v="5267.04"/>
    <n v="60"/>
    <x v="2"/>
    <n v="6"/>
    <s v="Mensual"/>
    <n v="1324.52"/>
    <n v="348"/>
    <n v="1160"/>
    <n v="0"/>
    <n v="3"/>
    <n v="2633.52"/>
    <n v="5133.55"/>
    <n v="2633.52"/>
    <n v="1166.03"/>
    <n v="174"/>
    <n v="1160"/>
    <n v="1324.52"/>
    <d v="2025-10-01T00:00:00"/>
    <s v="Entregado"/>
    <n v="7224848066"/>
    <s v="karengyami1993@gmail.com"/>
    <m/>
    <s v="COMPRAVENTA DE CALZADO"/>
    <n v="6212013"/>
    <s v="URTADO CASTREJON PABLO"/>
    <m/>
    <s v="CITLALLI MORALES SALAZAR"/>
    <s v="7295261598"/>
    <s v="IRIS HURTADO CASTREJON"/>
    <s v="7361179319"/>
    <s v="BIBIANA JUAREZ TOTOTZIN"/>
    <s v="7224292933"/>
    <m/>
    <m/>
    <m/>
    <m/>
    <m/>
    <m/>
    <n v="5133.55"/>
    <n v="0"/>
    <n v="1"/>
    <s v="Individual sin Garantía"/>
    <s v="CAMINO VIEJO A TECOMATLAN #128-SN"/>
    <s v="Cruz Vidriada"/>
    <s v="México"/>
    <s v="Tenancingo"/>
    <s v="18°57'49.6&quot;N 99°32'06.1&quot;W"/>
    <s v="Ver en mapa"/>
    <m/>
    <m/>
    <n v="3"/>
    <n v="3"/>
    <s v="Transferencia electrónica"/>
    <s v="100145601"/>
    <n v="2633.52"/>
    <n v="5133.55"/>
    <n v="1"/>
  </r>
  <r>
    <s v="001409"/>
    <s v="Región Estado México"/>
    <x v="3"/>
    <s v="000042"/>
    <s v="Avila Nieto Luis Alfredo"/>
    <x v="3"/>
    <x v="3"/>
    <s v="02"/>
    <s v="RAMIREZ ROMERO SERGIO"/>
    <d v="2025-09-26T00:00:00"/>
    <d v="2026-04-01T00:00:00"/>
    <n v="10000"/>
    <n v="10534.08"/>
    <n v="60"/>
    <x v="2"/>
    <n v="6"/>
    <s v="Mensual"/>
    <n v="2599.44"/>
    <n v="348"/>
    <n v="1160"/>
    <n v="0"/>
    <n v="3"/>
    <n v="10534.08"/>
    <n v="8958.3223967999984"/>
    <n v="5267.04"/>
    <n v="2357.2800000000002"/>
    <n v="174"/>
    <n v="1160"/>
    <m/>
    <m/>
    <s v="Entregado"/>
    <n v="7294046761"/>
    <s v="armadadj@hotmail.com"/>
    <m/>
    <s v="TIENDA DE ABARROTES Y MISCELANEA"/>
    <n v="6131023"/>
    <s v="GUADARRAMA JIMENEZ YESENIA"/>
    <m/>
    <s v="IRLANDA ROMERO MERCADO"/>
    <s v="7223827563"/>
    <s v="ROSARIO RAMIREZ ROMERO"/>
    <s v="7229003618"/>
    <s v="ARTURO GOMEZ MENDEZ"/>
    <s v="7292990336"/>
    <m/>
    <m/>
    <m/>
    <m/>
    <m/>
    <m/>
    <n v="16582.64"/>
    <n v="0"/>
    <n v="1"/>
    <s v="Individual sin Garantía"/>
    <s v="PIRULES #226"/>
    <s v="San Mateo"/>
    <s v="México"/>
    <s v="Tenancingo"/>
    <s v="18°57'55.7&quot;N 99°34'49.1&quot;W"/>
    <s v="Ver en mapa"/>
    <m/>
    <m/>
    <n v="3"/>
    <n v="3"/>
    <s v="Transferencia electrónica"/>
    <s v="100140902"/>
    <n v="10534.08"/>
    <n v="16582.64"/>
    <n v="0.5402229317406636"/>
  </r>
  <r>
    <s v="001374"/>
    <s v="Región Estado México"/>
    <x v="3"/>
    <s v="000042"/>
    <s v="Avila Nieto Luis Alfredo"/>
    <x v="3"/>
    <x v="3"/>
    <s v="01"/>
    <s v="BELTRAN AYALA JOSE GUILLERMO"/>
    <d v="2025-06-06T00:00:00"/>
    <d v="2026-06-06T00:00:00"/>
    <n v="20000"/>
    <n v="21068.16"/>
    <n v="57"/>
    <x v="2"/>
    <n v="12"/>
    <s v="Mensual"/>
    <n v="3347.38"/>
    <n v="696"/>
    <n v="1160"/>
    <n v="0"/>
    <n v="1.2"/>
    <n v="13038.68"/>
    <n v="5256.301152"/>
    <n v="2504.6"/>
    <n v="1533.7"/>
    <n v="58"/>
    <n v="1160"/>
    <n v="2000"/>
    <d v="2025-12-18T00:00:00"/>
    <s v="Entregado"/>
    <n v="7224651773"/>
    <s v="guillermobeltran928@gmail.com"/>
    <m/>
    <s v="SERVICIOS DE ALIMENTOS EN LENCERIAS TAQUERIAS Y TORTERIAS"/>
    <n v="8712011"/>
    <m/>
    <m/>
    <s v="FERNANDA AVILA NAVARRETE"/>
    <s v="7229804352"/>
    <s v="MARCEL ROSALES MANCERA"/>
    <s v="7224489318"/>
    <s v="MARIA DEL CARMEN ROMERO"/>
    <s v="7223114459"/>
    <m/>
    <m/>
    <m/>
    <m/>
    <m/>
    <m/>
    <n v="24992.6"/>
    <n v="0"/>
    <n v="1"/>
    <s v="Individual sin Garantía"/>
    <s v="PROL INDEPENDENCIA #SN"/>
    <s v="Ixtapita"/>
    <s v="México"/>
    <s v="Ixtapan De La Sal"/>
    <s v="18°50'34.6&quot;N 99°41'04.7&quot;W"/>
    <s v="Ver en mapa"/>
    <m/>
    <m/>
    <n v="4"/>
    <n v="3"/>
    <s v="Transferencia electrónica"/>
    <s v="100137401"/>
    <n v="13038.68"/>
    <n v="24992.6"/>
    <n v="0.2103142991125373"/>
  </r>
  <r>
    <s v="001149"/>
    <s v="Región Estado México"/>
    <x v="0"/>
    <s v="000029"/>
    <s v="Colin Garduño Estefani"/>
    <x v="2"/>
    <x v="2"/>
    <s v="01"/>
    <s v="VERA GARCIA ALBERTO DE JESUS"/>
    <d v="2025-03-07T00:00:00"/>
    <d v="2026-03-07T00:00:00"/>
    <n v="40000"/>
    <n v="42136.31"/>
    <n v="56"/>
    <x v="2"/>
    <n v="12"/>
    <s v="Mensual"/>
    <n v="6064.3"/>
    <n v="696"/>
    <n v="580"/>
    <n v="0"/>
    <n v="1.8"/>
    <n v="17556.8"/>
    <n v="11287.672500000001"/>
    <n v="7022.72"/>
    <n v="3626.95"/>
    <n v="58"/>
    <n v="580"/>
    <n v="2000"/>
    <d v="2025-11-27T00:00:00"/>
    <s v="Entregado"/>
    <n v="5534144947"/>
    <s v="veragarcia@gmail.com"/>
    <m/>
    <s v="EMPLEADO DEL SECTOR PRIVADO"/>
    <n v="9501009"/>
    <s v="GALICIA PONCE NATHALIE"/>
    <s v="7261264396.0"/>
    <s v="PAOLA GALICIA GONZALEZ"/>
    <s v="7261162243"/>
    <s v="JOSE LUIS VALENZUELA"/>
    <s v="7291607303"/>
    <s v="NATALIA ALBARRAN  VERA"/>
    <s v="7261162630"/>
    <s v="Garantía Prendaria"/>
    <s v="FACTURA EXPEDIDA POR  AUTOCOM ALFA S A P I DE CV , , , Valor 106,319.00, Nombre AUTOMOVIL TIIDA SEDAN SENSE T/M A/A, Folio Factura 98ED4609_1B75_45B6_8, Fecha Factura 12/12/2016, Número de serie 3N1BC1ADXHK193448, Número de motor MR18075995J, Modelo 2017, Marca NISSAN, Propietario VERA GARCIA ALBERTO DE JESUS"/>
    <s v="AUTOMOVIL TIIDA SEDAN SENSE T/M A/A"/>
    <m/>
    <m/>
    <m/>
    <n v="29306.560000000001"/>
    <n v="0"/>
    <n v="1"/>
    <s v="Individual sin Garantía"/>
    <s v="PRIVADA FRAY GREGORIO #SN"/>
    <s v="Barranca Seca"/>
    <s v="México"/>
    <s v="Valle De Bravo"/>
    <m/>
    <s v="Ver en mapa"/>
    <m/>
    <m/>
    <n v="6"/>
    <n v="6"/>
    <s v="Transferencia electrónica"/>
    <s v="100114901"/>
    <n v="17556.8"/>
    <n v="29306.560000000001"/>
    <n v="0.38515856176910562"/>
  </r>
  <r>
    <s v="001283"/>
    <s v="Región Estado México"/>
    <x v="3"/>
    <s v="000082"/>
    <s v="ENRIQUEZ VILCHIS MARIA ALEJANDRA"/>
    <x v="3"/>
    <x v="3"/>
    <s v="02"/>
    <s v="AGUILAR CHAVEZ MA ANGELINA"/>
    <d v="2025-10-27T00:00:00"/>
    <d v="2026-04-13T00:00:00"/>
    <n v="7000"/>
    <n v="7373.85"/>
    <n v="53"/>
    <x v="2"/>
    <n v="12"/>
    <s v="Catorcenal"/>
    <n v="919.56000000000006"/>
    <n v="696"/>
    <n v="2320"/>
    <n v="4"/>
    <n v="3.5"/>
    <n v="7178.92"/>
    <n v="5498.2425359999997"/>
    <n v="2263.02"/>
    <n v="741.22"/>
    <n v="174"/>
    <n v="2320"/>
    <n v="500"/>
    <d v="2025-12-02T00:00:00"/>
    <s v="Entregado"/>
    <n v="7298442686"/>
    <s v="aguilarangqi987@gmail.com"/>
    <m/>
    <s v="COMPRAVENTA DE PERFUMES"/>
    <n v="6231021"/>
    <s v="DAVILA FLORES VALENTIN"/>
    <m/>
    <s v="TERESA DE JESUS GONZALEZ"/>
    <s v="7228633584"/>
    <s v="AMANDA GONZALEZ NUÑEZ"/>
    <s v="7294761146"/>
    <s v="DIANA MITZI DIAZ JARDON"/>
    <s v="7291221647"/>
    <m/>
    <m/>
    <m/>
    <m/>
    <m/>
    <m/>
    <n v="12390.73"/>
    <n v="0"/>
    <n v="1"/>
    <s v="Individual sin Garantía"/>
    <s v="ANDADOR #SN"/>
    <s v="La Ocotalera"/>
    <s v="México"/>
    <s v="Tenancingo"/>
    <m/>
    <s v="Ver en mapa"/>
    <m/>
    <m/>
    <n v="4"/>
    <n v="4"/>
    <s v="Transferencia electrónica"/>
    <s v="100128302"/>
    <n v="7178.92"/>
    <n v="12390.73"/>
    <n v="0.44373838635818869"/>
  </r>
  <r>
    <s v="001520"/>
    <s v="Región Estado México"/>
    <x v="3"/>
    <s v="000042"/>
    <s v="Avila Nieto Luis Alfredo"/>
    <x v="3"/>
    <x v="3"/>
    <s v="01"/>
    <s v="MARTINEZ SUAREZ ROSA MA"/>
    <d v="2025-07-23T00:00:00"/>
    <d v="2026-01-07T00:00:00"/>
    <n v="10000"/>
    <n v="10534.08"/>
    <n v="51"/>
    <x v="2"/>
    <n v="12"/>
    <s v="Catorcenal"/>
    <n v="1288.8"/>
    <n v="696"/>
    <n v="2811.61"/>
    <n v="11"/>
    <n v="4"/>
    <n v="4389.2"/>
    <n v="7908.8209791999998"/>
    <n v="3511.36"/>
    <n v="1411.85"/>
    <n v="174"/>
    <n v="2811.61"/>
    <n v="1290"/>
    <d v="2025-11-26T00:00:00"/>
    <s v="Entregado"/>
    <n v="7221655227"/>
    <s v="rosamart034@gmail.com"/>
    <m/>
    <s v="FABRICACION DE PAN Y PASTELES"/>
    <n v="2071017"/>
    <s v="NOVERON MARTINEZ LUIS JOAQUIN"/>
    <m/>
    <s v="CELIA ZAMORA REYES"/>
    <s v="7223879405"/>
    <s v="PEDRO GOMEZ NOVERON"/>
    <s v="5628385629"/>
    <s v="ANA LIDIA FUENTES"/>
    <s v="7223227991"/>
    <m/>
    <m/>
    <m/>
    <m/>
    <m/>
    <m/>
    <n v="9139.6200000000008"/>
    <n v="0"/>
    <n v="1"/>
    <s v="Individual sin Garantía"/>
    <s v="ALDAMA  #54-2"/>
    <s v="Villa Guerrero"/>
    <s v="México"/>
    <s v="Villa Guerrero"/>
    <s v="18°57'54.7&quot;N 99°38'26.9&quot;W"/>
    <s v="Ver en mapa"/>
    <m/>
    <m/>
    <n v="7"/>
    <n v="7"/>
    <s v="Transferencia electrónica"/>
    <s v="100152001"/>
    <n v="4389.2"/>
    <n v="9139.6200000000008"/>
    <n v="0.86533367680494366"/>
  </r>
  <r>
    <s v="001400"/>
    <s v="Región Estado México"/>
    <x v="1"/>
    <s v="000044"/>
    <s v="Gonzalez Irala Jesus"/>
    <x v="6"/>
    <x v="6"/>
    <s v="01"/>
    <s v="BANDA GOMEZ JOSE DANIEL"/>
    <d v="2025-06-13T00:00:00"/>
    <d v="2025-12-13T00:00:00"/>
    <n v="5000"/>
    <n v="5267.04"/>
    <n v="50"/>
    <x v="2"/>
    <n v="6"/>
    <s v="Mensual"/>
    <n v="1320.32"/>
    <n v="348"/>
    <n v="1160"/>
    <n v="0"/>
    <n v="1.6"/>
    <n v="1678.46"/>
    <n v="3280.94"/>
    <n v="1678.46"/>
    <n v="384.48"/>
    <n v="58"/>
    <n v="1160"/>
    <n v="1000"/>
    <d v="2025-12-18T00:00:00"/>
    <s v="Entregado"/>
    <n v="3312808498"/>
    <s v="jsbandagomez@gmail.com"/>
    <m/>
    <s v="EMPLEADO DEL SECTOR PRIVADO"/>
    <n v="9501009"/>
    <s v="SANCHEZ MARQUEZ DANIELA"/>
    <m/>
    <s v="SILVIA SERNAS"/>
    <s v="5585701980"/>
    <s v="JORGE GOMEZ"/>
    <s v="7291085702"/>
    <s v="JAIME MORALES"/>
    <s v="7229085667"/>
    <m/>
    <m/>
    <m/>
    <m/>
    <m/>
    <m/>
    <n v="3280.94"/>
    <n v="0"/>
    <n v="1"/>
    <s v="Individual sin Garantía"/>
    <s v="VISTA HERMOSA  #13"/>
    <s v="San Francisco"/>
    <s v="México"/>
    <s v="Metepec"/>
    <s v="19°15'56.5&quot;N 99°35'41.4&quot;W"/>
    <s v="Ver en mapa"/>
    <m/>
    <m/>
    <n v="4"/>
    <n v="4"/>
    <s v="Transferencia electrónica"/>
    <s v="100140001"/>
    <n v="1678.46"/>
    <n v="3280.94"/>
    <n v="1"/>
  </r>
  <r>
    <s v="001247"/>
    <s v="Región Estado México"/>
    <x v="0"/>
    <s v="000037"/>
    <s v="CREDIFLEXI CREDIFLEXI CREDIFLEXI"/>
    <x v="2"/>
    <x v="2"/>
    <s v="01"/>
    <s v="BERAUD PEDRAZA LUIS ENRIQUE"/>
    <d v="2025-04-14T00:00:00"/>
    <d v="2026-04-14T00:00:00"/>
    <n v="35000"/>
    <n v="36869.269999999997"/>
    <n v="49"/>
    <x v="2"/>
    <n v="12"/>
    <s v="Mensual"/>
    <n v="5137.82"/>
    <n v="696"/>
    <n v="580"/>
    <n v="0"/>
    <n v="1.1000000000000001"/>
    <n v="15908.45"/>
    <n v="6264.0833000000002"/>
    <n v="3618.69"/>
    <n v="2007.38"/>
    <n v="58.01"/>
    <n v="580"/>
    <n v="5137"/>
    <d v="2025-11-14T00:00:00"/>
    <s v="Entregado"/>
    <n v="7226467396"/>
    <s v="xpicoo@hotmail.com"/>
    <m/>
    <s v="ARRENDAMIENTO DE INMUEBLES RESIDENCIALES"/>
    <n v="8312019"/>
    <s v="ROMERO QUEVEDO MARIA DE LOURDES"/>
    <s v="7226467396.0"/>
    <s v="OSCAR OCHOA RODRIGUEZ"/>
    <s v="7121522008"/>
    <s v="FEDERICO CRUZ"/>
    <s v="7224316916"/>
    <s v="PEPE LOYOLA"/>
    <s v="7224274636"/>
    <s v="Garantía Prendaria"/>
    <s v="FACTURA EXPEDIDA POR AUTOS DE ZITACUARO, SA DE CV., Valor 148,373.00, Nombre VEHICULO JETTA MK VI TRENDLINE P/COMFORTLINE B/AA STD , Folio Factura 868/ZVN, Fecha Factura 13/11/2015, Número de serie 3VW1W2AJ4GM247841, Número de motor CCC275350, Modelo 2016, Marca VOLKSWAGEN, Propietario BERAUD PEDRAZA LUIS ENRIQUE"/>
    <s v="VEHICULO JETTA MK VI TRENDLINE P/COMFORTLINE B/AA STD"/>
    <m/>
    <m/>
    <m/>
    <n v="26583.35"/>
    <n v="0"/>
    <n v="1"/>
    <s v="Individual sin Garantía"/>
    <s v="PRLG 16 DE SEPTIEMBRE  #167-SN"/>
    <s v="La Peña"/>
    <s v="México"/>
    <s v="Valle De Bravo"/>
    <m/>
    <s v="Ver en mapa"/>
    <m/>
    <m/>
    <n v="5"/>
    <n v="4"/>
    <s v="Transferencia electrónica"/>
    <s v="100124701"/>
    <n v="15908.45"/>
    <n v="26583.35"/>
    <n v="0.2356393494424141"/>
  </r>
  <r>
    <s v="001074"/>
    <s v="Región Estado México"/>
    <x v="1"/>
    <s v="000037"/>
    <s v="CREDIFLEXI CREDIFLEXI CREDIFLEXI"/>
    <x v="5"/>
    <x v="5"/>
    <s v="03"/>
    <s v="HUITRON MORALES ISMAEL"/>
    <d v="2025-10-17T00:00:00"/>
    <d v="2026-04-17T00:00:00"/>
    <n v="8000"/>
    <n v="8427.26"/>
    <n v="45"/>
    <x v="2"/>
    <n v="6"/>
    <s v="Mensual"/>
    <n v="1920.12"/>
    <n v="348"/>
    <n v="1160"/>
    <n v="0"/>
    <n v="2"/>
    <n v="8427.26"/>
    <n v="5000.2309209333334"/>
    <n v="2809.09"/>
    <n v="915.14"/>
    <n v="116"/>
    <n v="1160"/>
    <m/>
    <m/>
    <s v="Entregado"/>
    <n v="5584021198"/>
    <s v="ihuitronm@gmail.com"/>
    <m/>
    <s v="EMPLEADO PRIVADO"/>
    <n v="8944098"/>
    <m/>
    <m/>
    <m/>
    <m/>
    <m/>
    <m/>
    <m/>
    <m/>
    <m/>
    <m/>
    <m/>
    <m/>
    <m/>
    <m/>
    <n v="12448.69"/>
    <n v="0"/>
    <n v="1"/>
    <s v="Individual sin Garantía"/>
    <s v="ATENAS #233 D-4"/>
    <s v="Valle Dorado"/>
    <s v="México"/>
    <s v="Tlalnepantla de Baz"/>
    <m/>
    <s v="Ver en mapa"/>
    <m/>
    <m/>
    <n v="2"/>
    <n v="2"/>
    <s v="Transferencia electrónica"/>
    <s v="100107403"/>
    <n v="8427.26"/>
    <n v="12448.69"/>
    <n v="0.40166723735054322"/>
  </r>
  <r>
    <s v="001518"/>
    <s v="Región Estado México"/>
    <x v="1"/>
    <s v="000043"/>
    <s v="Cedillo Gonzalez Hugo"/>
    <x v="6"/>
    <x v="6"/>
    <s v="01"/>
    <s v="DIAZ HERNANDEZ ALFREDO"/>
    <d v="2025-07-15T00:00:00"/>
    <d v="2026-07-15T00:00:00"/>
    <n v="10000"/>
    <n v="10534.08"/>
    <n v="45"/>
    <x v="2"/>
    <n v="12"/>
    <s v="Mensual"/>
    <n v="1702.69"/>
    <n v="696"/>
    <n v="1160"/>
    <n v="0"/>
    <n v="1.1000000000000001"/>
    <n v="7199.8"/>
    <n v="3039.77"/>
    <n v="1054.92"/>
    <n v="766.85"/>
    <n v="58"/>
    <n v="1160"/>
    <n v="1703"/>
    <d v="2025-12-16T00:00:00"/>
    <s v="Entregado"/>
    <n v="7298687644"/>
    <s v="luluyfellojuntos@gmail.com"/>
    <m/>
    <s v="COMPRAVENTA DE PAPELERIA Y ARTICULOS DE ESCRITORIO"/>
    <n v="6233019"/>
    <s v="CUEVAS CARMONA LOURDES"/>
    <m/>
    <s v="LOURDES CUEVAS CARMONA"/>
    <s v="7293227308"/>
    <s v="LILI DE JESUS"/>
    <s v="7202791426"/>
    <s v="MARIA DE LOURDES MARTINEZ"/>
    <s v="6633136554"/>
    <m/>
    <m/>
    <m/>
    <m/>
    <m/>
    <m/>
    <n v="14552.61"/>
    <n v="0"/>
    <n v="1"/>
    <s v="Individual sin Garantía"/>
    <s v="LAGO TOTOLCINGO  #110-SN"/>
    <s v="El Seminario 1a Sección"/>
    <s v="México"/>
    <s v="Toluca"/>
    <s v="19°16'17.2&quot;N 99°40'39.8&quot;W"/>
    <s v="Ver en mapa"/>
    <m/>
    <m/>
    <n v="4"/>
    <n v="4"/>
    <s v="Transferencia electrónica"/>
    <s v="100151801"/>
    <n v="7199.8"/>
    <n v="14552.61"/>
    <n v="0.20888143089109101"/>
  </r>
  <r>
    <s v="001770"/>
    <s v="Región Estado México"/>
    <x v="3"/>
    <s v="000041"/>
    <s v="Martinez Perez Juan Daniel"/>
    <x v="3"/>
    <x v="3"/>
    <s v="01"/>
    <s v="ARROYO MORENO MARIA ALEJANDRA"/>
    <d v="2025-08-15T00:00:00"/>
    <d v="2026-02-15T00:00:00"/>
    <n v="8000"/>
    <n v="8427.26"/>
    <n v="45"/>
    <x v="2"/>
    <n v="6"/>
    <s v="Mensual"/>
    <n v="2081.0700000000002"/>
    <n v="348"/>
    <n v="1160"/>
    <n v="0"/>
    <n v="2"/>
    <n v="5618.17"/>
    <n v="5320.2670513777766"/>
    <n v="2809.08"/>
    <n v="1237.04"/>
    <n v="114.14"/>
    <n v="1160"/>
    <n v="2662"/>
    <d v="2025-10-16T00:00:00"/>
    <s v="Entregado"/>
    <n v="7226824469"/>
    <s v="mariaalejandra75@gmail.com"/>
    <m/>
    <s v="SERVICIOS DE ALIMENTOS EN LENCERIAS TAQUERIAS Y TORTERIAS"/>
    <n v="8712011"/>
    <s v="MARTINEZ MARTINEZ TIRSO"/>
    <m/>
    <s v="JOSE MARIA MARTINEZ"/>
    <s v="7201364638"/>
    <s v="ADRIANA SALOME MARTINEZ"/>
    <s v="7223127351"/>
    <s v="ERIK BRAYAN PADILLA MARTINEZ"/>
    <s v="7225320264"/>
    <m/>
    <m/>
    <m/>
    <m/>
    <m/>
    <m/>
    <n v="9366.4"/>
    <n v="0"/>
    <n v="1"/>
    <s v="Individual sin Garantía"/>
    <s v="VENUSTIANO C #SN"/>
    <s v="Tepetzingo"/>
    <s v="México"/>
    <s v="Tenancingo"/>
    <s v="18°56'22.2&quot;N 99°36'53.8&quot;W"/>
    <s v="Ver en mapa"/>
    <m/>
    <m/>
    <n v="4"/>
    <n v="4"/>
    <s v="Transferencia electrónica"/>
    <s v="100177001"/>
    <n v="5618.17"/>
    <n v="9366.4"/>
    <n v="0.5680162123524275"/>
  </r>
  <r>
    <s v="001368"/>
    <s v="Región Estado México"/>
    <x v="4"/>
    <s v="000046"/>
    <s v="Pech Muñoz Oscar Adrian"/>
    <x v="1"/>
    <x v="1"/>
    <s v="01"/>
    <s v="ORTEGA DE JESUS LETICIA"/>
    <d v="2025-06-03T00:00:00"/>
    <d v="2025-11-18T00:00:00"/>
    <n v="5000"/>
    <n v="5267.04"/>
    <n v="45"/>
    <x v="2"/>
    <n v="24"/>
    <s v="Semanal"/>
    <n v="365.7"/>
    <n v="1392"/>
    <n v="55.31"/>
    <n v="24"/>
    <n v="1"/>
    <n v="219.46"/>
    <n v="653.01"/>
    <n v="219.46"/>
    <n v="88.24"/>
    <n v="290"/>
    <n v="55.31"/>
    <n v="300"/>
    <d v="2025-11-26T00:00:00"/>
    <s v="Entregado"/>
    <n v="7122169338"/>
    <s v="leticiaortegadejesus@gmail.com"/>
    <m/>
    <s v="COMPRAVENTA DE LEGUMBRES Y HORTALIZAS"/>
    <n v="6112023"/>
    <s v="MARCELO RUIZ ENRIQUE"/>
    <s v="7122169338.0"/>
    <s v="DIANA MARCELO"/>
    <s v="5653738175"/>
    <s v="MIGUEL ANGEL CARDENAS"/>
    <s v="7124110220"/>
    <s v="NEREIDA MARTINEZ"/>
    <s v="7124154357"/>
    <m/>
    <m/>
    <m/>
    <m/>
    <m/>
    <m/>
    <n v="653.01"/>
    <n v="0"/>
    <n v="1"/>
    <s v="Individual sin Garantía"/>
    <s v="EJIDO RINCON DE LA CANDELARIA #SN"/>
    <s v="El Rincón de la Candelaria"/>
    <s v="México"/>
    <s v="Atlacomulco"/>
    <s v="19°46'02.0&quot;N 99°52'10.5&quot;W"/>
    <s v="Ver en mapa"/>
    <m/>
    <m/>
    <n v="7"/>
    <n v="7"/>
    <s v="Transferencia electrónica"/>
    <s v="100136801"/>
    <n v="219.46"/>
    <n v="653.01"/>
    <n v="1"/>
  </r>
  <r>
    <s v="001294"/>
    <s v="Región Estado México"/>
    <x v="0"/>
    <s v="000082"/>
    <s v="ENRIQUEZ VILCHIS MARIA ALEJANDRA"/>
    <x v="2"/>
    <x v="2"/>
    <s v="02"/>
    <s v="ALBERTO DIONISIO JOSE MARGARITO"/>
    <d v="2025-09-12T00:00:00"/>
    <d v="2026-02-27T00:00:00"/>
    <n v="7000"/>
    <n v="7373.85"/>
    <n v="42"/>
    <x v="2"/>
    <n v="12"/>
    <s v="Catorcenal"/>
    <n v="919.56000000000006"/>
    <n v="696"/>
    <n v="1740"/>
    <n v="8"/>
    <n v="3.7"/>
    <n v="4880.54"/>
    <n v="5077.8100000000004"/>
    <n v="2422.59"/>
    <n v="741.22"/>
    <n v="174"/>
    <n v="1740"/>
    <n v="1000"/>
    <d v="2025-12-19T00:00:00"/>
    <s v="Entregado"/>
    <n v="7291460410"/>
    <s v="jmad220280@hotmail.com"/>
    <m/>
    <s v="TIENDA DE ABARROTES Y MISCELANEA"/>
    <n v="6131023"/>
    <s v="GONZALEZ COLIN MARIA CONCEPCION"/>
    <s v="7291460410.0"/>
    <s v="PATRICIA DOLORES DE LA CRUZ"/>
    <s v="7293544932"/>
    <s v="CASILDA GARCIA GARCIA"/>
    <s v="7228062469"/>
    <s v="MAURA DE LA CRUZ GARDUÑO"/>
    <s v="5644934125"/>
    <m/>
    <m/>
    <m/>
    <m/>
    <m/>
    <m/>
    <n v="8524.0499999999993"/>
    <n v="0"/>
    <n v="1"/>
    <s v="Individual sin Garantía"/>
    <s v="SAN JERONIMO AMANALCO #SN"/>
    <s v="San Jerónimo"/>
    <s v="México"/>
    <s v="Amanalco"/>
    <m/>
    <s v="Ver en mapa"/>
    <m/>
    <m/>
    <n v="7"/>
    <n v="7"/>
    <s v="Transferencia electrónica"/>
    <s v="100129402"/>
    <n v="4880.54"/>
    <n v="8524.0499999999993"/>
    <n v="0.59570392008493622"/>
  </r>
  <r>
    <s v="001418"/>
    <s v="Región Estado México"/>
    <x v="0"/>
    <s v="000040"/>
    <s v="Olayo Gaytan Luis Enrique"/>
    <x v="2"/>
    <x v="2"/>
    <s v="01"/>
    <s v="ALVARADO NORBERTO ELENA NATALIA"/>
    <d v="2025-06-23T00:00:00"/>
    <d v="2025-12-23T00:00:00"/>
    <n v="5000"/>
    <n v="5267.04"/>
    <n v="39"/>
    <x v="2"/>
    <n v="6"/>
    <s v="Mensual"/>
    <n v="1320.32"/>
    <n v="348"/>
    <n v="580"/>
    <n v="0"/>
    <n v="1.4"/>
    <n v="1428.42"/>
    <n v="2450.9"/>
    <n v="1428.42"/>
    <n v="384.48"/>
    <n v="58"/>
    <n v="580"/>
    <n v="1330"/>
    <d v="2025-11-27T00:00:00"/>
    <s v="Entregado"/>
    <n v="7224684947"/>
    <s v="enataalvarado@gmail.com"/>
    <m/>
    <s v="EMPLEADO PRIVADO"/>
    <n v="8944098"/>
    <s v="VELAZQUEZ LOPEZ HECTOR"/>
    <s v="7224684947.0"/>
    <s v="BERENICE JIMENEZ SANCHEZ"/>
    <s v="7223587737"/>
    <s v="GUADALUPE SALINAS SALAZAR"/>
    <s v="7155934207"/>
    <s v="JUAN MANUEL SANCHEZ"/>
    <s v="7223568720"/>
    <m/>
    <m/>
    <m/>
    <m/>
    <m/>
    <m/>
    <n v="2450.9"/>
    <n v="0"/>
    <n v="1"/>
    <s v="Individual sin Garantía"/>
    <s v="VEGA DEL VALLE  #2311-SN"/>
    <s v="Avándaro"/>
    <s v="México"/>
    <s v="Valle De Bravo"/>
    <s v="19°09'28.1&quot;N 100°08'20.0&quot;W"/>
    <s v="Ver en mapa"/>
    <m/>
    <m/>
    <n v="4"/>
    <n v="4"/>
    <s v="Transferencia electrónica"/>
    <s v="100141801"/>
    <n v="1428.42"/>
    <n v="2450.9"/>
    <n v="1"/>
  </r>
  <r>
    <s v="001505"/>
    <s v="Región Estado México"/>
    <x v="3"/>
    <s v="000042"/>
    <s v="Avila Nieto Luis Alfredo"/>
    <x v="3"/>
    <x v="3"/>
    <s v="01"/>
    <s v="MILLAN FUENTES CARMEN GABRIELA"/>
    <d v="2025-07-24T00:00:00"/>
    <d v="2026-01-24T00:00:00"/>
    <n v="10000"/>
    <n v="10534.08"/>
    <n v="39"/>
    <x v="2"/>
    <n v="6"/>
    <s v="Mensual"/>
    <n v="2586.83"/>
    <n v="348"/>
    <n v="1160"/>
    <n v="0"/>
    <n v="1.6"/>
    <n v="5097.6900000000014"/>
    <n v="5333.1732693333333"/>
    <n v="3342.01"/>
    <n v="773.15"/>
    <n v="58.01"/>
    <n v="1160"/>
    <n v="1000"/>
    <d v="2025-12-26T00:00:00"/>
    <s v="Entregado"/>
    <n v="7223143189"/>
    <s v="Gabymf24@hotmail.com"/>
    <m/>
    <s v="SERVICIOS EN MERENDEROS CENADURIAS Y PREPARACION DE ANTOJITOS Y PLATILLOS REGIONALES"/>
    <n v="8719017"/>
    <m/>
    <m/>
    <s v="ALONSO DAVID MILLAN FUENTES"/>
    <s v="7225603679"/>
    <s v="ANA KAREN MILLAN PEDROZA"/>
    <s v="7226747726"/>
    <s v="PATRICIA PEDROZA RUBI"/>
    <s v="7223771417"/>
    <m/>
    <m/>
    <m/>
    <m/>
    <m/>
    <m/>
    <n v="7862.01"/>
    <n v="0"/>
    <n v="1"/>
    <s v="Individual sin Garantía"/>
    <s v="OVIEDO #27-SN"/>
    <s v="Villa Guerrero"/>
    <s v="México"/>
    <s v="Villa Guerrero"/>
    <s v="18°57'49.6&quot;N 99°38'23.8&quot;W"/>
    <s v="Ver en mapa"/>
    <m/>
    <m/>
    <n v="3"/>
    <n v="3"/>
    <s v="Transferencia electrónica"/>
    <s v="100150501"/>
    <n v="5097.6900000000014"/>
    <n v="7862.01"/>
    <n v="0.67834730168663393"/>
  </r>
  <r>
    <s v="001601"/>
    <s v="Región Estado México"/>
    <x v="2"/>
    <s v="000053"/>
    <s v="Santos Gomez Mahogany"/>
    <x v="1"/>
    <x v="1"/>
    <s v="01"/>
    <s v="LUGO CORONEL JESUS ARMANDO"/>
    <d v="2025-07-23T00:00:00"/>
    <d v="2026-07-23T00:00:00"/>
    <n v="10000"/>
    <n v="10534.08"/>
    <n v="39"/>
    <x v="2"/>
    <n v="12"/>
    <s v="Mensual"/>
    <n v="1702.69"/>
    <n v="696"/>
    <n v="1160"/>
    <n v="0"/>
    <n v="2"/>
    <n v="7900.56"/>
    <n v="4564.46"/>
    <n v="1755.68"/>
    <n v="1533.7"/>
    <n v="115.08"/>
    <n v="1160"/>
    <n v="1703"/>
    <d v="2025-10-23T00:00:00"/>
    <s v="Entregado"/>
    <n v="4472156039"/>
    <s v="lugocoronel232@gmail.com"/>
    <m/>
    <s v="EMPLEADO DEL SECTOR PRIVADO"/>
    <n v="9501009"/>
    <m/>
    <m/>
    <s v="JORGE LUIS ANGEL ROJAS"/>
    <s v="4471000028"/>
    <s v="ANDRO PONCE GARCIA"/>
    <s v="4471736366"/>
    <s v="STHEPANIE LUGO CORONEL"/>
    <s v="4471007314"/>
    <m/>
    <m/>
    <m/>
    <m/>
    <m/>
    <m/>
    <n v="16077.3"/>
    <n v="0"/>
    <n v="1"/>
    <s v="Individual sin Garantía"/>
    <s v="COMONFORT #11-SN"/>
    <s v="Maravatío de Ocampo Centro"/>
    <s v="Michoacán"/>
    <s v="Maravatio"/>
    <s v="19°53'24.0&quot;N 100°26'39.2&quot;W"/>
    <s v="Ver en mapa"/>
    <m/>
    <m/>
    <n v="2"/>
    <n v="2"/>
    <s v="Transferencia electrónica"/>
    <s v="100160101"/>
    <n v="7900.56"/>
    <n v="16077.3"/>
    <n v="0.2839071237085829"/>
  </r>
  <r>
    <s v="001263"/>
    <s v="Región Estado México"/>
    <x v="1"/>
    <s v="000037"/>
    <s v="CREDIFLEXI CREDIFLEXI CREDIFLEXI"/>
    <x v="6"/>
    <x v="6"/>
    <s v="01"/>
    <s v="SOTO HERNANDEZ MARIA ELENA"/>
    <d v="2025-04-23T00:00:00"/>
    <d v="2026-04-23T00:00:00"/>
    <n v="15000"/>
    <n v="15801.12"/>
    <n v="39"/>
    <x v="2"/>
    <n v="12"/>
    <s v="Mensual"/>
    <n v="2525.04"/>
    <n v="696"/>
    <n v="1433.23"/>
    <n v="0"/>
    <n v="2"/>
    <n v="7900.56"/>
    <n v="6425.301152"/>
    <n v="2633.52"/>
    <n v="2300.5500000000002"/>
    <n v="58"/>
    <n v="1433.23"/>
    <n v="1000"/>
    <d v="2025-12-23T00:00:00"/>
    <s v="Entregado"/>
    <n v="7224852577"/>
    <s v="maria.elenahsoto@gmailcom"/>
    <m/>
    <s v="RESTAURANTE"/>
    <n v="8711021"/>
    <m/>
    <m/>
    <s v="CAROLINA LOPEZ"/>
    <s v="7224108994"/>
    <s v="SOFIA ORDOÑEZ"/>
    <s v="7228267354"/>
    <s v="MARCELA MEJIA"/>
    <s v="5649151517"/>
    <m/>
    <m/>
    <m/>
    <m/>
    <m/>
    <m/>
    <n v="16293.45"/>
    <n v="0"/>
    <n v="1"/>
    <s v="Individual sin Garantía"/>
    <s v="RIO TULA #141-SN"/>
    <s v="San Lucas Tepemajalco"/>
    <s v="México"/>
    <s v="San Antonio La Isla"/>
    <m/>
    <s v="Ver en mapa"/>
    <m/>
    <m/>
    <n v="7"/>
    <n v="7"/>
    <s v="Transferencia electrónica"/>
    <s v="100126301"/>
    <n v="7900.56"/>
    <n v="16293.45"/>
    <n v="0.3943487200071194"/>
  </r>
  <r>
    <s v="001261"/>
    <s v="Región Estado México"/>
    <x v="3"/>
    <s v="000037"/>
    <s v="CREDIFLEXI CREDIFLEXI CREDIFLEXI"/>
    <x v="3"/>
    <x v="3"/>
    <s v="01"/>
    <s v="DOTOR SOTO ERIKA ALEJANDRA"/>
    <d v="2025-04-23T00:00:00"/>
    <d v="2026-04-23T00:00:00"/>
    <n v="10000"/>
    <n v="10534.08"/>
    <n v="39"/>
    <x v="2"/>
    <n v="12"/>
    <s v="Mensual"/>
    <n v="1702.69"/>
    <n v="696"/>
    <n v="1160"/>
    <n v="0"/>
    <n v="1.6"/>
    <n v="5267.04"/>
    <n v="3847.5341013333332"/>
    <n v="1755.68"/>
    <n v="873.85"/>
    <n v="58"/>
    <n v="1160"/>
    <n v="3000"/>
    <d v="2025-12-22T00:00:00"/>
    <s v="Entregado"/>
    <n v="7225684720"/>
    <s v="erikadotoro@gmail.com"/>
    <m/>
    <s v="COMPRAVENTA DE ARTICULOS REGIONALES CURIOSIDADES Y ARTESANIAS"/>
    <n v="6325048"/>
    <m/>
    <m/>
    <s v="SOCORRO ROJAS ARELLANO"/>
    <s v="7223216079"/>
    <s v="VERONICA ESCOBEDO LOPEZ"/>
    <s v="4434812084"/>
    <s v="MONSERRAT GONZALEZ NAVA"/>
    <s v="7221309262"/>
    <m/>
    <m/>
    <m/>
    <m/>
    <m/>
    <m/>
    <n v="10426.299999999999"/>
    <n v="0"/>
    <n v="1"/>
    <s v="Individual sin Garantía"/>
    <s v="LAS CRUCES #113-SN"/>
    <s v="Chalma"/>
    <s v="México"/>
    <s v="Malinalco"/>
    <m/>
    <s v="Ver en mapa"/>
    <m/>
    <m/>
    <n v="5"/>
    <n v="5"/>
    <s v="Transferencia electrónica"/>
    <s v="100126101"/>
    <n v="5267.04"/>
    <n v="10426.299999999999"/>
    <n v="0.3690220021803835"/>
  </r>
  <r>
    <s v="001338"/>
    <s v="Región Estado México"/>
    <x v="4"/>
    <s v="000049"/>
    <s v="Morales Desiderio Patricia"/>
    <x v="1"/>
    <x v="1"/>
    <s v="01"/>
    <s v="PLATA RAMIREZ MA ELIZABETH"/>
    <d v="2025-05-26T00:00:00"/>
    <d v="2026-05-26T00:00:00"/>
    <n v="15000"/>
    <n v="15801.12"/>
    <n v="37"/>
    <x v="2"/>
    <n v="12"/>
    <s v="Mensual"/>
    <n v="2525.04"/>
    <n v="696"/>
    <n v="580.01"/>
    <n v="0"/>
    <n v="1.1000000000000001"/>
    <n v="8083.74"/>
    <n v="3288.223508"/>
    <n v="1499.94"/>
    <n v="1150.27"/>
    <n v="58"/>
    <n v="580.01"/>
    <n v="2526"/>
    <d v="2025-12-26T00:00:00"/>
    <s v="Entregado"/>
    <n v="7121830408"/>
    <s v="elimexicanita@hotmail.com"/>
    <m/>
    <s v="SERVICIOS DE ALIMENTOS EN LENCERIAS TAQUERIAS Y TORTERIAS"/>
    <n v="8712011"/>
    <m/>
    <m/>
    <s v="YAHIR LOPEZ"/>
    <s v="7225524341"/>
    <s v="LUCY EVANGELINA SANCHEZ"/>
    <s v="7121544724"/>
    <s v="BEATRIZ RAMIREZ"/>
    <s v="7121633320"/>
    <m/>
    <m/>
    <m/>
    <m/>
    <m/>
    <m/>
    <n v="15623.41"/>
    <n v="0"/>
    <n v="1"/>
    <s v="Individual sin Garantía"/>
    <s v="AV ATA #21-SN"/>
    <s v="Atlacomulco de Fabela Centro"/>
    <s v="México"/>
    <s v="Atlacomulco"/>
    <m/>
    <s v="Ver en mapa"/>
    <m/>
    <m/>
    <n v="6"/>
    <n v="6"/>
    <s v="Transferencia electrónica"/>
    <s v="100133801"/>
    <n v="8083.74"/>
    <n v="15623.41"/>
    <n v="0.21046772170736089"/>
  </r>
  <r>
    <s v="001347"/>
    <s v="Región Estado México"/>
    <x v="0"/>
    <s v="000040"/>
    <s v="Olayo Gaytan Luis Enrique"/>
    <x v="2"/>
    <x v="2"/>
    <s v="01"/>
    <s v="CRUZ GARCIA DIEGO AMANDO"/>
    <d v="2025-05-28T00:00:00"/>
    <d v="2025-11-28T00:00:00"/>
    <n v="5000"/>
    <n v="5267.04"/>
    <n v="35"/>
    <x v="2"/>
    <n v="6"/>
    <s v="Mensual"/>
    <n v="1322.42"/>
    <n v="348"/>
    <n v="580"/>
    <n v="0"/>
    <n v="0.5"/>
    <n v="607.5"/>
    <n v="1245.5"/>
    <n v="607.5"/>
    <n v="0"/>
    <n v="58"/>
    <n v="580"/>
    <n v="2600"/>
    <d v="2025-12-15T00:00:00"/>
    <s v="Entregado"/>
    <n v="7224250483"/>
    <s v="cruzdiego8090@gmail.com"/>
    <m/>
    <s v="TIENDA DE ABARROTES Y MISCELANEA"/>
    <n v="6131023"/>
    <m/>
    <m/>
    <s v="GLORIA ALVAREZ"/>
    <s v="7293771413"/>
    <s v="TERESA HERNANDEZ DE FREMAN"/>
    <s v="7261264167"/>
    <s v="MARISOL AYALA CRUZ"/>
    <s v="7223709734"/>
    <m/>
    <m/>
    <m/>
    <m/>
    <m/>
    <m/>
    <n v="1245.5"/>
    <n v="0"/>
    <n v="1"/>
    <s v="Individual sin Garantía"/>
    <s v="CAMINO A LAS MONJAS #SN"/>
    <s v="Santa María Pipioltepec (Pipioltepec)"/>
    <s v="México"/>
    <s v="Valle De Bravo"/>
    <m/>
    <s v="Ver en mapa"/>
    <m/>
    <m/>
    <n v="5"/>
    <n v="5"/>
    <s v="Transferencia electrónica"/>
    <s v="100134701"/>
    <n v="607.5"/>
    <n v="1245.5"/>
    <n v="1"/>
  </r>
  <r>
    <s v="001449"/>
    <s v="Región Estado México"/>
    <x v="4"/>
    <s v="000082"/>
    <s v="ENRIQUEZ VILCHIS MARIA ALEJANDRA"/>
    <x v="2"/>
    <x v="2"/>
    <s v="02"/>
    <s v="SOTO MENDOZA LIDIA"/>
    <d v="2025-10-31T00:00:00"/>
    <d v="2026-05-01T00:00:00"/>
    <n v="25000"/>
    <n v="26335.19"/>
    <n v="32"/>
    <x v="2"/>
    <n v="6"/>
    <s v="Mensual"/>
    <n v="6359.07"/>
    <n v="348"/>
    <n v="580"/>
    <n v="0"/>
    <n v="2"/>
    <n v="26335.19"/>
    <n v="13298.1495800222"/>
    <n v="8778.4"/>
    <n v="3823.75"/>
    <n v="116"/>
    <n v="580"/>
    <m/>
    <m/>
    <s v="Entregado"/>
    <n v="7122511512"/>
    <s v="lsoto7950@gmail.com"/>
    <m/>
    <s v="SERVICIOS DE CONSULTORIOS Y CLINICAS DENTALES"/>
    <n v="9213018"/>
    <m/>
    <m/>
    <s v="MARISOL COOPLE"/>
    <s v="7121029851"/>
    <s v="ROSA SOTO"/>
    <s v="7121698198"/>
    <s v="EDITH COYOTE ALCANTAR"/>
    <s v="7121336465"/>
    <m/>
    <m/>
    <m/>
    <m/>
    <m/>
    <m/>
    <n v="38502.449999999997"/>
    <n v="0"/>
    <n v="1"/>
    <s v="Individual sin Garantía"/>
    <s v="BO EL FRESNO #SN"/>
    <s v="Santiago Casandeje"/>
    <s v="México"/>
    <s v="Jocotitlan"/>
    <m/>
    <s v="Ver en mapa"/>
    <m/>
    <m/>
    <n v="2"/>
    <n v="2"/>
    <s v="Transferencia electrónica"/>
    <s v="100144902"/>
    <n v="26335.19"/>
    <n v="38502.449999999997"/>
    <n v="0.34538450358411482"/>
  </r>
  <r>
    <s v="001460"/>
    <s v="Región Estado México"/>
    <x v="4"/>
    <s v="000045"/>
    <s v="Galindo Reyes Leticia"/>
    <x v="1"/>
    <x v="1"/>
    <s v="01"/>
    <s v="GUADARRAMA CORREA AARON"/>
    <d v="2025-07-01T00:00:00"/>
    <d v="2026-07-01T00:00:00"/>
    <n v="20000"/>
    <n v="21068.16"/>
    <n v="32"/>
    <x v="2"/>
    <n v="12"/>
    <s v="Mensual"/>
    <n v="3347.38"/>
    <n v="696"/>
    <n v="0"/>
    <n v="0"/>
    <n v="1.3"/>
    <n v="13191.3"/>
    <n v="4248.9211519999999"/>
    <n v="2657.22"/>
    <n v="1533.7"/>
    <n v="58"/>
    <n v="0"/>
    <n v="1000"/>
    <d v="2025-12-26T00:00:00"/>
    <s v="Entregado"/>
    <n v="7122924932"/>
    <s v="aaronguadarramacorrea@gmail.com"/>
    <m/>
    <s v="CULTIVO DE FLORES Y PLANTAS DE ORNATO"/>
    <n v="131011"/>
    <s v="MARTINEZ GONZALEZ JOSELIN"/>
    <s v="7122621391.0"/>
    <s v="LEANDRO GONZALEZ"/>
    <s v="5511381201"/>
    <s v="LUIS GUTIERREZ SANTOS"/>
    <s v="7711301808"/>
    <s v="MARIA LUISA MARTINEZ"/>
    <s v="7121402932"/>
    <m/>
    <m/>
    <m/>
    <m/>
    <m/>
    <m/>
    <n v="23985.22"/>
    <n v="0"/>
    <n v="1"/>
    <s v="Individual sin Garantía"/>
    <s v="MANTO DEL RIO #SN"/>
    <s v="Manto del Río"/>
    <s v="México"/>
    <s v="Atlacomulco"/>
    <s v="19°50'11.1&quot;N 99°55'27.7&quot;W"/>
    <s v="Ver en mapa"/>
    <m/>
    <m/>
    <n v="4"/>
    <n v="2"/>
    <s v="Transferencia electrónica"/>
    <s v="100146001"/>
    <n v="13191.3"/>
    <n v="23985.22"/>
    <n v="0.17714747465314051"/>
  </r>
  <r>
    <s v="001609"/>
    <s v="Región Estado México"/>
    <x v="4"/>
    <s v="000047"/>
    <s v="Juarez Matias Alejandro"/>
    <x v="1"/>
    <x v="1"/>
    <s v="01"/>
    <s v="VELASCO JOSE ANTONIO"/>
    <d v="2025-08-04T00:00:00"/>
    <d v="2026-08-04T00:00:00"/>
    <n v="20000"/>
    <n v="21068.16"/>
    <n v="29"/>
    <x v="3"/>
    <n v="12"/>
    <s v="Mensual"/>
    <n v="3347.38"/>
    <n v="696"/>
    <n v="580"/>
    <n v="0"/>
    <n v="1"/>
    <n v="15801.12"/>
    <n v="3926.5341013333332"/>
    <n v="1755.68"/>
    <n v="1533.7"/>
    <n v="57.15"/>
    <n v="580"/>
    <n v="3928"/>
    <d v="2025-11-21T00:00:00"/>
    <s v="Entregado"/>
    <n v="7226431992"/>
    <s v="antoniovelasco56@icloud.com"/>
    <m/>
    <s v="FABRICACION DE ROPA CON PIEL"/>
    <n v="2419069"/>
    <s v="VELASCO BECERRIL HORTENCIA"/>
    <m/>
    <s v="ALEJANDRO VELASCO VELASCO"/>
    <s v="7121328986"/>
    <s v="NOE VELASCO VELASCO"/>
    <s v="5539078632"/>
    <s v="NAIDELIN VELASCO VELASCO"/>
    <s v="7204332006"/>
    <m/>
    <m/>
    <m/>
    <m/>
    <m/>
    <m/>
    <n v="30241.599999999999"/>
    <n v="0"/>
    <n v="1"/>
    <s v="Individual sin Garantía"/>
    <s v="SAN ANTONIO ENCHISI #SN"/>
    <s v="San Antonio Enchisi"/>
    <s v="México"/>
    <s v="Atlacomulco"/>
    <s v="19°44'53.2&quot;N 99°48'26.7&quot;W"/>
    <s v="Ver en mapa"/>
    <m/>
    <m/>
    <n v="4"/>
    <n v="4"/>
    <s v="Transferencia electrónica"/>
    <s v="100160901"/>
    <n v="15801.12"/>
    <n v="30241.599999999999"/>
    <n v="0.129838834629561"/>
  </r>
  <r>
    <s v="001741"/>
    <s v="Región Estado México"/>
    <x v="3"/>
    <s v="000041"/>
    <s v="Martinez Perez Juan Daniel"/>
    <x v="3"/>
    <x v="3"/>
    <s v="01"/>
    <s v="PRADO ROGEL MIREYA"/>
    <d v="2025-08-07T00:00:00"/>
    <d v="2026-08-07T00:00:00"/>
    <n v="10000"/>
    <n v="10534.08"/>
    <n v="25"/>
    <x v="3"/>
    <n v="12"/>
    <s v="Mensual"/>
    <n v="1702.69"/>
    <n v="696"/>
    <n v="580"/>
    <n v="0"/>
    <n v="1"/>
    <n v="8659.49"/>
    <n v="2274.77"/>
    <n v="1636.77"/>
    <n v="0"/>
    <n v="58"/>
    <n v="580"/>
    <n v="2290"/>
    <d v="2025-12-06T00:00:00"/>
    <s v="Entregado"/>
    <n v="7295713281"/>
    <s v="mireyaprado32@gmail.com"/>
    <m/>
    <s v="COMPRAVENTA DE CALZADO"/>
    <n v="6212013"/>
    <s v="ROGEL ESCOBAR NESTOR EDUARDO"/>
    <m/>
    <s v="LESLY PRADO ROGEL"/>
    <s v="7226140293"/>
    <s v="IRIS ALONDRA ROGEL PRADO"/>
    <s v="7228957579"/>
    <s v="BRISEYDA PRADO ROGEL"/>
    <s v="7293067888"/>
    <m/>
    <m/>
    <m/>
    <m/>
    <m/>
    <m/>
    <n v="15432.3"/>
    <n v="0"/>
    <n v="1"/>
    <s v="Individual sin Garantía"/>
    <s v="BENITO JUAREZ #SN"/>
    <s v="San Martin Coapaxtongo cu"/>
    <s v="México"/>
    <s v="Tenancingo"/>
    <s v="18°59'27.7&quot;N 99°34'18.6&quot;W"/>
    <s v="Ver en mapa"/>
    <m/>
    <m/>
    <n v="2"/>
    <n v="2"/>
    <s v="Transferencia electrónica"/>
    <s v="100174101"/>
    <n v="8659.49"/>
    <n v="15432.3"/>
    <n v="0.14740317386261281"/>
  </r>
  <r>
    <s v="001176"/>
    <s v="Región Estado México"/>
    <x v="0"/>
    <s v="000037"/>
    <s v="CREDIFLEXI CREDIFLEXI CREDIFLEXI"/>
    <x v="2"/>
    <x v="2"/>
    <s v="01"/>
    <s v="ARRIAGA ALBARRAN KARINA"/>
    <d v="2025-05-07T00:00:00"/>
    <d v="2026-05-07T00:00:00"/>
    <n v="15000"/>
    <n v="15801.12"/>
    <n v="25"/>
    <x v="3"/>
    <n v="12"/>
    <s v="Mensual"/>
    <n v="2525.04"/>
    <n v="696"/>
    <n v="0"/>
    <n v="0"/>
    <n v="0.2"/>
    <n v="7113.06"/>
    <n v="529.263508"/>
    <n v="529.26"/>
    <n v="0"/>
    <n v="0"/>
    <n v="0"/>
    <n v="2560"/>
    <d v="2025-12-08T00:00:00"/>
    <s v="Entregado"/>
    <n v="7294965466"/>
    <s v="albarranarriaga.1989@gmail.com"/>
    <m/>
    <s v="COMPRAVENTA DE PAPELERIA Y ARTICULOS DE ESCRITORIO"/>
    <n v="6233019"/>
    <m/>
    <m/>
    <s v="ANDREA NOHEMI ALANIS REYES"/>
    <s v="7222466368"/>
    <s v="ERIKA MACARIO ESTRADA"/>
    <s v="7221005084"/>
    <s v="ESMERALDA VALENTINA GALLEGOS"/>
    <s v="72261163203"/>
    <m/>
    <m/>
    <m/>
    <m/>
    <m/>
    <m/>
    <n v="12864.45"/>
    <n v="0"/>
    <n v="1"/>
    <s v="Individual sin Garantía"/>
    <s v="EL ARCO #SN"/>
    <s v="El Arco"/>
    <s v="México"/>
    <s v="Valle De Bravo"/>
    <m/>
    <s v="Ver en mapa"/>
    <m/>
    <m/>
    <n v="7"/>
    <n v="7"/>
    <s v="Transferencia electrónica"/>
    <s v="100117601"/>
    <n v="7113.06"/>
    <n v="12864.45"/>
    <n v="4.1141557392659622E-2"/>
  </r>
  <r>
    <s v="001242"/>
    <s v="Región Estado México"/>
    <x v="0"/>
    <s v="000037"/>
    <s v="CREDIFLEXI CREDIFLEXI CREDIFLEXI"/>
    <x v="2"/>
    <x v="2"/>
    <s v="01"/>
    <s v="CAMBRON MEJIA ROCIO"/>
    <d v="2025-04-09T00:00:00"/>
    <d v="2026-04-09T00:00:00"/>
    <n v="30000"/>
    <n v="31602.23"/>
    <n v="24"/>
    <x v="3"/>
    <n v="12"/>
    <s v="Mensual"/>
    <n v="4412.13"/>
    <n v="696"/>
    <n v="633.9"/>
    <n v="0"/>
    <n v="1"/>
    <n v="13167.6"/>
    <n v="4988.0333000000001"/>
    <n v="2633.52"/>
    <n v="1720.61"/>
    <n v="0"/>
    <n v="633.9"/>
    <n v="5344"/>
    <d v="2025-12-10T00:00:00"/>
    <s v="Entregado"/>
    <n v="7224003355"/>
    <s v="cambronmejia@gmail.com"/>
    <m/>
    <s v="EMPLEADO DEL SECTOR PUBLICO"/>
    <n v="9800000"/>
    <s v="MORA BARRERA JESUS"/>
    <s v="7224003355.0"/>
    <s v="FRANCISCO JAVIER OLIVARES OSOR"/>
    <s v="7222679031"/>
    <s v="ALEJANDRA ESQUIVEL"/>
    <s v="6562856455"/>
    <s v="SANDY ARELLANO"/>
    <s v="7226939337"/>
    <s v="Garantía Prendaria"/>
    <s v="FACTURA EXPEDIDA POR COMPACTOS ORIENTALES, S.A DE C.V._x000d__x000a_UNIDAD USADA MARCA NISSAN SENTRA 4 PTAS. GST TIPICO STD: Color ext ROJO/PERLADO.. inr. GRIS /: Modelo 1996, , Valor 12,980.00, Nombre SENTRA 4 PTAS GST TIPICO STD: Color ext. ROJO/ PERLADO int. GRIS , Folio Factura 19565, Fecha Factura 31/10/2001, Número de serie 006797, Número de motor GA16712689S, Modelo 1996, Marca NISSAN, Propietario CAMBRON MEJIA ROCIO"/>
    <s v="SENTRA 4 PTAS GST TIPICO STD: Color ext. ROJO/ PERLADO int. GRIS"/>
    <m/>
    <m/>
    <m/>
    <n v="22404.55"/>
    <n v="0"/>
    <n v="1"/>
    <s v="Individual sin Garantía"/>
    <s v="LOS LAURELES #320-SN"/>
    <s v="Colorines"/>
    <s v="México"/>
    <s v="Valle De Bravo"/>
    <m/>
    <s v="Ver en mapa"/>
    <m/>
    <m/>
    <n v="4"/>
    <n v="4"/>
    <s v="Transferencia electrónica"/>
    <s v="100124201"/>
    <n v="13167.6"/>
    <n v="22404.55"/>
    <n v="0.2226348353347869"/>
  </r>
  <r>
    <s v="001079"/>
    <s v="Región Estado México"/>
    <x v="2"/>
    <s v="000037"/>
    <s v="CREDIFLEXI CREDIFLEXI CREDIFLEXI"/>
    <x v="5"/>
    <x v="5"/>
    <s v="02"/>
    <s v="ZEPEDA SANABRIA CECILIA"/>
    <d v="2025-07-10T00:00:00"/>
    <d v="2026-07-10T00:00:00"/>
    <n v="42000"/>
    <n v="44243.13"/>
    <n v="23"/>
    <x v="3"/>
    <n v="12"/>
    <s v="Mensual"/>
    <n v="6153.78"/>
    <n v="696"/>
    <n v="580"/>
    <n v="0"/>
    <n v="1"/>
    <n v="29495.42"/>
    <n v="6732.9079106250001"/>
    <n v="3686.93"/>
    <n v="2408.85"/>
    <n v="57.13"/>
    <n v="580"/>
    <n v="6734"/>
    <d v="2025-11-12T00:00:00"/>
    <s v="Entregado"/>
    <n v="4471294396"/>
    <s v="ceciliazepeda121@hotmail.com"/>
    <m/>
    <s v="COMPRAVENTA DE ROPA"/>
    <n v="6211023"/>
    <s v="ESPINOZA LOPEZ JAIME"/>
    <m/>
    <s v="ANA CECILIA ESPINOZA ZEPEDA"/>
    <s v="4471114441"/>
    <s v="CRISTIAN MANUEL ESPINOZA LAGUNA"/>
    <s v="4431297759"/>
    <s v="MANUEL ZEPEDA SANABRIA"/>
    <s v="4471295661"/>
    <s v="Garantía Prendaria"/>
    <s v="FACTURA EXPEDIDA POR DISTRIBUCION DE COMERCIO EXTERIOR ASIA MEXICO, S.A. DE C.V., , Valor 79,370.00, Nombre VEHICULO DAKOTA , Folio Factura 5898B, Fecha Factura 27/12/2010, Número de serie 1B7GL22X51S295291, Número de motor SIN NUMERO, Modelo 2001, Marca DODGE, Propietario ZEPEDA SANABRIA CECILIA, Valor 79,370.00, Nombre VEHICULO DAKOTA, Folio Factura 5898B, Fecha Factura 27/12/2010, Número de serie 1B7GL22X51S295291, Número de motor SIN NUMERO, Modelo 2001, Marca DODGE, Propietario ZEPEDA SANABRIA CECILIA"/>
    <s v="VEHICULO DAKOTA"/>
    <m/>
    <m/>
    <m/>
    <n v="49403.38"/>
    <n v="0"/>
    <n v="2"/>
    <s v="Individual con Garantía Vehicular"/>
    <s v="NAZARETH #75-SN"/>
    <s v="San Nicolás"/>
    <s v="Michoacán"/>
    <s v="Maravatio"/>
    <s v="19°53'53.5&quot;N 100°26'20.2&quot;W"/>
    <s v="Ver en mapa"/>
    <m/>
    <m/>
    <n v="3"/>
    <n v="2"/>
    <s v="Transferencia electrónica"/>
    <s v="100107902"/>
    <n v="29495.42"/>
    <n v="49403.38"/>
    <n v="0.13628435768210589"/>
  </r>
  <r>
    <s v="002369"/>
    <s v="Región Estado México"/>
    <x v="1"/>
    <s v="000037"/>
    <s v="CREDIFLEXI CREDIFLEXI CREDIFLEXI"/>
    <x v="4"/>
    <x v="4"/>
    <s v="01"/>
    <s v="JIMENEZ GARCIA ANGELICA MARIBEL"/>
    <d v="2025-08-26T00:00:00"/>
    <d v="2026-02-28T00:00:00"/>
    <n v="10000"/>
    <n v="10000"/>
    <n v="18"/>
    <x v="3"/>
    <n v="12"/>
    <s v="Quincenal"/>
    <n v="986.61"/>
    <n v="372"/>
    <n v="0"/>
    <n v="0"/>
    <n v="2"/>
    <n v="5337.82"/>
    <n v="1973.23"/>
    <n v="1706.42"/>
    <n v="204.81"/>
    <n v="62"/>
    <n v="0"/>
    <n v="986.61"/>
    <d v="2025-12-15T00:00:00"/>
    <s v="Entregado"/>
    <n v="7224310823"/>
    <s v="amjg2013@gmail.com"/>
    <m/>
    <s v="EMPLEADO DEL SECTOR PRIVADO"/>
    <n v="9501009"/>
    <s v="GARCIA MONTES FRANCISCO XAVIER"/>
    <m/>
    <m/>
    <m/>
    <m/>
    <m/>
    <m/>
    <m/>
    <m/>
    <m/>
    <m/>
    <m/>
    <m/>
    <m/>
    <n v="5604.63"/>
    <n v="0"/>
    <n v="1"/>
    <s v="Individual Especial Semanal"/>
    <s v="CTO HDA EL NARDO #MZ43-LT2B"/>
    <s v="Rinconada del Valle"/>
    <s v="México"/>
    <s v="Temoaya"/>
    <m/>
    <s v="Ver en mapa"/>
    <m/>
    <m/>
    <n v="4"/>
    <n v="4"/>
    <s v="Transferencia electrónica"/>
    <s v="100236901"/>
    <n v="5337.82"/>
    <n v="5604.63"/>
    <n v="0.35207141238583101"/>
  </r>
  <r>
    <s v="001393"/>
    <s v="Región Estado México"/>
    <x v="3"/>
    <s v="000042"/>
    <s v="Avila Nieto Luis Alfredo"/>
    <x v="5"/>
    <x v="5"/>
    <s v="01"/>
    <s v="SANCHEZ RODRIGUEZ BELEN"/>
    <d v="2025-06-12T00:00:00"/>
    <d v="2025-12-12T00:00:00"/>
    <n v="10000"/>
    <n v="10534.08"/>
    <n v="18"/>
    <x v="3"/>
    <n v="6"/>
    <s v="Mensual"/>
    <n v="2582.63"/>
    <n v="348"/>
    <n v="580"/>
    <n v="0"/>
    <n v="1"/>
    <n v="1755.68"/>
    <n v="3162.17"/>
    <n v="1755.68"/>
    <n v="768.96"/>
    <n v="57.53"/>
    <n v="580"/>
    <n v="3163"/>
    <d v="2025-11-13T00:00:00"/>
    <s v="Entregado"/>
    <n v="7224257357"/>
    <s v="belsanrod3081@gmail.com"/>
    <m/>
    <s v="FABRICACION DE CERRADURAS"/>
    <n v="3515022"/>
    <s v="GONZALEZ GOMEZ VIANEY"/>
    <m/>
    <s v="JOSE DE JESUS GONZALEZ SANCHEZ"/>
    <s v="7228435817"/>
    <s v="HUMBERTO EMMANUEL SANCHEZ RODRIGUEZ"/>
    <s v="7223740919"/>
    <s v="JUAN ALBERTO ARIZMENDI VAZQUEZ"/>
    <s v="7218890607"/>
    <m/>
    <m/>
    <m/>
    <m/>
    <m/>
    <m/>
    <n v="3162.17"/>
    <n v="0"/>
    <n v="1"/>
    <s v="Individual sin Garantía"/>
    <s v="ZARAGOZA #32-SN"/>
    <s v="Ixtapan de la Sal"/>
    <s v="México"/>
    <s v="Ixtapan De La Sal"/>
    <s v="18°50'30.4&quot;N 99°40'38.7&quot;W"/>
    <s v="Ver en mapa"/>
    <m/>
    <m/>
    <n v="5"/>
    <n v="5"/>
    <s v="Transferencia electrónica"/>
    <s v="100139301"/>
    <n v="1755.68"/>
    <n v="3162.17"/>
    <n v="1"/>
  </r>
  <r>
    <s v="003040"/>
    <s v="Región Estado México"/>
    <x v="1"/>
    <s v="000037"/>
    <s v="CREDIFLEXI CREDIFLEXI CREDIFLEXI"/>
    <x v="5"/>
    <x v="5"/>
    <s v="01"/>
    <s v="LEONARDO CASTAÑON MAXIMILIANO"/>
    <d v="2025-10-16T00:00:00"/>
    <d v="2025-12-16T00:00:00"/>
    <n v="127522.5"/>
    <n v="127522.5"/>
    <n v="17"/>
    <x v="3"/>
    <n v="2"/>
    <s v="Mensual"/>
    <n v="6561.13"/>
    <n v="370"/>
    <n v="0"/>
    <n v="0"/>
    <n v="0.9"/>
    <n v="126360.76"/>
    <n v="126360.76"/>
    <n v="126360.76"/>
    <n v="0"/>
    <n v="0"/>
    <n v="0"/>
    <n v="7142"/>
    <d v="2025-12-18T00:00:00"/>
    <s v="Entregado"/>
    <n v="5522711874"/>
    <s v="max101959@hotmail.com"/>
    <m/>
    <s v="SERVICIOS MEDICO GENERAL Y ESPECIALIZADO EN CONSULTORIOS"/>
    <n v="9212010"/>
    <m/>
    <m/>
    <m/>
    <m/>
    <m/>
    <m/>
    <m/>
    <m/>
    <m/>
    <m/>
    <m/>
    <m/>
    <m/>
    <m/>
    <n v="126360.76"/>
    <n v="0"/>
    <n v="2"/>
    <s v="Individual Especial Revolvente"/>
    <s v="AV LAS FUENTES #648-SN"/>
    <s v="Jardines del Pedregal"/>
    <s v="Ciudad de México"/>
    <s v="Alvaro Obregon"/>
    <m/>
    <s v="Ver en mapa"/>
    <m/>
    <m/>
    <n v="2"/>
    <n v="2"/>
    <s v="Transferencia electrónica"/>
    <m/>
    <n v="126360.76"/>
    <n v="126360.76"/>
    <n v="1"/>
  </r>
  <r>
    <s v="001415"/>
    <s v="Región Estado México"/>
    <x v="0"/>
    <s v="000029"/>
    <s v="Colin Garduño Estefani"/>
    <x v="2"/>
    <x v="2"/>
    <s v="01"/>
    <s v="LOZA REYES SAIRA"/>
    <d v="2025-06-19T00:00:00"/>
    <d v="2026-05-21T00:00:00"/>
    <n v="30000"/>
    <n v="31602.23"/>
    <n v="15"/>
    <x v="4"/>
    <n v="48"/>
    <s v="Semanal"/>
    <n v="1245.82"/>
    <n v="2784"/>
    <n v="580"/>
    <n v="28"/>
    <n v="2.9"/>
    <n v="15142.74"/>
    <n v="4112.0342000000001"/>
    <n v="1975.14"/>
    <n v="1498.89"/>
    <n v="58"/>
    <n v="580"/>
    <n v="1246"/>
    <d v="2025-12-25T00:00:00"/>
    <s v="Entregado"/>
    <n v="7292421666"/>
    <s v="7292421666"/>
    <m/>
    <s v="AUTOTRANSPORTE DE CARGA DE PRODUCTOS ESPECIFICOS"/>
    <n v="7123011"/>
    <m/>
    <m/>
    <s v="ARTURO ALEJANDRO FLORES LOZA"/>
    <s v="7225667692"/>
    <s v="MAYTE LOZA REYES"/>
    <s v="7222331351"/>
    <s v="ITZEL DE JESUS ESTANISLAO"/>
    <s v="7291219239"/>
    <m/>
    <m/>
    <m/>
    <m/>
    <m/>
    <m/>
    <n v="27868.48"/>
    <n v="0"/>
    <n v="1"/>
    <s v="Individual sin Garantía"/>
    <s v="CDA MELCHOR OCAMPO  #SN -SN"/>
    <s v="Valle de Bravo"/>
    <s v="México"/>
    <s v="Valle De Bravo"/>
    <s v="19°11'34.7&quot;N 100°08'08.5&quot;W"/>
    <s v="Ver en mapa"/>
    <m/>
    <m/>
    <n v="7"/>
    <n v="7"/>
    <s v="Transferencia electrónica"/>
    <s v="100141501"/>
    <n v="15142.74"/>
    <n v="27868.48"/>
    <n v="0.14755143445211219"/>
  </r>
  <r>
    <s v="001298"/>
    <s v="Región Estado México"/>
    <x v="3"/>
    <s v="000082"/>
    <s v="ENRIQUEZ VILCHIS MARIA ALEJANDRA"/>
    <x v="5"/>
    <x v="5"/>
    <s v="02"/>
    <s v="MORENO ALVARO MIRNO"/>
    <d v="2025-11-19T00:00:00"/>
    <d v="2026-05-19T00:00:00"/>
    <n v="10000"/>
    <n v="10534.08"/>
    <n v="14"/>
    <x v="4"/>
    <n v="6"/>
    <s v="Mensual"/>
    <n v="2574.23"/>
    <n v="348"/>
    <n v="580"/>
    <n v="0"/>
    <n v="1"/>
    <n v="10534.08"/>
    <n v="3154.23"/>
    <n v="1755.68"/>
    <n v="760.55000000000007"/>
    <n v="58"/>
    <n v="580"/>
    <m/>
    <m/>
    <s v="Entregado"/>
    <n v="5660044424"/>
    <s v="mirnomorenoalvaro8@gmail.com"/>
    <m/>
    <s v="TIENDA DE ABARROTES Y MISCELANEA"/>
    <n v="6131023"/>
    <s v="ESCOBAR MILLAN ROSA ISELA"/>
    <m/>
    <s v="ELIZABETH ESCOBAR MILLAN"/>
    <s v="7203834647"/>
    <s v="MARITZA ANTONIA CASTRO ESCOBAR"/>
    <s v="7218890995"/>
    <s v="SOFIA SAAVEDRA"/>
    <s v="7298085625"/>
    <m/>
    <m/>
    <m/>
    <m/>
    <m/>
    <m/>
    <n v="15735.37"/>
    <n v="0"/>
    <n v="1"/>
    <s v="Individual sin Garantía"/>
    <s v="CJON MORELOS #SN"/>
    <s v="San Martin Coapaxtongo cu"/>
    <s v="México"/>
    <s v="Tenancingo"/>
    <s v="18°59'27.1&quot;N 99°34'10.2&quot;W"/>
    <s v="Ver en mapa"/>
    <m/>
    <m/>
    <n v="1"/>
    <n v="1"/>
    <s v="Transferencia electrónica"/>
    <s v="100129802"/>
    <n v="10534.08"/>
    <n v="15735.37"/>
    <n v="0.20045477163867129"/>
  </r>
  <r>
    <s v="001071"/>
    <s v="Región Estado México"/>
    <x v="2"/>
    <s v="000033"/>
    <s v="Garcia Ezquivel Jordi Nazaret"/>
    <x v="1"/>
    <x v="1"/>
    <s v="02"/>
    <s v="MARTINEZ BAUTISTA ANA CECILIA"/>
    <d v="2025-03-21T00:00:00"/>
    <d v="2026-03-21T00:00:00"/>
    <n v="64000.01"/>
    <n v="67418.100000000006"/>
    <n v="11"/>
    <x v="4"/>
    <n v="12"/>
    <s v="Mensual"/>
    <n v="9346.81"/>
    <n v="696"/>
    <n v="580"/>
    <n v="0"/>
    <n v="1"/>
    <n v="22472.7"/>
    <n v="9926.2867262500004"/>
    <n v="5618.18"/>
    <n v="3670.63"/>
    <n v="57.48"/>
    <n v="580"/>
    <n v="9347"/>
    <d v="2025-11-21T00:00:00"/>
    <s v="Entregado"/>
    <n v="4471537025"/>
    <s v="anaceciliamartinezbautista@gmail.com"/>
    <m/>
    <s v="SERVICIOS DE CONSULTORIOS Y CLINICAS DENTALES"/>
    <n v="9213018"/>
    <s v="ZARATE ESPINAL EDER"/>
    <m/>
    <s v="GUADALUPE GALAN SANCHEZ"/>
    <s v="4471192049"/>
    <s v="ANARIKA LEON"/>
    <s v="4471124249"/>
    <s v="ARACELI ALVARADO"/>
    <s v="4431001220"/>
    <s v="Garantía Prendaria"/>
    <s v="REFACTURA EXPEDIDA POR CORPORACION METROPOLITANA DE ARRENDAMIENTOS, S.A. DE C.V., , Valor 97,096.00, Nombre AUTOMOVIL JETTA CLASICO CL AA, Folio Factura FAI2074, Fecha Factura 11/04/2014, Número de serie 3VW1V09M4BM051719, Número de motor CBP232182, Modelo 2011, Marca VOLKSWAGEN, Propietario MARTINEZ BAUTISTA ANA CECILIA"/>
    <s v="AUTOMOVIL JETTA CLASICO CL AA"/>
    <m/>
    <m/>
    <m/>
    <n v="37792.720000000001"/>
    <n v="0"/>
    <n v="1"/>
    <s v="Individual sin Garantía"/>
    <s v="L VICARIO #236A-SN"/>
    <s v="Maravatio"/>
    <s v="Michoacán"/>
    <s v="Maravatio"/>
    <m/>
    <s v="Ver en mapa"/>
    <m/>
    <m/>
    <n v="7"/>
    <n v="4"/>
    <s v="Transferencia electrónica"/>
    <s v="100107102"/>
    <n v="22472.7"/>
    <n v="37792.720000000001"/>
    <n v="0.2626507625344246"/>
  </r>
  <r>
    <s v="001426"/>
    <s v="Región Estado México"/>
    <x v="1"/>
    <s v="000043"/>
    <s v="Cedillo Gonzalez Hugo"/>
    <x v="6"/>
    <x v="6"/>
    <s v="01"/>
    <s v="MORENO BERNAL MA DE LA LUZ"/>
    <d v="2025-06-20T00:00:00"/>
    <d v="2025-12-20T00:00:00"/>
    <n v="10000"/>
    <n v="10534.08"/>
    <n v="11"/>
    <x v="4"/>
    <n v="6"/>
    <s v="Mensual"/>
    <n v="2582.63"/>
    <n v="348"/>
    <n v="638.01"/>
    <n v="0"/>
    <n v="1"/>
    <n v="1755.68"/>
    <n v="3162.64"/>
    <n v="1755.68"/>
    <n v="768.95"/>
    <n v="0"/>
    <n v="638.01"/>
    <n v="3162.63"/>
    <d v="2025-12-20T00:00:00"/>
    <s v="Entregado"/>
    <n v="7228340210"/>
    <s v="mmoreno6320@gmail.com"/>
    <m/>
    <s v="TIENDA DE ABARROTES Y MISCELANEA"/>
    <n v="6131023"/>
    <s v="LIUNA BECERRIL GUSTAVO"/>
    <m/>
    <s v="SARAHI ALONSO"/>
    <s v="7225621873"/>
    <s v="SALVADOR VACA"/>
    <s v="7224678033"/>
    <s v="LUCERO PAREDES MONTES"/>
    <s v="7224407681"/>
    <m/>
    <m/>
    <m/>
    <m/>
    <m/>
    <m/>
    <n v="3162.64"/>
    <n v="0"/>
    <n v="1"/>
    <s v="Individual sin Garantía"/>
    <s v="AV MIGUEL J CLOUTHIER #256-SN"/>
    <s v="Izcalli Cuauhtémoc I"/>
    <s v="México"/>
    <s v="Metepec"/>
    <s v="19°16'24.1&quot;N 99°35'37.1&quot;W"/>
    <s v="Ver en mapa"/>
    <m/>
    <m/>
    <n v="5"/>
    <n v="5"/>
    <s v="Transferencia electrónica"/>
    <s v="100142601"/>
    <n v="1755.68"/>
    <n v="3162.64"/>
    <n v="1"/>
  </r>
  <r>
    <s v="001427"/>
    <s v="Región Estado México"/>
    <x v="4"/>
    <s v="000048"/>
    <s v="Arzate Lopez Miguel Angel"/>
    <x v="1"/>
    <x v="1"/>
    <s v="01"/>
    <s v="PICHARDO GONZALEZ ALEJANDRO"/>
    <d v="2025-06-20T00:00:00"/>
    <d v="2026-06-20T00:00:00"/>
    <n v="20000"/>
    <n v="21068.16"/>
    <n v="11"/>
    <x v="4"/>
    <n v="12"/>
    <s v="Mensual"/>
    <n v="3347.38"/>
    <n v="696"/>
    <n v="580"/>
    <n v="0"/>
    <n v="1"/>
    <n v="12289.76"/>
    <n v="3759.301152"/>
    <n v="1755.68"/>
    <n v="1423.62"/>
    <n v="0"/>
    <n v="580"/>
    <n v="2000"/>
    <d v="2025-12-26T00:00:00"/>
    <s v="Entregado"/>
    <n v="7121856272"/>
    <s v="alevpichagonza@gmail.com"/>
    <m/>
    <s v="COMPRAVENTA DE OTRAS JOYAS"/>
    <n v="6225024"/>
    <s v="VILCHIS DE JESUS IRENE"/>
    <s v="7121856272.0"/>
    <s v="ELIZABETH ARELI VILCHIS DE JESUS"/>
    <s v="7227155850"/>
    <s v="MARGARITA REMIGIO SANCHEZ"/>
    <s v="7122754843"/>
    <s v="JUANA PIÑA VENTURA"/>
    <s v="7226957364"/>
    <m/>
    <m/>
    <m/>
    <m/>
    <m/>
    <m/>
    <n v="23495.599999999999"/>
    <n v="0"/>
    <n v="1"/>
    <s v="Individual sin Garantía"/>
    <s v="SANTA ANA LA LADERA  #SN"/>
    <s v="Santa Ana la Ladera cu"/>
    <s v="México"/>
    <s v="Ixtlahuaca"/>
    <s v="19°33'57.8&quot;N 99°45'57.6&quot;W"/>
    <s v="Ver en mapa"/>
    <m/>
    <m/>
    <n v="6"/>
    <n v="6"/>
    <s v="Transferencia electrónica"/>
    <s v="100142701"/>
    <n v="12289.76"/>
    <n v="23495.599999999999"/>
    <n v="0.1600002192750983"/>
  </r>
  <r>
    <s v="001315"/>
    <s v="Región Estado México"/>
    <x v="3"/>
    <s v="000057"/>
    <s v="Camacho Frias Oscar Antonio"/>
    <x v="3"/>
    <x v="3"/>
    <s v="02"/>
    <s v="BRAVO GARCIA DULA"/>
    <d v="2025-11-10T00:00:00"/>
    <d v="2026-04-27T00:00:00"/>
    <n v="12000"/>
    <n v="12640.89"/>
    <n v="11"/>
    <x v="4"/>
    <n v="24"/>
    <s v="Semanal"/>
    <n v="796.48"/>
    <n v="1392"/>
    <n v="580"/>
    <n v="7"/>
    <n v="1.5"/>
    <n v="9840.5500000000011"/>
    <n v="1736.3662999999999"/>
    <n v="886.59"/>
    <n v="211.78"/>
    <n v="58"/>
    <n v="580"/>
    <n v="797"/>
    <d v="2025-12-29T00:00:00"/>
    <s v="Entregado"/>
    <n v="7221835589"/>
    <s v="garcialolis28@yahoo.com"/>
    <m/>
    <s v="COMPRAVENTA DE LEGUMBRES Y HORTALIZAS"/>
    <n v="6112023"/>
    <m/>
    <m/>
    <s v="BARBARA GONZALEZ FLORES"/>
    <s v="7225111421"/>
    <s v="MARTHA JULIA GARCIA"/>
    <s v="6642864687"/>
    <s v="LUIS ANTONIO ALBARRAN"/>
    <s v="7223438870"/>
    <m/>
    <m/>
    <m/>
    <m/>
    <m/>
    <m/>
    <n v="14290.54"/>
    <n v="0"/>
    <n v="1"/>
    <s v="Individual sin Garantía"/>
    <s v="CARR PRINCIPAL #SN"/>
    <s v="La Finca"/>
    <s v="México"/>
    <s v="Villa Guerrero"/>
    <s v="18°53'42.6&quot;N 99°38'30.2&quot;W"/>
    <s v="Ver en mapa"/>
    <m/>
    <m/>
    <n v="6"/>
    <n v="6"/>
    <s v="Transferencia electrónica"/>
    <s v="100131502"/>
    <n v="9840.5500000000011"/>
    <n v="14290.54"/>
    <n v="0.12150459674721879"/>
  </r>
  <r>
    <s v="001164"/>
    <s v="Región Estado México"/>
    <x v="0"/>
    <s v="000029"/>
    <s v="Colin Garduño Estefani"/>
    <x v="2"/>
    <x v="2"/>
    <s v="01"/>
    <s v="LOZA FLORES VICTORIANO"/>
    <d v="2025-01-21T00:00:00"/>
    <d v="2026-01-21T00:00:00"/>
    <n v="20000"/>
    <n v="21068.16"/>
    <n v="11"/>
    <x v="4"/>
    <n v="12"/>
    <s v="Mensual"/>
    <n v="3015.02"/>
    <n v="696"/>
    <n v="580"/>
    <n v="0"/>
    <n v="0.2"/>
    <n v="3284.73"/>
    <n v="1154.3399999999999"/>
    <n v="574.34"/>
    <n v="0"/>
    <n v="0"/>
    <n v="580"/>
    <n v="3020"/>
    <d v="2025-12-22T00:00:00"/>
    <s v="Entregado"/>
    <n v="7228517224"/>
    <s v="construcioneljao06@gmail.com"/>
    <m/>
    <s v="FABRICACION DE MARCOS Y MOLDURAS DE MADERA"/>
    <n v="2719013"/>
    <s v="MARIN VAZQUEZ MARIA GUADALUPE"/>
    <s v="7228517224.0"/>
    <s v="ERIKA FABIOLA LOPEZ ESTRADA"/>
    <s v="7226741183"/>
    <s v="VICTOR ESQUIVEL CASIANO"/>
    <s v="7226876652"/>
    <s v="RICHARD ESTRADA"/>
    <s v="7224267413"/>
    <s v="Garantía Prendaria"/>
    <s v="TITULO EXPEDIDO POR STATE OF NORTH CAROLINA, Valor 25,586.00, Nombre JEEP SW, Folio Factura 779711040890053, Fecha Factura 07/04/2004, Número de serie 1J4FT68S4PL613798, Número de motor SIN NUMERO, Modelo 1993, Marca JEEP, Propietario LOZA FLORES VICTORIANO"/>
    <s v="JEEP SW"/>
    <m/>
    <m/>
    <m/>
    <n v="3864.73"/>
    <n v="0"/>
    <n v="4"/>
    <s v="Individual mensual con garantia nivel I Tprem"/>
    <s v="CDA PRIMAVERA #SN"/>
    <s v="Valle de Bravo"/>
    <s v="México"/>
    <s v="Valle De Bravo"/>
    <m/>
    <s v="Ver en mapa"/>
    <m/>
    <m/>
    <n v="7"/>
    <n v="7"/>
    <s v="Transferencia electrónica"/>
    <s v="100116401"/>
    <n v="3284.73"/>
    <n v="3864.73"/>
    <n v="0.29868580728796063"/>
  </r>
  <r>
    <s v="001330"/>
    <s v="Región Estado México"/>
    <x v="0"/>
    <s v="000040"/>
    <s v="Olayo Gaytan Luis Enrique"/>
    <x v="2"/>
    <x v="2"/>
    <s v="01"/>
    <s v="REYES VIDAL LIDIA"/>
    <d v="2025-05-21T00:00:00"/>
    <d v="2026-05-21T00:00:00"/>
    <n v="10000"/>
    <n v="10534.08"/>
    <n v="11"/>
    <x v="4"/>
    <n v="12"/>
    <s v="Mensual"/>
    <n v="1702.69"/>
    <n v="696"/>
    <n v="580"/>
    <n v="0"/>
    <n v="0.3"/>
    <n v="4956.96"/>
    <n v="1147.762338666666"/>
    <n v="567.76"/>
    <n v="0"/>
    <n v="0"/>
    <n v="580"/>
    <n v="1703"/>
    <d v="2025-12-23T00:00:00"/>
    <s v="Entregado"/>
    <n v="7261634363"/>
    <s v="lidiareyesvidal.10@gmail.com"/>
    <m/>
    <s v="CULTIVO DE FLORES Y PLANTAS DE ORNATO"/>
    <n v="131011"/>
    <m/>
    <m/>
    <s v="HUGO  LUIS PEREZ NEPAMUCENO"/>
    <s v="7261697101"/>
    <s v="MIRIAM SILVERIO CORTES"/>
    <s v="7224231206"/>
    <s v="BERENICE ANTONIO LOPEZ"/>
    <s v="7224560938"/>
    <m/>
    <m/>
    <m/>
    <m/>
    <m/>
    <m/>
    <n v="9371.2199999999993"/>
    <n v="0"/>
    <n v="1"/>
    <s v="Individual sin Garantía"/>
    <s v="SAN BARTOLO AMANALCO 2DA SECC #SN"/>
    <s v="San Bartolo"/>
    <s v="México"/>
    <s v="Amanalco"/>
    <m/>
    <s v="Ver en mapa"/>
    <m/>
    <m/>
    <n v="5"/>
    <n v="5"/>
    <s v="Transferencia electrónica"/>
    <s v="100133001"/>
    <n v="4956.96"/>
    <n v="9371.2199999999993"/>
    <n v="0.1224773656649472"/>
  </r>
  <r>
    <s v="001328"/>
    <s v="Región Estado México"/>
    <x v="1"/>
    <s v="000044"/>
    <s v="Gonzalez Irala Jesus"/>
    <x v="5"/>
    <x v="5"/>
    <s v="01"/>
    <s v="JARDON SERRANO RAFAEL"/>
    <d v="2025-05-21T00:00:00"/>
    <d v="2026-05-21T00:00:00"/>
    <n v="15000"/>
    <n v="15801.12"/>
    <n v="11"/>
    <x v="4"/>
    <n v="12"/>
    <s v="Mensual"/>
    <n v="2525.04"/>
    <n v="696"/>
    <n v="580"/>
    <n v="0"/>
    <n v="1"/>
    <n v="7900.56"/>
    <n v="3099.1835080000001"/>
    <n v="1316.76"/>
    <n v="1150.27"/>
    <n v="52.15"/>
    <n v="580"/>
    <n v="3100"/>
    <d v="2025-11-28T00:00:00"/>
    <s v="Entregado"/>
    <n v="7225330152"/>
    <s v="tita@gmail.com"/>
    <m/>
    <s v="EMPLEADO DEL SECTOR PRIVADO"/>
    <n v="9501009"/>
    <m/>
    <m/>
    <s v="SOFIA DEYANIRA"/>
    <s v="7292764800"/>
    <s v="FERNANDA DIAZ"/>
    <s v="7228527255"/>
    <s v="ADRIANA REYES"/>
    <s v="7229260100"/>
    <m/>
    <m/>
    <m/>
    <m/>
    <m/>
    <m/>
    <n v="15434.37"/>
    <n v="0"/>
    <n v="1"/>
    <s v="Individual sin Garantía"/>
    <s v="FRANCISCO MARQUEZ #104-SN"/>
    <s v="Santa María Rayón Centro"/>
    <s v="México"/>
    <s v="Rayon"/>
    <m/>
    <s v="Ver en mapa"/>
    <m/>
    <m/>
    <n v="4"/>
    <n v="2"/>
    <s v="Transferencia electrónica"/>
    <s v="100132801"/>
    <n v="7900.56"/>
    <n v="15434.37"/>
    <n v="0.20079753873983841"/>
  </r>
  <r>
    <s v="001477"/>
    <s v="Región Estado México"/>
    <x v="1"/>
    <s v="000043"/>
    <s v="Cedillo Gonzalez Hugo"/>
    <x v="5"/>
    <x v="5"/>
    <s v="01"/>
    <s v="MEDINA ALMAZAN ANA ANASTACIA"/>
    <d v="2025-07-24T00:00:00"/>
    <d v="2026-01-24T00:00:00"/>
    <n v="10000"/>
    <n v="10534.08"/>
    <n v="9"/>
    <x v="4"/>
    <n v="6"/>
    <s v="Mensual"/>
    <n v="2586.83"/>
    <n v="348"/>
    <n v="580"/>
    <n v="0"/>
    <n v="1"/>
    <n v="3511.36"/>
    <n v="3164.1732693333329"/>
    <n v="1755.68"/>
    <n v="773.15"/>
    <n v="55.34"/>
    <n v="580"/>
    <n v="3150"/>
    <d v="2025-12-04T00:00:00"/>
    <s v="Entregado"/>
    <n v="7225884698"/>
    <s v="gomezmedinafernandojesus@gmail.com"/>
    <m/>
    <s v="RESTAURANTE"/>
    <n v="8711021"/>
    <m/>
    <m/>
    <s v="FERNANDO JESUS GOMEZ"/>
    <s v="7221387590"/>
    <s v="CRISTIAN GOMEZ MEDINA"/>
    <s v="5615565750"/>
    <s v="MICHELGOMEZ MEDINA"/>
    <s v="7226820135"/>
    <m/>
    <m/>
    <m/>
    <m/>
    <m/>
    <m/>
    <n v="5693.01"/>
    <n v="0"/>
    <n v="1"/>
    <s v="Individual sin Garantía"/>
    <s v="MORELOS PONIENTE #150-SN"/>
    <s v="Santiaguito Cuaxustenco"/>
    <s v="México"/>
    <s v="Tenango Del Valle"/>
    <s v="19°07'26.3&quot;N 99°35'19.2&quot;W"/>
    <s v="Ver en mapa"/>
    <m/>
    <m/>
    <n v="5"/>
    <n v="5"/>
    <s v="Transferencia electrónica"/>
    <s v="100147701"/>
    <n v="3511.36"/>
    <n v="5693.01"/>
    <n v="0.55579970337893891"/>
  </r>
  <r>
    <s v="001276"/>
    <s v="Región Estado México"/>
    <x v="1"/>
    <s v="000037"/>
    <s v="CREDIFLEXI CREDIFLEXI CREDIFLEXI"/>
    <x v="6"/>
    <x v="6"/>
    <s v="01"/>
    <s v="LOPEZ JAVIER EDITH"/>
    <d v="2025-04-28T00:00:00"/>
    <d v="2026-04-28T00:00:00"/>
    <n v="20000"/>
    <n v="21068.16"/>
    <n v="4"/>
    <x v="5"/>
    <n v="12"/>
    <s v="Mensual"/>
    <n v="3347.38"/>
    <n v="696"/>
    <n v="580"/>
    <n v="0"/>
    <n v="1"/>
    <n v="8778.4"/>
    <n v="3927.07"/>
    <n v="1755.68"/>
    <n v="1533.71"/>
    <n v="57.68"/>
    <n v="580"/>
    <n v="3926"/>
    <d v="2025-12-09T00:00:00"/>
    <s v="Entregado"/>
    <n v="7223944200"/>
    <s v="edithmelanie23@gmail.com"/>
    <m/>
    <s v="COMPRAVENTA DE ARTICULOS PARA REGALO"/>
    <n v="6325030"/>
    <m/>
    <m/>
    <s v="AIDE ROMERO"/>
    <s v="7291348252"/>
    <s v="ANGELES MIRANDA"/>
    <s v="7228340426"/>
    <s v="MARIA GUADALUPE ALVAREZ"/>
    <s v="7225619622"/>
    <m/>
    <m/>
    <m/>
    <m/>
    <m/>
    <m/>
    <n v="17084.599999999999"/>
    <n v="0"/>
    <n v="1"/>
    <s v="Individual sin Garantía"/>
    <s v="CENTENARIO #120-SN"/>
    <s v="San Marcos Yachihuacaltepec"/>
    <s v="México"/>
    <s v="Toluca"/>
    <m/>
    <s v="Ver en mapa"/>
    <m/>
    <m/>
    <n v="7"/>
    <n v="7"/>
    <s v="Transferencia electrónica"/>
    <s v="100127601"/>
    <n v="8778.4"/>
    <n v="17084.599999999999"/>
    <n v="0.22986022499795139"/>
  </r>
  <r>
    <s v="003186"/>
    <s v="Región Estado México"/>
    <x v="3"/>
    <s v="000037"/>
    <s v="CREDIFLEXI CREDIFLEXI CREDIFLEXI"/>
    <x v="3"/>
    <x v="3"/>
    <s v="01"/>
    <s v="CORONA LAGUNAS CONCEPCION"/>
    <d v="2025-10-06T00:00:00"/>
    <d v="2026-03-23T00:00:00"/>
    <n v="5000"/>
    <n v="5267.04"/>
    <n v="4"/>
    <x v="5"/>
    <n v="12"/>
    <s v="Catorcenal"/>
    <n v="673.4"/>
    <n v="696"/>
    <n v="534.20000000000005"/>
    <n v="6"/>
    <n v="1"/>
    <n v="3072.44"/>
    <n v="1149.6099999999999"/>
    <n v="438.92"/>
    <n v="176.49"/>
    <n v="0"/>
    <n v="534.20000000000005"/>
    <n v="673.4"/>
    <d v="2025-12-29T00:00:00"/>
    <s v="Entregado"/>
    <n v="7223344062"/>
    <s v="coronaconcepcion515@gmail.com"/>
    <m/>
    <s v="EMPLEADO PRIVADO"/>
    <n v="8944098"/>
    <s v="ESTRADA GUADARRAMA FRANCISCO"/>
    <m/>
    <s v="ANDRES CORONA LAGUNAS"/>
    <s v="7205750865"/>
    <s v="FRANCISCO GUADARRAMA"/>
    <s v="7228045660"/>
    <s v="MARTIZA CORONA"/>
    <s v="7295938738"/>
    <m/>
    <m/>
    <m/>
    <m/>
    <m/>
    <m/>
    <n v="4842.01"/>
    <n v="0"/>
    <n v="1"/>
    <s v="Individual sin Garantía"/>
    <s v="CAM AL  AHUEHUETE #SN"/>
    <s v="San Juan Tetitlán"/>
    <s v="México"/>
    <s v="Tenancingo"/>
    <s v="18°58'21.0&quot;N 99°34'13.4&quot;W"/>
    <s v="Ver en mapa"/>
    <m/>
    <m/>
    <n v="5"/>
    <n v="5"/>
    <s v="Transferencia electrónica"/>
    <s v="100318601"/>
    <n v="3072.44"/>
    <n v="4842.01"/>
    <n v="0.23742412758337961"/>
  </r>
  <r>
    <s v="001073"/>
    <s v="Región Estado México"/>
    <x v="1"/>
    <s v="000037"/>
    <s v="CREDIFLEXI CREDIFLEXI CREDIFLEXI"/>
    <x v="4"/>
    <x v="4"/>
    <s v="01"/>
    <s v="CAMPOS SANCHEZ VICTOR HUMBERTO"/>
    <d v="2025-08-15T00:00:00"/>
    <d v="2026-02-15T00:00:00"/>
    <n v="7000"/>
    <n v="7000"/>
    <n v="3"/>
    <x v="5"/>
    <n v="12"/>
    <s v="Quincenal"/>
    <n v="733.31000000000006"/>
    <n v="816"/>
    <n v="0"/>
    <n v="0"/>
    <n v="1"/>
    <n v="2528.1799999999998"/>
    <n v="733.31000000000006"/>
    <n v="612.64"/>
    <n v="52.67"/>
    <n v="68"/>
    <n v="0"/>
    <n v="733.31000000000006"/>
    <d v="2025-12-15T00:00:00"/>
    <s v="Entregado"/>
    <n v="2225315368"/>
    <s v="vicam8@hotmail.com"/>
    <n v="2225315368"/>
    <s v="EMPLEADO PRIVADO"/>
    <n v="8944098"/>
    <m/>
    <m/>
    <m/>
    <m/>
    <m/>
    <m/>
    <m/>
    <m/>
    <m/>
    <m/>
    <m/>
    <m/>
    <m/>
    <m/>
    <n v="2648.85"/>
    <n v="0"/>
    <n v="1"/>
    <s v="Individual Especial Semanal"/>
    <s v="6 AND JARD 5 SUR #EDIF 12-C"/>
    <s v="INFONAVIT Loma Bella"/>
    <s v="Puebla"/>
    <s v="Puebla"/>
    <m/>
    <s v="Ver en mapa"/>
    <m/>
    <m/>
    <n v="1"/>
    <n v="1"/>
    <s v="Transferencia electrónica"/>
    <s v="100107301"/>
    <n v="2528.1799999999998"/>
    <n v="2648.85"/>
    <n v="0.27684089321781152"/>
  </r>
  <r>
    <s v="002648"/>
    <s v="Región Estado México"/>
    <x v="1"/>
    <s v="000037"/>
    <s v="CREDIFLEXI CREDIFLEXI CREDIFLEXI"/>
    <x v="4"/>
    <x v="4"/>
    <s v="01"/>
    <s v="VAZQUEZ MEDINA HECTOR MANUEL"/>
    <d v="2025-09-04T00:00:00"/>
    <d v="2026-03-15T00:00:00"/>
    <n v="30000"/>
    <n v="30000"/>
    <n v="3"/>
    <x v="5"/>
    <n v="12"/>
    <s v="Quincenal"/>
    <n v="2935"/>
    <n v="492"/>
    <n v="0"/>
    <n v="0"/>
    <n v="1"/>
    <n v="16165.03"/>
    <n v="2935"/>
    <n v="2557.23"/>
    <n v="336.77"/>
    <n v="41"/>
    <n v="0"/>
    <n v="2935"/>
    <d v="2025-12-15T00:00:00"/>
    <s v="Entregado"/>
    <n v="5579074408"/>
    <s v="hectormanuelvm@outlook.com"/>
    <m/>
    <s v="EMPLEADO PRIVADO"/>
    <n v="8944098"/>
    <m/>
    <m/>
    <m/>
    <m/>
    <m/>
    <m/>
    <m/>
    <m/>
    <m/>
    <m/>
    <m/>
    <m/>
    <m/>
    <m/>
    <n v="16542.8"/>
    <n v="0"/>
    <n v="1"/>
    <s v="Individual Especial Semanal"/>
    <s v="MAPLE #30-6"/>
    <s v="El Manto"/>
    <s v="Ciudad de México"/>
    <s v="Iztapalapa"/>
    <m/>
    <s v="Ver en mapa"/>
    <m/>
    <m/>
    <n v="1"/>
    <n v="1"/>
    <s v="Transferencia electrónica"/>
    <s v="100264801"/>
    <n v="16165.03"/>
    <n v="16542.8"/>
    <n v="0.17741857484827239"/>
  </r>
  <r>
    <s v="001287"/>
    <s v="Región Estado México"/>
    <x v="1"/>
    <s v="000037"/>
    <s v="CREDIFLEXI CREDIFLEXI CREDIFLEXI"/>
    <x v="5"/>
    <x v="5"/>
    <s v="01"/>
    <s v="HERNANDEZ GARDUÑO MARIBEL"/>
    <d v="2025-04-30T00:00:00"/>
    <d v="2026-04-30T00:00:00"/>
    <n v="20000"/>
    <n v="21068.16"/>
    <n v="3"/>
    <x v="5"/>
    <n v="12"/>
    <s v="Mensual"/>
    <n v="3347.38"/>
    <n v="696"/>
    <n v="580"/>
    <n v="0"/>
    <n v="1"/>
    <n v="8778.4"/>
    <n v="3910.07"/>
    <n v="1755.68"/>
    <n v="1533.71"/>
    <n v="40.68"/>
    <n v="580"/>
    <n v="20"/>
    <d v="2025-12-05T00:00:00"/>
    <s v="Entregado"/>
    <n v="7297349018"/>
    <s v="mhernandez18@gmail.com"/>
    <m/>
    <s v="EMPLEADO PRIVADO"/>
    <n v="8944098"/>
    <s v="HERMENEGILDO FLORES JUAN"/>
    <m/>
    <s v="ESTEFANIA MORALES"/>
    <s v="7121912619"/>
    <s v="ANA KAREN PAREDES"/>
    <s v="7201041413"/>
    <s v="CRISTINA MORALES"/>
    <s v="7299200772"/>
    <m/>
    <m/>
    <m/>
    <m/>
    <m/>
    <m/>
    <n v="17067.599999999999"/>
    <n v="0"/>
    <n v="1"/>
    <s v="Individual sin Garantía"/>
    <s v="LEONA VICARIO #412-SN"/>
    <s v="Coaxustenco"/>
    <s v="México"/>
    <s v="Metepec"/>
    <m/>
    <s v="Ver en mapa"/>
    <m/>
    <m/>
    <n v="4"/>
    <n v="3"/>
    <s v="Transferencia electrónica"/>
    <s v="100128701"/>
    <n v="8778.4"/>
    <n v="17067.599999999999"/>
    <n v="0.22909313553165059"/>
  </r>
  <r>
    <s v="003824"/>
    <s v="Región Estado México"/>
    <x v="1"/>
    <s v="000037"/>
    <s v="CREDIFLEXI CREDIFLEXI CREDIFLEXI"/>
    <x v="5"/>
    <x v="5"/>
    <s v="02"/>
    <s v="RODRIGUEZ DU POND JORGE ANTONIO"/>
    <d v="2025-10-17T00:00:00"/>
    <d v="2026-04-30T00:00:00"/>
    <n v="50000"/>
    <n v="50000"/>
    <n v="3"/>
    <x v="5"/>
    <n v="12"/>
    <s v="Quincenal"/>
    <n v="4803.71"/>
    <n v="618"/>
    <n v="0"/>
    <n v="0"/>
    <n v="1"/>
    <n v="38634.85"/>
    <n v="4803.71"/>
    <n v="3947.32"/>
    <n v="804.89"/>
    <n v="51.5"/>
    <n v="0"/>
    <n v="4803.71"/>
    <d v="2025-12-15T00:00:00"/>
    <s v="Entregado"/>
    <n v="5544790066"/>
    <s v="jorge.rodriguez@financieracrediflexi.com"/>
    <m/>
    <s v="EMPLEADO PRIVADO"/>
    <n v="8944098"/>
    <m/>
    <m/>
    <m/>
    <m/>
    <m/>
    <m/>
    <m/>
    <m/>
    <m/>
    <m/>
    <m/>
    <m/>
    <m/>
    <m/>
    <n v="39491.24"/>
    <n v="0"/>
    <n v="1"/>
    <s v="Individual Especial Semanal"/>
    <s v="JESUS DEL MONTE #47 T A D-404"/>
    <s v="Jesús del Monte"/>
    <s v="México"/>
    <s v="Huixquilucan"/>
    <m/>
    <s v="Ver en mapa"/>
    <m/>
    <m/>
    <n v="1"/>
    <n v="1"/>
    <s v="Desembolso en caja"/>
    <s v="100382402"/>
    <n v="38634.85"/>
    <n v="39491.24"/>
    <n v="0.12163988773206411"/>
  </r>
  <r>
    <s v="001361"/>
    <s v="Región Estado México"/>
    <x v="0"/>
    <s v="000029"/>
    <s v="Colin Garduño Estefani"/>
    <x v="5"/>
    <x v="5"/>
    <s v="01"/>
    <s v="CASTILLO VILLEGAS YOLANDA YADIRA"/>
    <d v="2025-06-02T00:00:00"/>
    <d v="2025-12-02T00:00:00"/>
    <n v="7000"/>
    <n v="7373.85"/>
    <n v="0"/>
    <x v="6"/>
    <n v="6"/>
    <s v="Mensual"/>
    <n v="1825.24"/>
    <n v="348"/>
    <n v="0"/>
    <n v="0"/>
    <n v="0"/>
    <n v="0.01"/>
    <n v="58.01"/>
    <n v="0.01"/>
    <n v="0"/>
    <n v="58"/>
    <n v="0"/>
    <n v="580"/>
    <d v="2025-12-22T00:00:00"/>
    <s v="Entregado"/>
    <n v="7291110998"/>
    <s v="ycv86@gmail.com"/>
    <m/>
    <s v="RESTAURANTE"/>
    <n v="8711021"/>
    <s v="COLIN BAÑUELOS HERON"/>
    <s v="7122030101.0"/>
    <s v="LORENA LOPEZ GOMEZ"/>
    <s v="7226016996"/>
    <s v="JUAN ISIDRO MORGAN RODRIGUEZ"/>
    <s v="7224062725"/>
    <s v="ARMANDO COLIN PEREZ"/>
    <s v="7229808240"/>
    <m/>
    <m/>
    <m/>
    <m/>
    <m/>
    <m/>
    <n v="58.01"/>
    <n v="0"/>
    <n v="1"/>
    <s v="Individual sin Garantía"/>
    <s v="CAMINO ALA CRUZ #7-SN"/>
    <s v="La Peña"/>
    <s v="México"/>
    <s v="Valle De Bravo"/>
    <m/>
    <s v="Ver en mapa"/>
    <m/>
    <m/>
    <n v="2"/>
    <n v="2"/>
    <s v="Transferencia electrónica"/>
    <s v="100136101"/>
    <n v="0"/>
    <n v="0"/>
    <n v="1"/>
  </r>
  <r>
    <s v="001558"/>
    <s v="Región Estado México"/>
    <x v="0"/>
    <s v="000059"/>
    <s v="Gutierrez Jaimes Ruben"/>
    <x v="5"/>
    <x v="5"/>
    <s v="01"/>
    <s v="VELEZ GUADARRAMA HORACIO"/>
    <d v="2025-07-25T00:00:00"/>
    <d v="2026-07-25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20"/>
    <d v="2025-12-24T00:00:00"/>
    <s v="Entregado"/>
    <n v="7225066648"/>
    <s v="horaciovg25@gmail.com"/>
    <m/>
    <s v="RESTAURANTE"/>
    <n v="8711021"/>
    <m/>
    <m/>
    <s v="CESAR VELEZ GUADARRAMA"/>
    <s v="7262078595"/>
    <s v="ROSA GONZALEZ COAHUILAS"/>
    <s v="7227869607"/>
    <s v="ADRIANA CABALLERO LOPEZ"/>
    <s v="7295422965"/>
    <m/>
    <m/>
    <m/>
    <m/>
    <m/>
    <m/>
    <n v="11423.3"/>
    <n v="89.541186666666661"/>
    <n v="1"/>
    <s v="Individual sin Garantía"/>
    <s v="CASAS VIEJAS  #SN"/>
    <s v="Avándaro"/>
    <s v="México"/>
    <s v="Valle De Bravo"/>
    <s v="19°09'13.4&quot;N 100°06'24.4&quot;W"/>
    <s v="Ver en mapa"/>
    <m/>
    <m/>
    <n v="0"/>
    <n v="0"/>
    <s v="Transferencia electrónica"/>
    <s v="100155801"/>
    <n v="0"/>
    <n v="0"/>
    <n v="0"/>
  </r>
  <r>
    <s v="001188"/>
    <s v="Región Estado México"/>
    <x v="0"/>
    <s v="000029"/>
    <s v="Colin Garduño Estefani"/>
    <x v="5"/>
    <x v="5"/>
    <s v="01"/>
    <s v="AGUILAR BARCENAS ANTONIO"/>
    <d v="2025-02-19T00:00:00"/>
    <d v="2026-02-19T00:00:00"/>
    <n v="20000"/>
    <n v="21068.16"/>
    <n v="0"/>
    <x v="6"/>
    <n v="12"/>
    <s v="Mensual"/>
    <n v="3015.02"/>
    <n v="696"/>
    <n v="0"/>
    <n v="0"/>
    <n v="0"/>
    <n v="5194.6900000000014"/>
    <n v="0"/>
    <n v="0"/>
    <n v="0"/>
    <n v="0"/>
    <n v="0"/>
    <n v="3016"/>
    <d v="2025-12-19T00:00:00"/>
    <s v="Entregado"/>
    <n v="7222300093"/>
    <s v="antonioaguilar4064@gmail.com"/>
    <m/>
    <s v="TALLER DE REPARACION GENERAL DE AUTOMOVILES Y CAMIONES"/>
    <n v="8911019"/>
    <m/>
    <m/>
    <s v="JONATHAN GARDUNO ROJAS"/>
    <s v="7223671877"/>
    <s v="ROGELIO VELAZQUEZ ANDRES"/>
    <s v="7222036212"/>
    <s v="JAIRO RODRIGO GUADARRAMAMERCAD"/>
    <s v="7294898930"/>
    <s v="Garantía Prendaria"/>
    <s v="FACTURA EXPEDIDA POR AUTOMOTRIZ CUERNAVACA NORTE S.A DE C.V, , Valor 17,359.00, Nombre VEHICULO JETTA GL, Folio Factura 7381, Fecha Factura 11/07/1992, Número de serie 3VWRA21G6NM054108, Número de motor RV116090, Modelo 1992, Marca VOLKSWAGEN, Propietario AGUILAR BARCENAS ANTONIO"/>
    <s v="VEHICULO JETTA GL"/>
    <s v="Quirografaria"/>
    <s v="CONTRATO DE COMPRAVENTA DE UNA FRACCION DEL INMUEBLE CON UNA SUPERFICIE DE 190.40 M2_x000d__x000a__x000d__x000a_MEDIDAS Y COLINDANCIAS_x000d__x000a_NORTE 21.80 M CON JUAN VARGAS_x000d__x000a_SUR 20.40 M CON ARNULFO TAPIA_x000d__x000a_ORIENTE 8.40 M CON JUAN VARGAS_x000d__x000a_PONIENTE 10.00 M CON CAMINO A RINCON DE ESTRADAS"/>
    <s v="CONTRATO DE COMPRAVENTA"/>
    <n v="5168.8900000000003"/>
    <n v="25.8"/>
    <n v="4"/>
    <s v="Individual mensual con garantia nivel I Tprem"/>
    <s v="ALFAREROS #5-SN"/>
    <s v="Valle de Bravo"/>
    <s v="México"/>
    <s v="Valle De Bravo"/>
    <m/>
    <s v="Ver en mapa"/>
    <m/>
    <m/>
    <n v="0"/>
    <n v="0"/>
    <s v="Transferencia electrónica"/>
    <s v="100118801"/>
    <n v="0"/>
    <n v="0"/>
    <n v="0"/>
  </r>
  <r>
    <s v="001260"/>
    <s v="Región Estado México"/>
    <x v="0"/>
    <s v="000037"/>
    <s v="CREDIFLEXI CREDIFLEXI CREDIFLEXI"/>
    <x v="5"/>
    <x v="5"/>
    <s v="01"/>
    <s v="BENITEZ AGUILAR PAULA"/>
    <d v="2025-04-21T00:00:00"/>
    <d v="2026-04-21T00:00:00"/>
    <n v="20000"/>
    <n v="21068.16"/>
    <n v="0"/>
    <x v="6"/>
    <n v="12"/>
    <s v="Mensual"/>
    <n v="2960.75"/>
    <n v="696"/>
    <n v="0"/>
    <n v="0"/>
    <n v="0"/>
    <n v="7022.72"/>
    <n v="0"/>
    <n v="0"/>
    <n v="0"/>
    <n v="0"/>
    <n v="0"/>
    <n v="2979"/>
    <d v="2025-12-21T00:00:00"/>
    <s v="Entregado"/>
    <n v="7225577096"/>
    <s v="pbo21388@gmail.com"/>
    <m/>
    <s v="SERVICIOS MEDICO GENERAL Y ESPECIALIZADO EN CONSULTORIOS"/>
    <n v="9212010"/>
    <m/>
    <m/>
    <s v="LAURA IVETH MENDOZA"/>
    <s v="7225736723"/>
    <s v="LAURA LETICIA TRUJILLO SERVIN"/>
    <s v="5546203255"/>
    <s v="VICTOR RODRIGUEZ ARZATE"/>
    <s v="7221565221"/>
    <m/>
    <m/>
    <m/>
    <m/>
    <m/>
    <m/>
    <n v="11537.04"/>
    <n v="73.971775999999991"/>
    <n v="1"/>
    <s v="Individual sin Garantía"/>
    <s v="SAN SEBASTIAN CHICO 1ERA SECC #SN"/>
    <s v="San Sebastian Chico"/>
    <s v="México"/>
    <s v="Amanalco"/>
    <m/>
    <s v="Ver en mapa"/>
    <m/>
    <m/>
    <n v="0"/>
    <n v="0"/>
    <s v="Transferencia electrónica"/>
    <s v="100126001"/>
    <n v="0"/>
    <n v="0"/>
    <n v="0"/>
  </r>
  <r>
    <s v="001590"/>
    <s v="Región Estado México"/>
    <x v="0"/>
    <s v="000029"/>
    <s v="Colin Garduño Estefani"/>
    <x v="5"/>
    <x v="5"/>
    <s v="01"/>
    <s v="GUADARRAMA TINOCO ANGELICA"/>
    <d v="2025-07-28T00:00:00"/>
    <d v="2026-08-01T00:00:00"/>
    <n v="20000"/>
    <n v="21068.16"/>
    <n v="0"/>
    <x v="6"/>
    <n v="12"/>
    <s v="Mensual"/>
    <n v="3364.19"/>
    <n v="696"/>
    <n v="0"/>
    <n v="0"/>
    <n v="1"/>
    <n v="14045.44"/>
    <n v="3361.77"/>
    <n v="1755.68"/>
    <n v="1550.52"/>
    <n v="55.57"/>
    <n v="0"/>
    <n v="3365"/>
    <d v="2025-12-01T00:00:00"/>
    <s v="Entregado"/>
    <n v="7226129557"/>
    <s v="angygt0130@gmail.com"/>
    <m/>
    <s v="HOTEL"/>
    <n v="8611015"/>
    <s v="GARCIA ESPINOSA JESUS"/>
    <s v="7226129557.0"/>
    <s v="JESUS GARCIA ESPINOSA"/>
    <s v="7226743133"/>
    <s v="MARIANA GARCIA GUADARRAMA"/>
    <s v="7225645850"/>
    <s v="CLAUDIA GARCIA DE LA O"/>
    <s v="7203553245"/>
    <m/>
    <m/>
    <m/>
    <m/>
    <m/>
    <m/>
    <n v="26505.1"/>
    <n v="0"/>
    <n v="1"/>
    <s v="Individual sin Garantía"/>
    <s v="CARR TOL ALTAMIRANO #122-1"/>
    <s v="Avándaro"/>
    <s v="México"/>
    <s v="Valle De Bravo"/>
    <s v="19°09'38.5&quot;N 100°06'15.4&quot;W"/>
    <s v="Ver en mapa"/>
    <m/>
    <m/>
    <n v="1"/>
    <n v="1"/>
    <s v="Transferencia electrónica"/>
    <s v="100159001"/>
    <n v="0"/>
    <n v="0"/>
    <n v="0.12683483555994879"/>
  </r>
  <r>
    <s v="001380"/>
    <s v="Región Estado México"/>
    <x v="0"/>
    <s v="000082"/>
    <s v="ENRIQUEZ VILCHIS MARIA ALEJANDRA"/>
    <x v="5"/>
    <x v="5"/>
    <s v="02"/>
    <s v="CASTILLO GONZALEZ HUGO MIGUEL ANGEL"/>
    <d v="2025-11-10T00:00:00"/>
    <d v="2026-05-10T00:00:00"/>
    <n v="10000"/>
    <n v="10534.08"/>
    <n v="0"/>
    <x v="6"/>
    <n v="6"/>
    <s v="Mensual"/>
    <n v="2574.23"/>
    <n v="348"/>
    <n v="0"/>
    <n v="0"/>
    <n v="0"/>
    <n v="8778.4"/>
    <n v="0"/>
    <n v="0"/>
    <n v="0"/>
    <n v="0"/>
    <n v="0"/>
    <n v="2574.23"/>
    <d v="2025-12-09T00:00:00"/>
    <s v="Entregado"/>
    <n v="7293862794"/>
    <s v="h.castillo63@gmail.com"/>
    <m/>
    <s v="SERVICIOS DE REPARACION DE MOTOCICLETAS Y BICICLETAS"/>
    <n v="8912017"/>
    <m/>
    <m/>
    <s v="CARLOS MERCADO VELAZQUEZ"/>
    <s v="7222409976"/>
    <s v="JUAN CRUZ RAMOS"/>
    <s v="7261040885"/>
    <s v="HUMBERTO CLEMENTE CRUZ REYEZ"/>
    <s v="7295032153"/>
    <m/>
    <m/>
    <m/>
    <m/>
    <m/>
    <m/>
    <n v="12581.14"/>
    <n v="1.128533333333E-3"/>
    <n v="1"/>
    <s v="Individual sin Garantía"/>
    <s v="CRUZ DE MISION  #SN"/>
    <s v="Valle de Bravo"/>
    <s v="México"/>
    <s v="Valle De Bravo"/>
    <m/>
    <s v="Ver en mapa"/>
    <m/>
    <m/>
    <n v="0"/>
    <n v="0"/>
    <s v="Transferencia electrónica"/>
    <s v="100138002"/>
    <n v="0"/>
    <n v="0"/>
    <n v="0"/>
  </r>
  <r>
    <s v="003653"/>
    <s v="Región Estado México"/>
    <x v="0"/>
    <s v="000082"/>
    <s v="ENRIQUEZ VILCHIS MARIA ALEJANDRA"/>
    <x v="5"/>
    <x v="5"/>
    <s v="01"/>
    <s v="JARAMILLO MONTES DE OCA MARIA SOLEDAD"/>
    <d v="2025-11-06T00:00:00"/>
    <d v="2026-05-06T00:00:00"/>
    <n v="5000.01"/>
    <n v="5267.04"/>
    <n v="0"/>
    <x v="6"/>
    <n v="6"/>
    <s v="Mensual"/>
    <n v="1316.11"/>
    <n v="348"/>
    <n v="0"/>
    <n v="0"/>
    <n v="0"/>
    <n v="4389.2"/>
    <n v="0"/>
    <n v="0"/>
    <n v="0"/>
    <n v="0"/>
    <n v="0"/>
    <n v="1900"/>
    <d v="2025-12-15T00:00:00"/>
    <s v="Entregado"/>
    <n v="7226055223"/>
    <s v="mariasoledadjaramillomontesdeoca@gmail.com"/>
    <m/>
    <s v="COMPRAVENTA DE MEDICINAS"/>
    <n v="6231013"/>
    <s v="ELIZAIS PEÑA JAVIER"/>
    <s v="7228369380.0"/>
    <s v="JAVIER ELIZAIS PEÑA"/>
    <s v="7228369380"/>
    <s v="MAGDALENA JARAMILLO MONTES DE OCA"/>
    <s v="7223144172"/>
    <s v="GLORIA JARAMILLO MONTES DE OCA"/>
    <s v="7221004579"/>
    <m/>
    <m/>
    <m/>
    <m/>
    <m/>
    <m/>
    <n v="6286.6900000000014"/>
    <n v="3.89"/>
    <n v="1"/>
    <s v="Individual sin Garantía"/>
    <s v="CARRETERA  ARCO COLORINES #86"/>
    <s v="Valle de Bravo"/>
    <s v="México"/>
    <s v="Valle De Bravo"/>
    <s v="19°13'26.8&quot;N 100°08'58.9&quot;W"/>
    <s v="Ver en mapa"/>
    <m/>
    <m/>
    <n v="1"/>
    <n v="1"/>
    <s v="Transferencia electrónica"/>
    <s v="100365301"/>
    <n v="0"/>
    <n v="0"/>
    <n v="0"/>
  </r>
  <r>
    <s v="001459"/>
    <s v="Región Estado México"/>
    <x v="0"/>
    <s v="000057"/>
    <s v="Camacho Frias Oscar Antonio"/>
    <x v="5"/>
    <x v="5"/>
    <s v="02"/>
    <s v="CABALLERO GONZALEZ IRMA"/>
    <d v="2025-11-07T00:00:00"/>
    <d v="2026-05-07T00:00:00"/>
    <n v="20000"/>
    <n v="21068.16"/>
    <n v="0"/>
    <x v="6"/>
    <n v="6"/>
    <s v="Mensual"/>
    <n v="5090.46"/>
    <n v="348"/>
    <n v="0"/>
    <n v="0"/>
    <n v="0"/>
    <n v="17556.8"/>
    <n v="0"/>
    <n v="0"/>
    <n v="0"/>
    <n v="0"/>
    <n v="0"/>
    <n v="5100"/>
    <d v="2025-12-01T00:00:00"/>
    <s v="Entregado"/>
    <n v="7223140548"/>
    <s v="irma_caballero_gonzalez@hotmail.com"/>
    <m/>
    <s v="EMPLEADO PUBLICO"/>
    <n v="9411998"/>
    <m/>
    <m/>
    <s v="ENEDINA MARIN CABALLERO"/>
    <s v="5585573256"/>
    <s v="VERONICA CABALLERO GARCIA"/>
    <s v="7292310655"/>
    <s v="FLOR DIAZ LOPEZ"/>
    <s v="7221722691"/>
    <m/>
    <m/>
    <m/>
    <m/>
    <m/>
    <m/>
    <n v="25152.75"/>
    <n v="9.5422570666666697"/>
    <n v="1"/>
    <s v="Individual sin Garantía"/>
    <s v="J ARCADIO PAGAZA  #313-SN"/>
    <s v="Valle de Bravo"/>
    <s v="México"/>
    <s v="Valle De Bravo"/>
    <m/>
    <s v="Ver en mapa"/>
    <m/>
    <m/>
    <n v="0"/>
    <n v="0"/>
    <s v="Transferencia electrónica"/>
    <s v="100145902"/>
    <n v="0"/>
    <n v="0"/>
    <n v="0"/>
  </r>
  <r>
    <s v="004401"/>
    <s v="Región Estado México"/>
    <x v="0"/>
    <s v="000082"/>
    <s v="ENRIQUEZ VILCHIS MARIA ALEJANDRA"/>
    <x v="5"/>
    <x v="5"/>
    <s v="01"/>
    <s v="RODRIGUEZ BERMEO PATRICIA"/>
    <d v="2025-11-14T00:00:00"/>
    <d v="2026-05-14T00:00:00"/>
    <n v="8000"/>
    <n v="8427.26"/>
    <n v="0"/>
    <x v="6"/>
    <n v="6"/>
    <s v="Mensual"/>
    <n v="2070.98"/>
    <n v="348"/>
    <n v="0"/>
    <n v="0"/>
    <n v="0"/>
    <n v="7023.7"/>
    <n v="0.98329999999999995"/>
    <n v="0.98"/>
    <n v="0"/>
    <n v="0"/>
    <n v="0"/>
    <n v="2070"/>
    <d v="2025-12-15T00:00:00"/>
    <s v="Entregado"/>
    <n v="7291367393"/>
    <s v="consultasburo@financieracrediflexi.com"/>
    <m/>
    <s v="RESTAURANTE"/>
    <n v="8711021"/>
    <s v="PEREZ ROJAS MARGARITO"/>
    <s v="7228078176.0"/>
    <s v="MARGARITA PEREZ ROJAS"/>
    <s v="7228078176"/>
    <s v="DANIEL HERNANDEZ"/>
    <s v="7191496717"/>
    <s v="LUIS FRANCISCO PEREZ RODRIGUEZ"/>
    <s v="7223216111"/>
    <m/>
    <m/>
    <m/>
    <m/>
    <m/>
    <m/>
    <n v="10065.89"/>
    <n v="0"/>
    <n v="1"/>
    <s v="Individual sin Garantía"/>
    <s v="5 DE MAYO  #SN"/>
    <s v="Santa María Ahuacatlan"/>
    <s v="México"/>
    <s v="Valle De Bravo"/>
    <m/>
    <s v="Ver en mapa"/>
    <m/>
    <m/>
    <n v="0"/>
    <n v="0"/>
    <s v="Transferencia electrónica"/>
    <s v="100440101"/>
    <n v="0"/>
    <n v="0"/>
    <n v="9.7686344674936839E-5"/>
  </r>
  <r>
    <s v="001416"/>
    <s v="Región Estado México"/>
    <x v="0"/>
    <s v="000029"/>
    <s v="Colin Garduño Estefani"/>
    <x v="5"/>
    <x v="5"/>
    <s v="01"/>
    <s v="GARDUÑO TOLA MA ISABEL"/>
    <d v="2025-06-19T00:00:00"/>
    <d v="2026-06-19T00:00:00"/>
    <n v="10000"/>
    <n v="10534.08"/>
    <n v="0"/>
    <x v="6"/>
    <n v="12"/>
    <s v="Mensual"/>
    <n v="1702.69"/>
    <n v="696"/>
    <n v="0"/>
    <n v="0"/>
    <n v="0"/>
    <n v="5267.04"/>
    <n v="0"/>
    <n v="0"/>
    <n v="0"/>
    <n v="0"/>
    <n v="0"/>
    <n v="1703"/>
    <d v="2025-12-19T00:00:00"/>
    <s v="Entregado"/>
    <n v="7291791570"/>
    <s v="maisabel6307@gmail.com"/>
    <m/>
    <s v="TIENDA DE ABARROTES Y MISCELANEA"/>
    <n v="6131023"/>
    <s v="GARCIA FELIX JUAN CARLOS"/>
    <s v="7291791570.0"/>
    <s v="IDALIA JAIMES"/>
    <s v="7226098835"/>
    <s v="FABIOLA GARCIA GARDUÑO"/>
    <s v="5665382846"/>
    <s v="ESTEBAN GARCIA GARDUÑO"/>
    <s v="7226745585"/>
    <m/>
    <m/>
    <m/>
    <m/>
    <m/>
    <m/>
    <n v="9866.61"/>
    <n v="1.54"/>
    <n v="1"/>
    <s v="Individual sin Garantía"/>
    <s v="PROL AV TOLUCA  #SN -SN"/>
    <s v="Otumba"/>
    <s v="México"/>
    <s v="Valle De Bravo"/>
    <s v="19°12'17.6&quot;N 100°07'14.9&quot;W"/>
    <s v="Ver en mapa"/>
    <m/>
    <m/>
    <n v="0"/>
    <n v="0"/>
    <s v="Transferencia electrónica"/>
    <s v="100141601"/>
    <n v="0"/>
    <n v="0"/>
    <n v="0"/>
  </r>
  <r>
    <s v="003702"/>
    <s v="Región Estado México"/>
    <x v="0"/>
    <s v="000057"/>
    <s v="Camacho Frias Oscar Antonio"/>
    <x v="5"/>
    <x v="5"/>
    <s v="01"/>
    <s v="CALDERON FRUTIS ALEJANDRO"/>
    <d v="2025-10-17T00:00:00"/>
    <d v="2026-04-03T00:00:00"/>
    <n v="7000"/>
    <n v="7373.85"/>
    <n v="0"/>
    <x v="6"/>
    <n v="12"/>
    <s v="Catorcenal"/>
    <n v="919.56000000000006"/>
    <n v="696"/>
    <n v="0"/>
    <n v="5"/>
    <n v="0"/>
    <n v="4301.41"/>
    <n v="0"/>
    <n v="0"/>
    <n v="0"/>
    <n v="0"/>
    <n v="0"/>
    <n v="920"/>
    <d v="2025-12-15T00:00:00"/>
    <s v="Entregado"/>
    <n v="7228764233"/>
    <s v="alejandrocal2703@gmail.com"/>
    <m/>
    <s v="EMPLEADO DEL SECTOR PRIVADO"/>
    <n v="9501009"/>
    <s v="LOPEZ ESTRADA MARIA MARIBEL"/>
    <s v="7228764233.0"/>
    <s v="JOSE ANTONIO SALVADOR CIPRIANO"/>
    <s v="7228401585"/>
    <s v="JOSE MORENO REYES"/>
    <s v="7226054397"/>
    <s v="ELIAZER GARCIA MARURI"/>
    <s v="7224093114"/>
    <m/>
    <m/>
    <m/>
    <m/>
    <m/>
    <m/>
    <n v="6028.73"/>
    <n v="2.1968299999999998"/>
    <n v="1"/>
    <s v="Individual sin Garantía"/>
    <s v="PALITO VERDE  #SN"/>
    <s v="Cuadrilla de Dolores"/>
    <s v="México"/>
    <s v="Valle De Bravo"/>
    <m/>
    <s v="Ver en mapa"/>
    <m/>
    <m/>
    <n v="0"/>
    <n v="0"/>
    <s v="Transferencia electrónica"/>
    <s v="100370201"/>
    <n v="0"/>
    <n v="0"/>
    <n v="0"/>
  </r>
  <r>
    <s v="001308"/>
    <s v="Región Estado México"/>
    <x v="0"/>
    <s v="000037"/>
    <s v="CREDIFLEXI CREDIFLEXI CREDIFLEXI"/>
    <x v="5"/>
    <x v="5"/>
    <s v="01"/>
    <s v="EMETERIO LUVIANOS PATRICIA"/>
    <d v="2025-05-12T00:00:00"/>
    <d v="2026-05-12T00:00:00"/>
    <n v="10000"/>
    <n v="10534.08"/>
    <n v="0"/>
    <x v="6"/>
    <n v="12"/>
    <s v="Mensual"/>
    <n v="1702.69"/>
    <n v="696"/>
    <n v="0"/>
    <n v="0"/>
    <n v="0"/>
    <n v="4389.2"/>
    <n v="0"/>
    <n v="0"/>
    <n v="0"/>
    <n v="0"/>
    <n v="0"/>
    <n v="1703"/>
    <d v="2025-12-15T00:00:00"/>
    <s v="Entregado"/>
    <n v="7201228948"/>
    <s v="patyemeterio13@gmail.com"/>
    <m/>
    <s v="COMPRAVENTA DE PAPELERIA Y ARTICULOS DE ESCRITORIO"/>
    <n v="6233019"/>
    <m/>
    <m/>
    <s v="RITA ZARZA REYES"/>
    <s v="7261162636"/>
    <s v="PETRA TUBURCIO SANTIAGO"/>
    <s v="7223636845"/>
    <s v="JUANA COLIN PEREZ"/>
    <s v="7224635844"/>
    <m/>
    <m/>
    <m/>
    <m/>
    <m/>
    <m/>
    <n v="8222.85"/>
    <n v="0.61"/>
    <n v="1"/>
    <s v="Individual sin Garantía"/>
    <s v="16 DE SEP  #504-SN"/>
    <s v="Valle de Bravo"/>
    <s v="México"/>
    <s v="Valle De Bravo"/>
    <m/>
    <s v="Ver en mapa"/>
    <m/>
    <m/>
    <n v="1"/>
    <n v="1"/>
    <s v="Transferencia electrónica"/>
    <s v="100130801"/>
    <n v="0"/>
    <n v="0"/>
    <n v="0"/>
  </r>
  <r>
    <s v="001309"/>
    <s v="Región Estado México"/>
    <x v="0"/>
    <s v="000082"/>
    <s v="ENRIQUEZ VILCHIS MARIA ALEJANDRA"/>
    <x v="5"/>
    <x v="5"/>
    <s v="02"/>
    <s v="SANCHEZ JIMENEZ SANTOS"/>
    <d v="2025-11-18T00:00:00"/>
    <d v="2026-05-18T00:00:00"/>
    <n v="12000"/>
    <n v="12640.89"/>
    <n v="0"/>
    <x v="6"/>
    <n v="6"/>
    <s v="Mensual"/>
    <n v="3077.47"/>
    <n v="348"/>
    <n v="0"/>
    <n v="0"/>
    <n v="0"/>
    <n v="10534.07"/>
    <n v="0"/>
    <n v="0"/>
    <n v="0"/>
    <n v="0"/>
    <n v="0"/>
    <n v="3078"/>
    <d v="2025-12-18T00:00:00"/>
    <s v="Entregado"/>
    <n v="7293313439"/>
    <s v="raquelguadarram60@gmail.com"/>
    <m/>
    <s v="COMPRAVENTA DE PAN Y PASTELES"/>
    <n v="6132055"/>
    <s v="GUADARRAMA MARIANO RAQUEL"/>
    <s v="7293313459.0"/>
    <s v="LORENA JAZMIN DIAZ"/>
    <s v="5529013258"/>
    <s v="ELVIRA AGUILAR CASTILLO"/>
    <s v="7229335833"/>
    <s v="PAULINA LOPEZ ROQUE"/>
    <s v="7293508715"/>
    <m/>
    <m/>
    <m/>
    <m/>
    <m/>
    <m/>
    <n v="15096.84"/>
    <n v="0.526787433333333"/>
    <n v="1"/>
    <s v="Individual sin Garantía"/>
    <s v="SN BARTOLO PRIMERA SECCION  #SN -SN"/>
    <s v="San Bartolo cu"/>
    <s v="México"/>
    <s v="Amanalco"/>
    <s v="19°14'57.6&quot;N 100°03'19.1&quot;W"/>
    <s v="Ver en mapa"/>
    <m/>
    <m/>
    <n v="0"/>
    <n v="0"/>
    <s v="Transferencia electrónica"/>
    <s v="100130902"/>
    <n v="0"/>
    <n v="0"/>
    <n v="0"/>
  </r>
  <r>
    <s v="001464"/>
    <s v="Región Estado México"/>
    <x v="0"/>
    <s v="000085"/>
    <s v="Campuzano Sanchez Humbert"/>
    <x v="5"/>
    <x v="5"/>
    <s v="02"/>
    <s v="ALVARADO GONZALEZ TANIA ALEXIA"/>
    <d v="2025-10-14T00:00:00"/>
    <d v="2026-03-31T00:00:00"/>
    <n v="8000"/>
    <n v="8427.26"/>
    <n v="0"/>
    <x v="6"/>
    <n v="12"/>
    <s v="Catorcenal"/>
    <n v="1042.6400000000001"/>
    <n v="696"/>
    <n v="0"/>
    <n v="5"/>
    <n v="0"/>
    <n v="4213.63"/>
    <n v="0"/>
    <n v="0"/>
    <n v="0"/>
    <n v="0"/>
    <n v="0"/>
    <n v="1042.6400000000001"/>
    <d v="2025-12-29T00:00:00"/>
    <s v="Entregado"/>
    <n v="7202840539"/>
    <s v="tanis77@gmail.com"/>
    <m/>
    <s v="EMPLEADO DEL SECTOR PRIVADO"/>
    <n v="9501009"/>
    <s v="ANSELMO REYES BENJAMIN"/>
    <s v="7202840539.0"/>
    <s v="BENJAMIN ANSELMO REYES"/>
    <s v="7202842005"/>
    <s v="JORDI JESUS REYES GONZALEZ"/>
    <s v="7227988049"/>
    <s v="ARTURO GONZALEZ RUIZ"/>
    <s v="7225543417"/>
    <m/>
    <m/>
    <m/>
    <m/>
    <m/>
    <m/>
    <n v="5844.85"/>
    <n v="1047.634708"/>
    <n v="1"/>
    <s v="Individual sin Garantía"/>
    <s v="FLOR DE HORTENCIA CASA  #4-SN"/>
    <s v="Barranca Seca"/>
    <s v="México"/>
    <s v="Valle De Bravo"/>
    <m/>
    <s v="Ver en mapa"/>
    <m/>
    <m/>
    <n v="1"/>
    <n v="1"/>
    <s v="Transferencia electrónica"/>
    <s v="100146402"/>
    <n v="0"/>
    <n v="0"/>
    <n v="0"/>
  </r>
  <r>
    <s v="001335"/>
    <s v="Región Estado México"/>
    <x v="0"/>
    <s v="000040"/>
    <s v="Olayo Gaytan Luis Enrique"/>
    <x v="5"/>
    <x v="5"/>
    <s v="01"/>
    <s v="LOPEZ RODRIGUEZ ERNESTO ANGEL"/>
    <d v="2025-05-23T00:00:00"/>
    <d v="2026-05-23T00:00:00"/>
    <n v="10000"/>
    <n v="10534.08"/>
    <n v="0"/>
    <x v="6"/>
    <n v="12"/>
    <s v="Mensual"/>
    <n v="1702.69"/>
    <n v="696"/>
    <n v="0"/>
    <n v="0"/>
    <n v="0"/>
    <n v="4389.21"/>
    <n v="1.2338666666666999E-2"/>
    <n v="0.01"/>
    <n v="0"/>
    <n v="0"/>
    <n v="0"/>
    <n v="1702.69"/>
    <d v="2025-12-23T00:00:00"/>
    <s v="Entregado"/>
    <n v="7224934875"/>
    <s v="ernestolopezrodriguez@gmail.com"/>
    <m/>
    <s v="TALLER DE PLOMERIA"/>
    <n v="4221016"/>
    <m/>
    <m/>
    <s v="ESTEBAN REYES GONZALEZ"/>
    <s v="7361117698"/>
    <s v="ALVARO CHIMAL CANO"/>
    <s v="5579318315"/>
    <s v="ROBERTO LOPEZ GOMEZ"/>
    <s v="7121769075"/>
    <m/>
    <m/>
    <m/>
    <m/>
    <m/>
    <m/>
    <n v="8223.4699999999993"/>
    <n v="0"/>
    <n v="1"/>
    <s v="Individual sin Garantía"/>
    <s v="VILLA FLORENCIA  #SN"/>
    <s v="San Antonio"/>
    <s v="México"/>
    <s v="Valle De Bravo"/>
    <m/>
    <s v="Ver en mapa"/>
    <m/>
    <m/>
    <n v="0"/>
    <n v="0"/>
    <s v="Transferencia electrónica"/>
    <s v="100133501"/>
    <n v="0"/>
    <n v="0"/>
    <n v="1.500420949631603E-6"/>
  </r>
  <r>
    <s v="001296"/>
    <s v="Región Estado México"/>
    <x v="0"/>
    <s v="000037"/>
    <s v="CREDIFLEXI CREDIFLEXI CREDIFLEXI"/>
    <x v="5"/>
    <x v="5"/>
    <s v="01"/>
    <s v="CAMACHO MERCADO MARCO ANTONIO"/>
    <d v="2025-05-07T00:00:00"/>
    <d v="2026-05-07T00:00:00"/>
    <n v="10000"/>
    <n v="10534.08"/>
    <n v="0"/>
    <x v="6"/>
    <n v="12"/>
    <s v="Mensual"/>
    <n v="1702.69"/>
    <n v="696"/>
    <n v="0"/>
    <n v="0"/>
    <n v="0"/>
    <n v="4389.2"/>
    <n v="0"/>
    <n v="0"/>
    <n v="0"/>
    <n v="0"/>
    <n v="0"/>
    <n v="1702.69"/>
    <d v="2025-12-08T00:00:00"/>
    <s v="Entregado"/>
    <n v="7222412758"/>
    <s v="7222412758"/>
    <m/>
    <s v="ESTABLECIMIENTOS PRIVADOS DE INSTRUCCION EDUCACION CULTURA E INVESTIGACION"/>
    <n v="9119018"/>
    <m/>
    <m/>
    <s v="AMARESH VALDEZ NAVARRO"/>
    <s v="7225123777"/>
    <s v="JOSEFINA MARTINEZ GARCIA"/>
    <s v="7223819132"/>
    <s v="PALOMA GARCIA AGUILAR"/>
    <s v="7224135274"/>
    <m/>
    <m/>
    <m/>
    <m/>
    <m/>
    <m/>
    <n v="8223.15"/>
    <n v="0.31"/>
    <n v="1"/>
    <s v="Individual sin Garantía"/>
    <s v="AV TOLUCA  #203-SN"/>
    <s v="Valle de Bravo"/>
    <s v="México"/>
    <s v="Valle De Bravo"/>
    <m/>
    <s v="Ver en mapa"/>
    <m/>
    <m/>
    <n v="2"/>
    <n v="2"/>
    <s v="Transferencia electrónica"/>
    <s v="100129601"/>
    <n v="0"/>
    <n v="0"/>
    <n v="0"/>
  </r>
  <r>
    <s v="001258"/>
    <s v="Región Estado México"/>
    <x v="0"/>
    <s v="000082"/>
    <s v="ENRIQUEZ VILCHIS MARIA ALEJANDRA"/>
    <x v="5"/>
    <x v="5"/>
    <s v="02"/>
    <s v="JIMENEZ BLANCO JULIANA"/>
    <d v="2025-12-03T00:00:00"/>
    <d v="2026-12-03T00:00:00"/>
    <n v="12000"/>
    <n v="12640.89"/>
    <n v="0"/>
    <x v="6"/>
    <n v="12"/>
    <s v="Mensual"/>
    <n v="2031.63"/>
    <n v="696"/>
    <n v="0"/>
    <n v="0"/>
    <n v="0"/>
    <n v="12640.89"/>
    <n v="0"/>
    <n v="0"/>
    <n v="0"/>
    <n v="0"/>
    <n v="0"/>
    <m/>
    <m/>
    <s v="Entregado"/>
    <n v="7291051764"/>
    <s v="soterojim12@gmail.com"/>
    <m/>
    <s v="COMPRAVENTA DE FRUTAS"/>
    <n v="6112015"/>
    <s v="SOTERO LUIS MACARIO"/>
    <s v="5526795882.0"/>
    <s v="AZUCENA SOTERO JIMENEZ"/>
    <s v="5562928117"/>
    <s v="FLOR SOTERO JIMENEZ"/>
    <s v="7225338917"/>
    <s v="MACARIO SOTERO LUIS"/>
    <s v="5526795882"/>
    <m/>
    <m/>
    <m/>
    <m/>
    <m/>
    <m/>
    <n v="23683.55"/>
    <n v="0"/>
    <n v="1"/>
    <s v="Individual sin Garantía"/>
    <s v="SAN MATEO AMANALCO  #SN"/>
    <s v="San Mateo cu"/>
    <s v="México"/>
    <s v="Amanalco"/>
    <s v="19°16'49.5&quot;N 100°01'19.6&quot;W"/>
    <s v="Ver en mapa"/>
    <m/>
    <m/>
    <n v="0"/>
    <n v="0"/>
    <s v="Transferencia electrónica"/>
    <s v="100125802"/>
    <n v="0"/>
    <n v="0"/>
    <n v="0"/>
  </r>
  <r>
    <s v="001618"/>
    <s v="Región Estado México"/>
    <x v="3"/>
    <s v="000041"/>
    <s v="Martinez Perez Juan Daniel"/>
    <x v="5"/>
    <x v="5"/>
    <s v="01"/>
    <s v="RAMIREZ CORONA MARIA ISABEL"/>
    <d v="2025-07-23T00:00:00"/>
    <d v="2026-07-23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2.69"/>
    <d v="2025-12-23T00:00:00"/>
    <s v="Entregado"/>
    <n v="7295938738"/>
    <s v="mariad34jz@gmail.com"/>
    <m/>
    <s v="RESTAURANTE"/>
    <n v="8711021"/>
    <m/>
    <m/>
    <s v="MARIEL YESENIA RAMIREZ RAMIREZ"/>
    <s v="7298173665"/>
    <s v="MARTHA PATRICIA RAMIREZ CORONA"/>
    <s v="7226259496"/>
    <s v="LUIS ALBERTO CEDILLO LOPEZ"/>
    <s v="7295214120"/>
    <m/>
    <m/>
    <m/>
    <m/>
    <m/>
    <m/>
    <n v="11511.61"/>
    <n v="1.23118666666667"/>
    <n v="1"/>
    <s v="Individual sin Garantía"/>
    <s v="CAM EL AHUEHUETE #SN"/>
    <s v="San Juan Tetitlán"/>
    <s v="México"/>
    <s v="Tenancingo"/>
    <s v="18°58'30.2&quot;N 99°34'28.7&quot;W"/>
    <s v="Ver en mapa"/>
    <m/>
    <m/>
    <n v="0"/>
    <n v="0"/>
    <s v="Transferencia electrónica"/>
    <s v="100161801"/>
    <n v="0"/>
    <n v="0"/>
    <n v="0"/>
  </r>
  <r>
    <s v="001546"/>
    <s v="Región Estado México"/>
    <x v="3"/>
    <s v="000042"/>
    <s v="Avila Nieto Luis Alfredo"/>
    <x v="5"/>
    <x v="5"/>
    <s v="01"/>
    <s v="ROJAS BLANCAS MARIBEL"/>
    <d v="2025-07-16T00:00:00"/>
    <d v="2026-01-16T00:00:00"/>
    <n v="5000.01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30"/>
    <d v="2025-12-16T00:00:00"/>
    <s v="Entregado"/>
    <n v="7141002888"/>
    <s v="maribelrojasblancas@gmail.com"/>
    <m/>
    <s v="FABRICACION DE OTROS PRODUCTOS ALIMENTICIOS"/>
    <n v="2099043"/>
    <m/>
    <m/>
    <s v="NOEMI ROGEL AMADO"/>
    <s v="7294714076"/>
    <s v="FATIMA ROGEL AMARO"/>
    <s v="7224598383"/>
    <s v="DANIEL BENUMEA ROJAS"/>
    <s v="7293691929"/>
    <m/>
    <m/>
    <m/>
    <m/>
    <m/>
    <m/>
    <n v="1220.5"/>
    <n v="43.913365333333331"/>
    <n v="1"/>
    <s v="Individual sin Garantía"/>
    <s v="ITURBIDE #SN"/>
    <s v="Santiago Oxtotitlán"/>
    <s v="México"/>
    <s v="Villa Guerrero"/>
    <s v="18°57'55.2&quot;N 99°40'06.0&quot;W"/>
    <s v="Ver en mapa"/>
    <m/>
    <m/>
    <n v="3"/>
    <n v="3"/>
    <s v="Transferencia electrónica"/>
    <s v="100154601"/>
    <n v="0"/>
    <n v="0"/>
    <n v="0"/>
  </r>
  <r>
    <s v="001533"/>
    <s v="Región Estado México"/>
    <x v="3"/>
    <s v="000042"/>
    <s v="Avila Nieto Luis Alfredo"/>
    <x v="5"/>
    <x v="5"/>
    <s v="01"/>
    <s v="FLORES GONZALEZ ALEJANDRA"/>
    <d v="2025-07-16T00:00:00"/>
    <d v="2026-07-16T00:00:00"/>
    <n v="12000"/>
    <n v="12640.89"/>
    <n v="0"/>
    <x v="6"/>
    <n v="12"/>
    <s v="Mensual"/>
    <n v="2031.63"/>
    <n v="696"/>
    <n v="0"/>
    <n v="0"/>
    <n v="0"/>
    <n v="7374"/>
    <n v="0.14749999999999999"/>
    <n v="0.15"/>
    <n v="0"/>
    <n v="0"/>
    <n v="0"/>
    <n v="2610"/>
    <d v="2025-12-22T00:00:00"/>
    <s v="Entregado"/>
    <n v="7221055890"/>
    <s v="floresgonzalezalejandra191@gmail.com"/>
    <m/>
    <s v="COMPRAVENTA DE FLORES Y ADORNOS FLORALES ARTIFICIALES"/>
    <n v="6326012"/>
    <s v="IGLESIAS GARDUÑO ELEUTERIO"/>
    <m/>
    <s v="ROSA ALEJANDRA NOVOA  BERNAL"/>
    <s v="7228384817"/>
    <s v="DANNA ELIUD PATIÑO ALVAREZ"/>
    <s v="7226066011"/>
    <s v="JAIME SALDAÑA FLORES"/>
    <s v="7299935628"/>
    <m/>
    <m/>
    <m/>
    <m/>
    <m/>
    <m/>
    <n v="13815.55"/>
    <n v="0"/>
    <n v="1"/>
    <s v="Individual sin Garantía"/>
    <s v="LA FINCA  #6-SN"/>
    <s v="La Finca"/>
    <s v="México"/>
    <s v="Villa Guerrero"/>
    <s v="18°53'57.7&quot;N 99°38'28.3&quot;W"/>
    <s v="Ver en mapa"/>
    <m/>
    <m/>
    <n v="2"/>
    <n v="1"/>
    <s v="Transferencia electrónica"/>
    <s v="100153301"/>
    <n v="0"/>
    <n v="0"/>
    <n v="1.0676375533366389E-5"/>
  </r>
  <r>
    <s v="001376"/>
    <s v="Región Estado México"/>
    <x v="0"/>
    <s v="000082"/>
    <s v="ENRIQUEZ VILCHIS MARIA ALEJANDRA"/>
    <x v="5"/>
    <x v="5"/>
    <s v="02"/>
    <s v="GOMEZ CARRANZA ANGELICA"/>
    <d v="2025-12-16T00:00:00"/>
    <d v="2026-06-16T00:00:00"/>
    <n v="15000"/>
    <n v="15801.12"/>
    <n v="0"/>
    <x v="6"/>
    <n v="6"/>
    <s v="Mensual"/>
    <n v="3838.65"/>
    <n v="348"/>
    <n v="0"/>
    <n v="0"/>
    <n v="0"/>
    <n v="15801.12"/>
    <n v="0"/>
    <n v="0"/>
    <n v="0"/>
    <n v="0"/>
    <n v="0"/>
    <m/>
    <m/>
    <s v="Entregado"/>
    <n v="7221330950"/>
    <s v="ag1753777@gmail.com"/>
    <m/>
    <s v="COMPRAVENTA DE FLORES Y ADORNOS FLORALES NATURALES"/>
    <n v="6326020"/>
    <s v="LARA GARCIA JOSE"/>
    <s v="5575181437.0"/>
    <s v="ARELI ARELLANO PEÑALOZA"/>
    <s v="7226023715"/>
    <s v="MARIA DEL ROSARIO GONZALEZ VEGA"/>
    <s v="7221148633"/>
    <s v="LUIS ENRIQUE SANCHEZ QUINTERO"/>
    <s v="7228219071"/>
    <m/>
    <m/>
    <m/>
    <m/>
    <m/>
    <m/>
    <n v="22683.88"/>
    <n v="0"/>
    <n v="1"/>
    <s v="Individual sin Garantía"/>
    <s v="16 DE SEPTIEMBRE  #SN"/>
    <s v="Amanalco de Becerra"/>
    <s v="México"/>
    <s v="Amanalco"/>
    <m/>
    <s v="Ver en mapa"/>
    <m/>
    <m/>
    <n v="0"/>
    <n v="0"/>
    <s v="Transferencia electrónica"/>
    <s v="100137602"/>
    <n v="0"/>
    <n v="0"/>
    <n v="0"/>
  </r>
  <r>
    <s v="001551"/>
    <s v="Región Estado México"/>
    <x v="0"/>
    <s v="000029"/>
    <s v="Colin Garduño Estefani"/>
    <x v="5"/>
    <x v="5"/>
    <s v="01"/>
    <s v="MEJIA GARDUÑO ROBERTO"/>
    <d v="2025-07-18T00:00:00"/>
    <d v="2026-07-18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2.69"/>
    <d v="2025-12-18T00:00:00"/>
    <s v="Entregado"/>
    <n v="7223750697"/>
    <s v="mg576493@gmail.com"/>
    <m/>
    <s v="EMPLEADO PRIVADO"/>
    <n v="8944098"/>
    <s v="GARCIA MARTINEZ MARIA DE LOURDES"/>
    <s v="7223750697.0"/>
    <s v="LOURDES MARTINEZ GARCIA"/>
    <s v="7226554810"/>
    <s v="MARIA MARCELA GARDUÑO GARCIA"/>
    <s v="7226814650"/>
    <s v="YAZMIN REYES MARTINEZ"/>
    <s v="7226221266"/>
    <m/>
    <m/>
    <m/>
    <m/>
    <m/>
    <m/>
    <n v="11512.54"/>
    <n v="0.30118666666666699"/>
    <n v="1"/>
    <s v="Individual sin Garantía"/>
    <s v="AVENIDA JUAREZ  #SN"/>
    <s v="Valle de Bravo"/>
    <s v="México"/>
    <s v="Valle De Bravo"/>
    <s v="19°11'59.3&quot;N 100°07'55.7&quot;W"/>
    <s v="Ver en mapa"/>
    <m/>
    <m/>
    <n v="0"/>
    <n v="0"/>
    <s v="Transferencia electrónica"/>
    <s v="100155101"/>
    <n v="0"/>
    <n v="0"/>
    <n v="0"/>
  </r>
  <r>
    <s v="001480"/>
    <s v="Región Estado México"/>
    <x v="0"/>
    <s v="000040"/>
    <s v="Olayo Gaytan Luis Enrique"/>
    <x v="5"/>
    <x v="5"/>
    <s v="01"/>
    <s v="GONZALEZ GARCIA ANDREA"/>
    <d v="2025-07-18T00:00:00"/>
    <d v="2026-01-02T00:00:00"/>
    <n v="5000"/>
    <n v="5267.04"/>
    <n v="0"/>
    <x v="6"/>
    <n v="12"/>
    <s v="Catorcenal"/>
    <n v="673.4"/>
    <n v="696"/>
    <n v="0"/>
    <n v="12"/>
    <n v="1"/>
    <n v="438.93"/>
    <n v="673.41"/>
    <n v="438.93"/>
    <n v="176.48"/>
    <n v="58"/>
    <n v="0"/>
    <n v="673.4"/>
    <d v="2025-12-19T00:00:00"/>
    <s v="Entregado"/>
    <n v="7228502289"/>
    <s v="mizaellopez75@gmail.com"/>
    <m/>
    <s v="SALON DE BELLEZA"/>
    <n v="8933013"/>
    <s v="LOPEZ HUEQUIS MISAEL"/>
    <s v="7228502289.0"/>
    <s v="MIZAEL LOPEZ"/>
    <s v="7222514868"/>
    <s v="CONCEPCION GARCIA"/>
    <s v="7221198844"/>
    <s v="IRVIN LOPEZ"/>
    <s v="5660373048"/>
    <m/>
    <m/>
    <m/>
    <m/>
    <m/>
    <m/>
    <n v="673.41"/>
    <n v="0"/>
    <n v="1"/>
    <s v="Individual sin Garantía"/>
    <s v="CDA  BENITO JUAREZ #SN -SN"/>
    <s v="El Calvario"/>
    <s v="México"/>
    <s v="Valle De Bravo"/>
    <s v="https://www.google.com/maps/@1"/>
    <s v="Ver en mapa"/>
    <m/>
    <m/>
    <n v="1"/>
    <n v="1"/>
    <s v="Transferencia electrónica"/>
    <s v="100148001"/>
    <n v="0"/>
    <n v="0"/>
    <n v="1"/>
  </r>
  <r>
    <s v="001575"/>
    <s v="Región Estado México"/>
    <x v="3"/>
    <s v="000042"/>
    <s v="Avila Nieto Luis Alfredo"/>
    <x v="5"/>
    <x v="5"/>
    <s v="01"/>
    <s v="FERNANDEZ GUADARRAMA ANGEL ANDRES"/>
    <d v="2025-07-28T00:00:00"/>
    <d v="2026-02-01T00:00:00"/>
    <n v="10000"/>
    <n v="10534.08"/>
    <n v="0"/>
    <x v="6"/>
    <n v="6"/>
    <s v="Mensual"/>
    <n v="2603.64"/>
    <n v="348"/>
    <n v="0"/>
    <n v="0"/>
    <n v="1"/>
    <n v="3511.36"/>
    <n v="2596.574936"/>
    <n v="1755.68"/>
    <n v="789.96"/>
    <n v="50.93"/>
    <n v="0"/>
    <n v="2604"/>
    <d v="2025-12-01T00:00:00"/>
    <s v="Entregado"/>
    <n v="7225210497"/>
    <s v="andresfg966@gmail.com"/>
    <m/>
    <s v="FABRICACION DE OTROS ARTICULOS DE CARTON"/>
    <n v="2829010"/>
    <m/>
    <m/>
    <s v="MARIA AHYLIN FERNANDEZ GUADARRAMA"/>
    <s v="7218890468"/>
    <s v="MA DE LOS ANGELES GUADARRAMA MACEDO"/>
    <s v="7223403878"/>
    <s v="KAREN ABIGAIL FERNANDEZ GUADARRAMA"/>
    <s v="7225656410"/>
    <m/>
    <m/>
    <m/>
    <m/>
    <m/>
    <m/>
    <n v="5142.22"/>
    <n v="0"/>
    <n v="1"/>
    <s v="Individual sin Garantía"/>
    <s v="HIDALGO #DPTO 3-SN"/>
    <s v="Villa Guerrero"/>
    <s v="México"/>
    <s v="Villa Guerrero"/>
    <s v="18°57'44.4&quot;N 99°38'20.1&quot;W"/>
    <s v="Ver en mapa"/>
    <m/>
    <m/>
    <n v="1"/>
    <n v="1"/>
    <s v="Transferencia electrónica"/>
    <s v="100157501"/>
    <n v="0"/>
    <n v="0"/>
    <n v="0.50495212884707386"/>
  </r>
  <r>
    <s v="001621"/>
    <s v="Región Estado México"/>
    <x v="3"/>
    <s v="000041"/>
    <s v="Martinez Perez Juan Daniel"/>
    <x v="5"/>
    <x v="5"/>
    <s v="01"/>
    <s v="GALINDO GUARDIAN PEDRO"/>
    <d v="2025-07-29T00:00:00"/>
    <d v="2026-01-13T00:00:00"/>
    <n v="7000"/>
    <n v="7373.85"/>
    <n v="0"/>
    <x v="6"/>
    <n v="12"/>
    <s v="Catorcenal"/>
    <n v="919.56000000000006"/>
    <n v="696"/>
    <n v="0"/>
    <n v="11"/>
    <n v="0"/>
    <n v="614.49"/>
    <n v="0"/>
    <n v="0"/>
    <n v="0"/>
    <n v="0"/>
    <n v="0"/>
    <n v="920"/>
    <d v="2025-12-30T00:00:00"/>
    <s v="Entregado"/>
    <n v="7208120013"/>
    <s v="hernandezfelicitas807@gmail.com"/>
    <m/>
    <s v="CONSTRUCCION DE INMUEBLES"/>
    <n v="4111027"/>
    <s v="HERNANDEZ FLORES FELICITAS"/>
    <m/>
    <s v="JORGE BLANQUEL VASQUEZ"/>
    <s v="7206865754"/>
    <s v="MAGALI GALINDO HERNANDEZ"/>
    <s v="7296413122"/>
    <s v="ERIBERTO SEGURA"/>
    <s v="7226821725"/>
    <m/>
    <m/>
    <m/>
    <m/>
    <m/>
    <m/>
    <n v="858.55000000000007"/>
    <n v="3.0175000000000001"/>
    <n v="1"/>
    <s v="Individual sin Garantía"/>
    <s v="15 DE SEPTIEMBRE #SN"/>
    <s v="Pueblo Nuevo"/>
    <s v="México"/>
    <s v="Tenancingo"/>
    <s v="18°56'45.0&quot;N 99°34'58.1&quot;W"/>
    <s v="Ver en mapa"/>
    <m/>
    <m/>
    <n v="0"/>
    <n v="0"/>
    <s v="Transferencia electrónica"/>
    <s v="100162101"/>
    <n v="0"/>
    <n v="0"/>
    <n v="0"/>
  </r>
  <r>
    <s v="001238"/>
    <s v="Región Estado México"/>
    <x v="0"/>
    <s v="000037"/>
    <s v="CREDIFLEXI CREDIFLEXI CREDIFLEXI"/>
    <x v="5"/>
    <x v="5"/>
    <s v="01"/>
    <s v="LINO VIDAL ONOFRE"/>
    <d v="2025-04-10T00:00:00"/>
    <d v="2026-04-10T00:00:00"/>
    <n v="15000"/>
    <n v="15801.12"/>
    <n v="0"/>
    <x v="6"/>
    <n v="12"/>
    <s v="Mensual"/>
    <n v="2235.0700000000002"/>
    <n v="696"/>
    <n v="0"/>
    <n v="0"/>
    <n v="0"/>
    <n v="5267.04"/>
    <n v="0"/>
    <n v="0"/>
    <n v="0"/>
    <n v="0"/>
    <n v="0"/>
    <n v="2235.0700000000002"/>
    <d v="2025-12-10T00:00:00"/>
    <s v="Entregado"/>
    <n v="7223615618"/>
    <s v="linoonofre1030@gmail.com"/>
    <m/>
    <s v="FABRICACION DE MUEBLES DE MADERA"/>
    <n v="2711019"/>
    <s v="ALEJANDRO MARTINEZ ESTELA"/>
    <s v="5573851826.0"/>
    <s v="RAFAEL DE PAZ REYES"/>
    <s v="7226600640"/>
    <s v="CORNELIO LOPEZ CONTRERAS"/>
    <s v="7121463525"/>
    <s v="ARMANDO CARDOSO ZANCHEZ"/>
    <s v="7121463525"/>
    <s v="Garantía Prendaria"/>
    <s v="FACTURA EXPEDIDA POR AUTOS COMPACTOS DE ZITACUARO, S.A. DE C.V., Valor 32,217.00, Nombre TSURU GSI STD, Folio Factura 02671, Fecha Factura 10/03/2000, Número de serie 3N1EB31S0YK227035, Número de motor GA16797559R, Modelo 2000, Marca NISSAN , Propietario LINO VIDAL ONOFRE"/>
    <s v="TSURU GSI STD"/>
    <m/>
    <m/>
    <m/>
    <n v="8707.2900000000009"/>
    <n v="0.97"/>
    <n v="1"/>
    <s v="Individual sin Garantía"/>
    <s v="CARRET EL ARCO  #SN"/>
    <s v="El Arco"/>
    <s v="México"/>
    <s v="Valle De Bravo"/>
    <m/>
    <s v="Ver en mapa"/>
    <m/>
    <m/>
    <n v="3"/>
    <n v="2"/>
    <s v="Transferencia electrónica"/>
    <s v="100123801"/>
    <n v="0"/>
    <n v="0"/>
    <n v="0"/>
  </r>
  <r>
    <s v="001625"/>
    <s v="Región Estado México"/>
    <x v="0"/>
    <s v="000029"/>
    <s v="Colin Garduño Estefani"/>
    <x v="5"/>
    <x v="5"/>
    <s v="01"/>
    <s v="CORANGUEZ MENCHACA HILDA"/>
    <d v="2025-08-04T00:00:00"/>
    <d v="2026-08-04T00:00:00"/>
    <n v="20000"/>
    <n v="21068.16"/>
    <n v="0"/>
    <x v="6"/>
    <n v="12"/>
    <s v="Mensual"/>
    <n v="3347.38"/>
    <n v="696"/>
    <n v="0"/>
    <n v="0"/>
    <n v="0"/>
    <n v="14045.44"/>
    <n v="0"/>
    <n v="0"/>
    <n v="0"/>
    <n v="0"/>
    <n v="0"/>
    <n v="3350"/>
    <d v="2025-12-03T00:00:00"/>
    <s v="Entregado"/>
    <n v="7227910953"/>
    <s v="cuitlahuac_2008@hotmail.com"/>
    <m/>
    <s v="EMPLEADO DEL SECTOR PÚBLICO"/>
    <n v="9502007"/>
    <m/>
    <m/>
    <s v="GUSTAVO TINOCO ESTRADA"/>
    <s v="7221395058"/>
    <s v="ASHLEY TINOCO CORANGUEZ"/>
    <s v="7261173471"/>
    <s v="FELICITAS CORANGUEZ MENCHACA"/>
    <s v="7292850674"/>
    <m/>
    <m/>
    <m/>
    <m/>
    <m/>
    <m/>
    <n v="26309.84"/>
    <n v="5.23"/>
    <n v="1"/>
    <s v="Individual sin Garantía"/>
    <s v="AV FRAY GREGORIO JIMENEZ #161-SN"/>
    <s v="Valle de Bravo"/>
    <s v="México"/>
    <s v="Valle De Bravo"/>
    <s v="https://www.google.com/maps/pl"/>
    <s v="Ver en mapa"/>
    <m/>
    <m/>
    <n v="0"/>
    <n v="0"/>
    <s v="Transferencia electrónica"/>
    <s v="100162501"/>
    <n v="0"/>
    <n v="0"/>
    <n v="0"/>
  </r>
  <r>
    <s v="001277"/>
    <s v="Región Estado México"/>
    <x v="2"/>
    <s v="000037"/>
    <s v="CREDIFLEXI CREDIFLEXI CREDIFLEXI"/>
    <x v="5"/>
    <x v="5"/>
    <s v="01"/>
    <s v="FLORES CUANOS ALEJANDRO"/>
    <d v="2025-04-28T00:00:00"/>
    <d v="2026-04-28T00:00:00"/>
    <n v="10000"/>
    <n v="10534.08"/>
    <n v="0"/>
    <x v="6"/>
    <n v="12"/>
    <s v="Mensual"/>
    <n v="1702.69"/>
    <n v="696"/>
    <n v="0"/>
    <n v="0"/>
    <n v="0"/>
    <n v="3511.36"/>
    <n v="0"/>
    <n v="0"/>
    <n v="0"/>
    <n v="0"/>
    <n v="0"/>
    <n v="1702.69"/>
    <d v="2025-12-28T00:00:00"/>
    <s v="Entregado"/>
    <n v="4431747146"/>
    <s v="bkuanw04@hotmail.com"/>
    <m/>
    <s v="EMPLEADO DEL SECTOR PUBLICO"/>
    <n v="9800000"/>
    <s v="LOPEZ GARCIA CONCEPCION"/>
    <s v="4431747146.0"/>
    <s v="JOSE GONZALEZ"/>
    <s v="4472170440"/>
    <s v="JUAN HERNANDEZ ASENCION"/>
    <s v="4431991666"/>
    <s v="GUSTAVO REYES RAMIREZ"/>
    <s v="4471504053"/>
    <m/>
    <m/>
    <m/>
    <m/>
    <m/>
    <m/>
    <n v="6578.51"/>
    <n v="0.26"/>
    <n v="1"/>
    <s v="Individual sin Garantía"/>
    <s v="JACARANDAS #100-SN"/>
    <s v="Vista Hermosa"/>
    <s v="Michoacán"/>
    <s v="Maravatio"/>
    <m/>
    <s v="Ver en mapa"/>
    <m/>
    <m/>
    <n v="1"/>
    <n v="1"/>
    <s v="Transferencia electrónica"/>
    <s v="100127701"/>
    <n v="0"/>
    <n v="0"/>
    <n v="0"/>
  </r>
  <r>
    <s v="001582"/>
    <s v="Región Estado México"/>
    <x v="2"/>
    <s v="000053"/>
    <s v="Santos Gomez Mahogany"/>
    <x v="5"/>
    <x v="5"/>
    <s v="01"/>
    <s v="LOPEZ ORTEGA MIGUEL ANGEL"/>
    <d v="2025-07-25T00:00:00"/>
    <d v="2026-07-25T00:00:00"/>
    <n v="10000"/>
    <n v="10534.08"/>
    <n v="0"/>
    <x v="6"/>
    <n v="12"/>
    <s v="Mensual"/>
    <n v="1702.69"/>
    <n v="696"/>
    <n v="0"/>
    <n v="0"/>
    <n v="0"/>
    <n v="6146.6500000000005"/>
    <n v="1.77"/>
    <n v="1.77"/>
    <n v="0"/>
    <n v="0"/>
    <n v="0"/>
    <n v="1702"/>
    <d v="2025-12-26T00:00:00"/>
    <s v="Entregado"/>
    <n v="4437928856"/>
    <s v="miguelangellopez881@gmail.com"/>
    <m/>
    <s v="EMPLEADO DEL SECTOR PRIVADO"/>
    <n v="9501009"/>
    <s v="MONDRAGON CARRILLO GLORIA"/>
    <m/>
    <s v="LUCIA GARCIA ALANIS"/>
    <s v="4471513169"/>
    <s v="ALEJANDRA MARTINEZ"/>
    <s v="4471035445"/>
    <s v="CAMILO EDUARDO LOPEZ"/>
    <s v="441736466"/>
    <m/>
    <m/>
    <m/>
    <m/>
    <m/>
    <m/>
    <n v="11514.61"/>
    <n v="0"/>
    <n v="1"/>
    <s v="Individual sin Garantía"/>
    <s v="ZARAGOZA #4-B"/>
    <s v="Tziritzícuaro (Nativitas) cu"/>
    <s v="Michoacán"/>
    <s v="Maravatio"/>
    <s v="19°57'13.4&quot;N 100°27'56.3&quot;W"/>
    <s v="Ver en mapa"/>
    <m/>
    <m/>
    <n v="0"/>
    <n v="0"/>
    <s v="Transferencia electrónica"/>
    <s v="100158201"/>
    <n v="0"/>
    <n v="0"/>
    <n v="1.5371775509548301E-4"/>
  </r>
  <r>
    <s v="001343"/>
    <s v="Región Estado México"/>
    <x v="3"/>
    <s v="000042"/>
    <s v="Avila Nieto Luis Alfredo"/>
    <x v="5"/>
    <x v="5"/>
    <s v="01"/>
    <s v="VENANCIO SANCHEZ JUAN ALBERTO"/>
    <d v="2025-05-27T00:00:00"/>
    <d v="2026-05-27T00:00:00"/>
    <n v="20000"/>
    <n v="21068.16"/>
    <n v="0"/>
    <x v="6"/>
    <n v="12"/>
    <s v="Mensual"/>
    <n v="3347.38"/>
    <n v="696"/>
    <n v="0"/>
    <n v="0"/>
    <n v="0"/>
    <n v="8778.4"/>
    <n v="0"/>
    <n v="0"/>
    <n v="0"/>
    <n v="0"/>
    <n v="0"/>
    <n v="3348"/>
    <d v="2025-12-29T00:00:00"/>
    <s v="Entregado"/>
    <n v="7295179841"/>
    <s v="benjaminvenancio45@gmail.com"/>
    <m/>
    <s v="CONSTRUCCION DE INMUEBLES"/>
    <n v="4111027"/>
    <m/>
    <m/>
    <s v="VANESA AYALA CRUZ"/>
    <s v="7225957128"/>
    <s v="MARISOL AYALA CRUZ"/>
    <s v="7227964327"/>
    <s v="TEODORA TAPIA SANCHEZ"/>
    <s v="7225593677"/>
    <m/>
    <m/>
    <m/>
    <m/>
    <m/>
    <m/>
    <n v="16440.599999999999"/>
    <n v="6.32"/>
    <n v="1"/>
    <s v="Individual sin Garantía"/>
    <s v="MATAMOROS SN #SN"/>
    <s v="Zacango"/>
    <s v="México"/>
    <s v="Villa Guerrero"/>
    <m/>
    <s v="Ver en mapa"/>
    <m/>
    <m/>
    <n v="0"/>
    <n v="0"/>
    <s v="Transferencia electrónica"/>
    <s v="100134301"/>
    <n v="0"/>
    <n v="0"/>
    <n v="0"/>
  </r>
  <r>
    <s v="001350"/>
    <s v="Región Estado México"/>
    <x v="3"/>
    <s v="000041"/>
    <s v="Martinez Perez Juan Daniel"/>
    <x v="5"/>
    <x v="5"/>
    <s v="02"/>
    <s v="CRUZ GONZALEZ ROSA ISELA"/>
    <d v="2025-09-15T00:00:00"/>
    <d v="2026-03-02T00:00:00"/>
    <n v="10000"/>
    <n v="10534.08"/>
    <n v="0"/>
    <x v="6"/>
    <n v="12"/>
    <s v="Catorcenal"/>
    <n v="1288.8"/>
    <n v="696"/>
    <n v="0"/>
    <n v="7"/>
    <n v="0"/>
    <n v="4389.2"/>
    <n v="0"/>
    <n v="0"/>
    <n v="0"/>
    <n v="0"/>
    <n v="0"/>
    <n v="1289"/>
    <d v="2025-12-22T00:00:00"/>
    <s v="Entregado"/>
    <n v="7226794251"/>
    <s v="rosaiselacruzgonzalez5@gmail.com"/>
    <m/>
    <s v="EMPLEADO PRIVADO"/>
    <n v="8944098"/>
    <m/>
    <m/>
    <s v="MAYTE OSMIN HIDALGO CABRERA"/>
    <s v="7226923807"/>
    <s v="MARICARMEN HIDALGO"/>
    <s v="7141104726"/>
    <s v="OSVALDO CAMPOS MONDRAGON"/>
    <s v="7228281831"/>
    <m/>
    <m/>
    <m/>
    <m/>
    <m/>
    <m/>
    <n v="6152.62"/>
    <n v="1.39"/>
    <n v="1"/>
    <s v="Individual sin Garantía"/>
    <s v="CAM MALINALCO #SN"/>
    <s v="San Pedro Ejido Tecomatlán"/>
    <s v="México"/>
    <s v="Tenancingo"/>
    <m/>
    <s v="Ver en mapa"/>
    <m/>
    <m/>
    <n v="0"/>
    <n v="0"/>
    <s v="Transferencia electrónica"/>
    <s v="100135002"/>
    <n v="0"/>
    <n v="0"/>
    <n v="0"/>
  </r>
  <r>
    <s v="001319"/>
    <s v="Región Estado México"/>
    <x v="3"/>
    <s v="000082"/>
    <s v="ENRIQUEZ VILCHIS MARIA ALEJANDRA"/>
    <x v="5"/>
    <x v="5"/>
    <s v="02"/>
    <s v="FERNANDEZ GUADARRAMA YOSELIN ANDREA"/>
    <d v="2025-11-28T00:00:00"/>
    <d v="2026-06-01T00:00:00"/>
    <n v="12000"/>
    <n v="12640.89"/>
    <n v="0"/>
    <x v="6"/>
    <n v="6"/>
    <s v="Mensual"/>
    <n v="3097.64"/>
    <n v="348"/>
    <n v="0"/>
    <n v="0"/>
    <n v="1"/>
    <n v="12640.89"/>
    <n v="3097.645"/>
    <n v="2106.8200000000002"/>
    <n v="932.83"/>
    <n v="58"/>
    <n v="0"/>
    <m/>
    <m/>
    <s v="Entregado"/>
    <n v="7204315193"/>
    <s v="yoshandi1219@gmail.com"/>
    <m/>
    <s v="COMPRAVENTA DE ROPA"/>
    <n v="6211023"/>
    <s v="REYES VASQUEZ FELIPE DE JESUS"/>
    <m/>
    <s v="ARACELI GUADARRAMA"/>
    <s v="7224456103"/>
    <s v="DEYSI NOEMI RAYON"/>
    <s v="7223740062"/>
    <s v="LUIS JAVIER MATEOS"/>
    <s v="7226737186"/>
    <m/>
    <m/>
    <m/>
    <m/>
    <m/>
    <m/>
    <n v="18295.849999999999"/>
    <n v="0"/>
    <n v="1"/>
    <s v="Individual sin Garantía"/>
    <s v="BENITO JUAREZ  #SN"/>
    <s v="El Salitre"/>
    <s v="México"/>
    <s v="Tenancingo"/>
    <s v="18°57'02.1&quot;N 99°35'11.5&quot;W"/>
    <s v="Ver en mapa"/>
    <m/>
    <m/>
    <n v="1"/>
    <n v="1"/>
    <s v="Transferencia electrónica"/>
    <s v="100131902"/>
    <n v="0"/>
    <n v="0"/>
    <n v="0.16930861370201439"/>
  </r>
  <r>
    <s v="001307"/>
    <s v="Región Estado México"/>
    <x v="3"/>
    <s v="000037"/>
    <s v="CREDIFLEXI CREDIFLEXI CREDIFLEXI"/>
    <x v="5"/>
    <x v="5"/>
    <s v="02"/>
    <s v="FUENTES ESPINOZA MARISOL"/>
    <d v="2025-10-03T00:00:00"/>
    <d v="2026-03-20T00:00:00"/>
    <n v="12000"/>
    <n v="12640.89"/>
    <n v="0"/>
    <x v="6"/>
    <n v="12"/>
    <s v="Catorcenal"/>
    <n v="1534.96"/>
    <n v="696"/>
    <n v="0"/>
    <n v="6"/>
    <n v="0"/>
    <n v="6320.4400000000014"/>
    <n v="0"/>
    <n v="0"/>
    <n v="0"/>
    <n v="0"/>
    <n v="0"/>
    <n v="1535"/>
    <d v="2025-12-26T00:00:00"/>
    <s v="Entregado"/>
    <n v="7227913375"/>
    <s v="marisolespinoza885@hotmail.com"/>
    <m/>
    <s v="CULTIVO DE FLORES Y PLANTAS DE ORNATO"/>
    <n v="131011"/>
    <s v="REZA PUEBLA ALFREDO"/>
    <m/>
    <s v="DAVID FUENTES"/>
    <s v="7223555681"/>
    <s v="ANA MILLAN MILLAN"/>
    <s v="7226110715"/>
    <s v="LIZBETH ORTEGA"/>
    <s v="7224054288"/>
    <m/>
    <m/>
    <m/>
    <m/>
    <m/>
    <m/>
    <n v="8861.5400000000009"/>
    <n v="0.23499999999999999"/>
    <n v="1"/>
    <s v="Individual sin Garantía"/>
    <s v="RUMBO AL ARROYO #SN"/>
    <s v="Buenavista"/>
    <s v="México"/>
    <s v="Villa Guerrero"/>
    <m/>
    <s v="Ver en mapa"/>
    <m/>
    <m/>
    <n v="0"/>
    <n v="0"/>
    <s v="Transferencia electrónica"/>
    <s v="100130702"/>
    <n v="0"/>
    <n v="0"/>
    <n v="0"/>
  </r>
  <r>
    <s v="001557"/>
    <s v="Región Estado México"/>
    <x v="3"/>
    <s v="000042"/>
    <s v="Avila Nieto Luis Alfredo"/>
    <x v="3"/>
    <x v="3"/>
    <s v="01"/>
    <s v="MEJIA BUENO ROKY GERMAN"/>
    <d v="2025-08-04T00:00:00"/>
    <d v="2026-08-04T00:00:00"/>
    <n v="100000"/>
    <n v="105340.78"/>
    <n v="0"/>
    <x v="6"/>
    <n v="12"/>
    <s v="Mensual"/>
    <n v="16504.91"/>
    <n v="696"/>
    <n v="0"/>
    <n v="0"/>
    <n v="0"/>
    <n v="70227.19"/>
    <n v="0"/>
    <n v="0"/>
    <n v="0"/>
    <n v="0"/>
    <n v="0"/>
    <n v="17100"/>
    <d v="2025-12-16T00:00:00"/>
    <s v="Entregado"/>
    <n v="7226830718"/>
    <s v="rokymejia12@icloud.com"/>
    <m/>
    <s v="COMPRAVENTA DE CARNE DE RES Y OTRAS ESPECIES DE GANADO"/>
    <n v="6122014"/>
    <s v="GUADARRAMA RODRIGUEZ DEISY DENISSE"/>
    <m/>
    <s v="JESUS EDMUNDO SOTELO AVILEZ"/>
    <s v="7228047850"/>
    <s v="JUAN PABLO BAUTISTA CASTAÑEDA"/>
    <s v="7228478216"/>
    <s v="DANA IDITH RODRIGUEZ AVILEZ"/>
    <s v="7227957131"/>
    <s v="Garantía Prendaria"/>
    <s v="REFACTURA EXPEDIDA POR DISTRIBUCIÓN DE COMERCIO EXTERIOR ASIA MEXICO, S.A. DE C.V., , , Valor 165,000.00, Nombre VEHICULO  PICK UP TOYOTA TACOMA, Folio Factura No 21264, Fecha Factura 20/01/2011, Número de serie 5TENL42N63Z180330, Número de motor SIN NUMERO, Modelo 2003, Marca TOYOTA, Propietario MEJIA BUENO ROKY GERMAN"/>
    <s v="VEHICULO  PICK UP TOYOTA TACOMA"/>
    <m/>
    <m/>
    <m/>
    <n v="131529.97"/>
    <n v="45.346700000000013"/>
    <n v="2"/>
    <s v="Individual con Garantía Vehicular"/>
    <s v="16 DE SEPTIEMBRE #SN"/>
    <s v="Ixtapan de la Sal"/>
    <s v="México"/>
    <s v="Ixtapan De La Sal"/>
    <s v="18°50'42.1&quot;N 99°40'39.1&quot;W"/>
    <s v="Ver en mapa"/>
    <m/>
    <m/>
    <n v="4"/>
    <n v="4"/>
    <s v="Transferencia electrónica"/>
    <s v="100155701"/>
    <n v="0"/>
    <n v="0"/>
    <n v="0"/>
  </r>
  <r>
    <s v="004287"/>
    <s v="Región Estado México"/>
    <x v="3"/>
    <s v="000082"/>
    <s v="ENRIQUEZ VILCHIS MARIA ALEJANDRA"/>
    <x v="7"/>
    <x v="7"/>
    <s v="01"/>
    <s v="JACINTO CARMONA SANTOS"/>
    <d v="2025-11-18T00:00:00"/>
    <d v="2026-11-18T00:00:00"/>
    <n v="12000"/>
    <n v="12640.89"/>
    <n v="0"/>
    <x v="6"/>
    <n v="12"/>
    <s v="Mensual"/>
    <n v="2031.63"/>
    <n v="696"/>
    <n v="0"/>
    <n v="0"/>
    <n v="0"/>
    <n v="11587.48"/>
    <n v="0"/>
    <n v="0"/>
    <n v="0"/>
    <n v="0"/>
    <n v="0"/>
    <n v="2032"/>
    <d v="2025-12-18T00:00:00"/>
    <s v="Entregado"/>
    <n v="7222392673"/>
    <s v="santos_jacinto65@hotmail.com"/>
    <m/>
    <s v="CULTIVO DE FLORES Y PLANTAS DE ORNATO"/>
    <n v="131011"/>
    <m/>
    <m/>
    <s v="VIANEY JACINTO DIAZ"/>
    <s v="7228348356"/>
    <s v="JUANA DIAZ HERNANDEZ"/>
    <s v="7223516487"/>
    <s v="ANA LAURA SOLIS PEDROZA"/>
    <s v="7221312353"/>
    <m/>
    <m/>
    <m/>
    <m/>
    <m/>
    <m/>
    <n v="21709.55"/>
    <n v="0.3725"/>
    <n v="1"/>
    <s v="Individual sin Garantía"/>
    <s v="EJIDO SAN MATEO #SN"/>
    <s v="Villa Guerrero"/>
    <s v="México"/>
    <s v="Villa Guerrero"/>
    <s v="18°57'16.9&quot;N 99°38'36.4&quot;W"/>
    <s v="Ver en mapa"/>
    <m/>
    <m/>
    <n v="0"/>
    <n v="0"/>
    <s v="Transferencia electrónica"/>
    <s v="100428701"/>
    <n v="0"/>
    <n v="0"/>
    <n v="0"/>
  </r>
  <r>
    <s v="001680"/>
    <s v="Región Estado México"/>
    <x v="3"/>
    <s v="000042"/>
    <s v="Avila Nieto Luis Alfredo"/>
    <x v="5"/>
    <x v="5"/>
    <s v="01"/>
    <s v="TOLENTINO GUADARRAMA RICARDO"/>
    <d v="2025-08-05T00:00:00"/>
    <d v="2026-08-05T00:00:00"/>
    <n v="15000"/>
    <n v="15801.12"/>
    <n v="0"/>
    <x v="6"/>
    <n v="12"/>
    <s v="Mensual"/>
    <n v="2525.04"/>
    <n v="696"/>
    <n v="0"/>
    <n v="0"/>
    <n v="0"/>
    <n v="10534.08"/>
    <n v="0"/>
    <n v="0"/>
    <n v="0"/>
    <n v="0"/>
    <n v="0"/>
    <n v="2525.04"/>
    <d v="2025-12-05T00:00:00"/>
    <s v="Entregado"/>
    <n v="7223963932"/>
    <s v="ricardotolentino932@gmail.com"/>
    <m/>
    <s v="CULTIVO DE FLORES Y PLANTAS DE ORNATO"/>
    <n v="131011"/>
    <s v="FIZ SOLORZANO MARIA FERNANDA"/>
    <m/>
    <s v="ANA MARIA SANDOVAL TREVIÑO"/>
    <s v="7224094282"/>
    <s v="MARIA ZAMORA GUADARRAMA"/>
    <s v="7227963156"/>
    <s v="MARIA FIZ SOLORZANO"/>
    <s v="7298726548"/>
    <m/>
    <m/>
    <m/>
    <m/>
    <m/>
    <m/>
    <n v="19736.29"/>
    <n v="0.01"/>
    <n v="1"/>
    <s v="Individual sin Garantía"/>
    <s v="LIBERTAD NORTE #SN"/>
    <s v="San Mateo Coapexco"/>
    <s v="México"/>
    <s v="Villa Guerrero"/>
    <s v="18°58'17.6&quot;N 99°41'06.2&quot;W"/>
    <s v="Ver en mapa"/>
    <m/>
    <m/>
    <n v="0"/>
    <n v="0"/>
    <s v="Transferencia electrónica"/>
    <s v="100168001"/>
    <n v="0"/>
    <n v="0"/>
    <n v="0"/>
  </r>
  <r>
    <s v="001756"/>
    <s v="Región Estado México"/>
    <x v="3"/>
    <s v="000041"/>
    <s v="Martinez Perez Juan Daniel"/>
    <x v="5"/>
    <x v="5"/>
    <s v="01"/>
    <s v="CASTAÑEDA MENDOZA NORMA LORENA"/>
    <d v="2025-08-11T00:00:00"/>
    <d v="2026-08-11T00:00:00"/>
    <n v="30000"/>
    <n v="31602.23"/>
    <n v="0"/>
    <x v="6"/>
    <n v="12"/>
    <s v="Mensual"/>
    <n v="4992.07"/>
    <n v="696"/>
    <n v="0"/>
    <n v="0"/>
    <n v="0"/>
    <n v="21068.17"/>
    <n v="1.67E-2"/>
    <n v="0.02"/>
    <n v="0"/>
    <n v="0"/>
    <n v="0"/>
    <n v="4992.07"/>
    <d v="2025-12-11T00:00:00"/>
    <s v="Entregado"/>
    <n v="7225025161"/>
    <s v="normalore1502@gmail.com"/>
    <m/>
    <s v="COMPRAVENTA DE FLORES Y ADORNOS FLORALES NATURALES"/>
    <n v="6326020"/>
    <s v="HERNANDEZ FLORES GABRIEL"/>
    <m/>
    <s v="CARMEN ARELLANO ORTIZ"/>
    <s v="7226184702"/>
    <s v="IRIANA GUADALUPE LEGUIZAMO"/>
    <s v="7225113931"/>
    <s v="SUSANA DEL CARMEN VASQUEZ"/>
    <s v="7261738458"/>
    <m/>
    <m/>
    <m/>
    <m/>
    <m/>
    <m/>
    <n v="39472.6"/>
    <n v="0"/>
    <n v="1"/>
    <s v="Individual sin Garantía"/>
    <s v="ALLENDE  #117-SN"/>
    <s v="Acatzingo"/>
    <s v="México"/>
    <s v="Tenancingo"/>
    <s v="18°57'23.4&quot;N 99°35'41.6&quot;W"/>
    <s v="Ver en mapa"/>
    <m/>
    <m/>
    <n v="0"/>
    <n v="0"/>
    <s v="Transferencia electrónica"/>
    <s v="100175601"/>
    <n v="0"/>
    <n v="0"/>
    <n v="4.2307828721695561E-7"/>
  </r>
  <r>
    <s v="001055"/>
    <s v="Región Estado México"/>
    <x v="3"/>
    <s v="000042"/>
    <s v="Avila Nieto Luis Alfredo"/>
    <x v="5"/>
    <x v="5"/>
    <s v="02"/>
    <s v="HUERTAS ALARCON ROMAN"/>
    <d v="2025-06-09T00:00:00"/>
    <d v="2026-06-09T00:00:00"/>
    <n v="40000"/>
    <n v="42136.31"/>
    <n v="0"/>
    <x v="6"/>
    <n v="12"/>
    <s v="Mensual"/>
    <n v="6636.77"/>
    <n v="696"/>
    <n v="0"/>
    <n v="0"/>
    <n v="0"/>
    <n v="21068.15"/>
    <n v="0"/>
    <n v="0"/>
    <n v="0"/>
    <n v="0"/>
    <n v="0"/>
    <n v="6637"/>
    <d v="2025-12-09T00:00:00"/>
    <s v="Entregado"/>
    <n v="7221604238"/>
    <s v="romanhuertas520@gmail.com"/>
    <m/>
    <s v="CULTIVO DE MAIZ"/>
    <n v="111063"/>
    <s v="ARELLANO SANTOS LUZ MARIA"/>
    <m/>
    <s v="LUZ MARIA ARELLANO SANCHEZ"/>
    <s v="7226718927"/>
    <s v="VANESA HUERTAS ARELLANO"/>
    <s v="7131194517"/>
    <s v="MIGUEL GUERRERO GARCIA"/>
    <s v="7223953758"/>
    <m/>
    <m/>
    <m/>
    <m/>
    <m/>
    <m/>
    <n v="39471.19"/>
    <n v="1.4070638333333301"/>
    <n v="1"/>
    <s v="Individual sin Garantía"/>
    <s v=" ZARAGOZA #7-SN"/>
    <s v="San Miguel de Ocampo"/>
    <s v="México"/>
    <s v="Joquicingo"/>
    <s v="19°05'59.9&quot;N 99°31'45.3&quot;W"/>
    <s v="Ver en mapa"/>
    <m/>
    <m/>
    <n v="1"/>
    <n v="1"/>
    <s v="Transferencia electrónica"/>
    <s v="100105502"/>
    <n v="0"/>
    <n v="0"/>
    <n v="0"/>
  </r>
  <r>
    <s v="001301"/>
    <s v="Región Estado México"/>
    <x v="3"/>
    <s v="000082"/>
    <s v="ENRIQUEZ VILCHIS MARIA ALEJANDRA"/>
    <x v="3"/>
    <x v="3"/>
    <s v="02"/>
    <s v="FLORES SALDIVAR CLEMENTINA"/>
    <d v="2025-10-27T00:00:00"/>
    <d v="2026-04-13T00:00:00"/>
    <n v="12000"/>
    <n v="12640.89"/>
    <n v="0"/>
    <x v="6"/>
    <n v="12"/>
    <s v="Catorcenal"/>
    <n v="1534.96"/>
    <n v="696"/>
    <n v="0"/>
    <n v="4"/>
    <n v="0"/>
    <n v="8427.26"/>
    <n v="0"/>
    <n v="0"/>
    <n v="0"/>
    <n v="0"/>
    <n v="0"/>
    <n v="1534.96"/>
    <d v="2025-12-22T00:00:00"/>
    <s v="Entregado"/>
    <n v="7297604453"/>
    <s v="clementinasaldivar1@gmail.com"/>
    <m/>
    <s v="COMPRAVENTA DE OTRAS JOYAS"/>
    <n v="6225024"/>
    <s v="ANTONIO SANCHEZ JACOBO"/>
    <m/>
    <s v="TONANZI BARRIENTOS FLORES"/>
    <s v="7225689860"/>
    <s v="VIRIDIANA GUADARRAMA"/>
    <s v="7225453554"/>
    <s v="NOEMI RAMIREZ SANDOVAL"/>
    <s v="7228458054"/>
    <m/>
    <m/>
    <m/>
    <m/>
    <m/>
    <m/>
    <n v="11815.62"/>
    <n v="7.3649599999999996E-2"/>
    <n v="1"/>
    <s v="Individual sin Garantía"/>
    <s v="1 DE MAYO #SN"/>
    <s v="San José el Cuartel"/>
    <s v="México"/>
    <s v="Tenancingo"/>
    <m/>
    <s v="Ver en mapa"/>
    <m/>
    <m/>
    <n v="2"/>
    <n v="2"/>
    <s v="Transferencia electrónica"/>
    <s v="100130102"/>
    <n v="0"/>
    <n v="0"/>
    <n v="0"/>
  </r>
  <r>
    <s v="001281"/>
    <s v="Región Estado México"/>
    <x v="3"/>
    <s v="000037"/>
    <s v="CREDIFLEXI CREDIFLEXI CREDIFLEXI"/>
    <x v="5"/>
    <x v="5"/>
    <s v="02"/>
    <s v="ROMERO CASTRO VERONICA"/>
    <d v="2025-09-26T00:00:00"/>
    <d v="2026-03-13T00:00:00"/>
    <n v="10000"/>
    <n v="10534.08"/>
    <n v="0"/>
    <x v="6"/>
    <n v="12"/>
    <s v="Catorcenal"/>
    <n v="1288.8"/>
    <n v="696"/>
    <n v="0"/>
    <n v="7"/>
    <n v="1"/>
    <n v="5267.04"/>
    <n v="1241.6133503999999"/>
    <n v="877.84"/>
    <n v="352.96"/>
    <n v="10.81"/>
    <n v="0"/>
    <n v="1300"/>
    <d v="2025-12-19T00:00:00"/>
    <s v="Entregado"/>
    <n v="7221116623"/>
    <s v="jr4320376@gmail.com"/>
    <m/>
    <s v="EMPLEADO PRIVADO"/>
    <n v="8944098"/>
    <m/>
    <m/>
    <s v="LIZBETH DAVILA ESQUIVEL"/>
    <s v="7228090869"/>
    <s v="JORGE DANIEL FRANCO CASTRO"/>
    <s v="7226611440"/>
    <s v="ROSALVA REYES BECERRIL"/>
    <s v="7224127300"/>
    <m/>
    <m/>
    <m/>
    <m/>
    <m/>
    <m/>
    <n v="7395.62"/>
    <n v="0"/>
    <n v="1"/>
    <s v="Individual sin Garantía"/>
    <s v="INDEPENDENCIA #SN"/>
    <s v="San José Tenería"/>
    <s v="México"/>
    <s v="Tenancingo"/>
    <m/>
    <s v="Ver en mapa"/>
    <m/>
    <m/>
    <n v="1"/>
    <n v="1"/>
    <s v="Transferencia electrónica"/>
    <s v="100128102"/>
    <n v="0"/>
    <n v="0"/>
    <n v="0.16788495763708791"/>
  </r>
  <r>
    <s v="001311"/>
    <s v="Región Estado México"/>
    <x v="3"/>
    <s v="000050"/>
    <s v="Camacho Gonzalez Jorge"/>
    <x v="3"/>
    <x v="3"/>
    <s v="02"/>
    <s v="MILLAN MILLAN GIOVANNI"/>
    <d v="2025-10-23T00:00:00"/>
    <d v="2026-10-23T00:00:00"/>
    <n v="25000"/>
    <n v="26335.19"/>
    <n v="0"/>
    <x v="6"/>
    <n v="12"/>
    <s v="Mensual"/>
    <n v="4169.7299999999996"/>
    <n v="696"/>
    <n v="0"/>
    <n v="0"/>
    <n v="0"/>
    <n v="21945.99"/>
    <n v="0"/>
    <n v="0"/>
    <n v="0"/>
    <n v="0"/>
    <n v="0"/>
    <n v="4170"/>
    <d v="2025-12-23T00:00:00"/>
    <s v="Entregado"/>
    <n v="7225459451"/>
    <s v="citlallimillan23@gmail.com"/>
    <m/>
    <s v="CULTIVO DE FLORES Y PLANTAS DE ORNATO"/>
    <n v="131011"/>
    <m/>
    <m/>
    <s v="ANASTACIO MILLAN"/>
    <s v="7297312371"/>
    <s v="CIRILO JIMENEZ MILLAN"/>
    <s v="7226645108"/>
    <s v="JANETH VAZQUEZ FLORES"/>
    <s v="7296621526"/>
    <m/>
    <m/>
    <m/>
    <m/>
    <m/>
    <m/>
    <n v="41086.730000000003"/>
    <n v="30.544309277777771"/>
    <n v="1"/>
    <s v="Individual sin Garantía"/>
    <s v="CUAHUTEMOC #SN"/>
    <s v="San Martín Coapaxtongo"/>
    <s v="México"/>
    <s v="Tenancingo"/>
    <m/>
    <s v="Ver en mapa"/>
    <m/>
    <m/>
    <n v="1"/>
    <n v="1"/>
    <s v="Transferencia electrónica"/>
    <s v="100131102"/>
    <n v="0"/>
    <n v="0"/>
    <n v="0"/>
  </r>
  <r>
    <s v="002226"/>
    <s v="Región Estado México"/>
    <x v="3"/>
    <s v="000057"/>
    <s v="Camacho Frias Oscar Antonio"/>
    <x v="5"/>
    <x v="5"/>
    <s v="01"/>
    <s v="GUADARRAMA ACACIO ALONDRA"/>
    <d v="2025-09-04T00:00:00"/>
    <d v="2026-03-04T00:00:00"/>
    <n v="5000"/>
    <n v="5267.04"/>
    <n v="0"/>
    <x v="6"/>
    <n v="6"/>
    <s v="Mensual"/>
    <n v="1316.11"/>
    <n v="348"/>
    <n v="0"/>
    <n v="0"/>
    <n v="0"/>
    <n v="2633.64"/>
    <n v="0.12330720000000001"/>
    <n v="0.12"/>
    <n v="0"/>
    <n v="0"/>
    <n v="0"/>
    <n v="1316"/>
    <d v="2025-12-04T00:00:00"/>
    <s v="Entregado"/>
    <n v="7298055134"/>
    <s v="alonacacio@gmail.com"/>
    <m/>
    <s v="COMPRAVENTA DE ROPA"/>
    <n v="6211023"/>
    <m/>
    <m/>
    <s v="YEIMI MARIELA MORALES"/>
    <s v="7225575293"/>
    <s v="TERESA DE JESUS ESTRADA"/>
    <s v="7225036476"/>
    <s v="MARIA EUGENIA GUADARRAMA"/>
    <s v="7228603189"/>
    <m/>
    <m/>
    <m/>
    <m/>
    <m/>
    <m/>
    <n v="3774.47"/>
    <n v="0"/>
    <n v="1"/>
    <s v="Individual sin Garantía"/>
    <s v="PRL IGNACIO LOPEZ RAYON #3-SN"/>
    <s v="Villa Guerrero"/>
    <s v="México"/>
    <s v="Villa Guerrero"/>
    <s v="18°57'33.3&quot;N 99°38'20.9&quot;W"/>
    <s v="Ver en mapa"/>
    <m/>
    <m/>
    <n v="0"/>
    <n v="0"/>
    <s v="Transferencia electrónica"/>
    <s v="100222601"/>
    <n v="0"/>
    <n v="0"/>
    <n v="3.2668745545732253E-5"/>
  </r>
  <r>
    <s v="001747"/>
    <s v="Región Estado México"/>
    <x v="3"/>
    <s v="000042"/>
    <s v="Avila Nieto Luis Alfredo"/>
    <x v="3"/>
    <x v="3"/>
    <s v="01"/>
    <s v="ESTRADA GUADARRAMA ADAN"/>
    <d v="2025-08-14T00:00:00"/>
    <d v="2026-08-14T00:00:00"/>
    <n v="20000"/>
    <n v="21068.16"/>
    <n v="0"/>
    <x v="6"/>
    <n v="12"/>
    <s v="Mensual"/>
    <n v="3347.38"/>
    <n v="696"/>
    <n v="57.53"/>
    <n v="0"/>
    <n v="0"/>
    <n v="14045.44"/>
    <n v="0"/>
    <n v="0"/>
    <n v="0"/>
    <n v="0"/>
    <n v="57.53"/>
    <n v="40"/>
    <d v="2025-12-19T00:00:00"/>
    <s v="Entregado"/>
    <n v="7226031899"/>
    <s v="estradaguadarramaadan@gmail.com"/>
    <m/>
    <s v="CULTIVO DE FLORES Y PLANTAS DE ORNATO"/>
    <n v="131011"/>
    <s v="AYALA LUGO MARIBEL"/>
    <m/>
    <s v="JOSUE ESTRADA AYALA"/>
    <s v="7225740332"/>
    <s v="ADAN JESUS ESTRADA AYALA"/>
    <s v="7226422996"/>
    <s v="MARIA YURITZI ESTRADA AYALA"/>
    <s v="27292944394"/>
    <m/>
    <m/>
    <m/>
    <m/>
    <m/>
    <m/>
    <n v="26314.6"/>
    <n v="0.47"/>
    <n v="1"/>
    <s v="Individual sin Garantía"/>
    <s v="EL MANANTIAL #SN"/>
    <s v="Jesús Carranza"/>
    <s v="México"/>
    <s v="Villa Guerrero"/>
    <s v="18°56'45.7&quot;N 99°37'43.5&quot;W"/>
    <s v="Ver en mapa"/>
    <m/>
    <m/>
    <n v="4"/>
    <n v="4"/>
    <s v="Transferencia electrónica"/>
    <s v="100174701"/>
    <n v="0"/>
    <n v="0"/>
    <n v="0"/>
  </r>
  <r>
    <s v="001510"/>
    <s v="Región Estado México"/>
    <x v="3"/>
    <s v="000042"/>
    <s v="Avila Nieto Luis Alfredo"/>
    <x v="5"/>
    <x v="5"/>
    <s v="01"/>
    <s v="SOTELO ESTRADA MA CONCEPCION"/>
    <d v="2025-07-11T00:00:00"/>
    <d v="2026-07-11T00:00:00"/>
    <n v="15000"/>
    <n v="15801.12"/>
    <n v="0"/>
    <x v="6"/>
    <n v="12"/>
    <s v="Mensual"/>
    <n v="2525.04"/>
    <n v="696"/>
    <n v="0"/>
    <n v="0"/>
    <n v="0"/>
    <n v="9217.32"/>
    <n v="0"/>
    <n v="0"/>
    <n v="0"/>
    <n v="0"/>
    <n v="0"/>
    <n v="3120"/>
    <d v="2025-12-17T00:00:00"/>
    <s v="Entregado"/>
    <n v="7221757286"/>
    <s v="conchitaestrada402@gmail.com"/>
    <m/>
    <s v="RESTAURANTE"/>
    <n v="8711021"/>
    <m/>
    <m/>
    <s v="LUIS ALEJANDRO SOTELO ESTRADA"/>
    <s v="7224095163"/>
    <s v="ANCELMO ALCALA MILLAN"/>
    <s v="7221028250"/>
    <s v="MARIA TERESA GUADARRAMA ESTRADA"/>
    <s v="7224441862"/>
    <m/>
    <m/>
    <m/>
    <m/>
    <m/>
    <m/>
    <n v="17247.41"/>
    <n v="21.851780000000002"/>
    <n v="1"/>
    <s v="Individual sin Garantía"/>
    <s v="HEROES DEL 14 #1-SN"/>
    <s v="Villa Guerrero"/>
    <s v="México"/>
    <s v="Villa Guerrero"/>
    <s v="18°57'37.2&quot;N 99°38'30.7&quot;W"/>
    <s v="Ver en mapa"/>
    <m/>
    <m/>
    <n v="4"/>
    <n v="4"/>
    <s v="Transferencia electrónica"/>
    <s v="100151001"/>
    <n v="0"/>
    <n v="0"/>
    <n v="0"/>
  </r>
  <r>
    <s v="001511"/>
    <s v="Región Estado México"/>
    <x v="3"/>
    <s v="000042"/>
    <s v="Avila Nieto Luis Alfredo"/>
    <x v="5"/>
    <x v="5"/>
    <s v="01"/>
    <s v="VEA ZAVALA ARACELI"/>
    <d v="2025-07-11T00:00:00"/>
    <d v="2026-07-11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6"/>
    <d v="2025-12-11T00:00:00"/>
    <s v="Entregado"/>
    <n v="6671806345"/>
    <s v="aracelyvea413@gmail.com"/>
    <m/>
    <s v="RESTAURANTE"/>
    <n v="8711021"/>
    <m/>
    <m/>
    <s v="IRIS CAROLINA MARTINEZ SUAREZ"/>
    <s v="7411387321"/>
    <s v="JANETH VALERY VELAZCO CARRAZCO"/>
    <s v="5564888856"/>
    <s v="CLAUDIA ANDRADE RIVERA"/>
    <s v="5610063308"/>
    <m/>
    <m/>
    <m/>
    <m/>
    <m/>
    <m/>
    <n v="11508.3"/>
    <n v="4.5411866666666691"/>
    <n v="1"/>
    <s v="Individual sin Garantía"/>
    <s v="BENITO JUAREZ #1-SN"/>
    <s v="Santa María Aranzazú (Santa María)"/>
    <s v="México"/>
    <s v="Villa Guerrero"/>
    <s v="19°00'32.7&quot;N 99°39'06.7&quot;W"/>
    <s v="Ver en mapa"/>
    <m/>
    <m/>
    <n v="3"/>
    <n v="3"/>
    <s v="Transferencia electrónica"/>
    <s v="100151101"/>
    <n v="0"/>
    <n v="0"/>
    <n v="0"/>
  </r>
  <r>
    <s v="001649"/>
    <s v="Región Estado México"/>
    <x v="3"/>
    <s v="000041"/>
    <s v="Martinez Perez Juan Daniel"/>
    <x v="5"/>
    <x v="5"/>
    <s v="01"/>
    <s v="QUIÑONES MEJIA JUAN ANTONIO"/>
    <d v="2025-08-04T00:00:00"/>
    <d v="2026-02-04T00:00:00"/>
    <n v="5000"/>
    <n v="5267.04"/>
    <n v="0"/>
    <x v="6"/>
    <n v="6"/>
    <s v="Mensual"/>
    <n v="1322.42"/>
    <n v="348"/>
    <n v="0"/>
    <n v="0"/>
    <n v="0"/>
    <n v="1755.68"/>
    <n v="0"/>
    <n v="0"/>
    <n v="0"/>
    <n v="0"/>
    <n v="0"/>
    <n v="1322.42"/>
    <d v="2025-12-04T00:00:00"/>
    <s v="Entregado"/>
    <n v="7218891374"/>
    <s v="blanquito@outlook.com"/>
    <m/>
    <s v="SERVICIOS DE ENSEÑANZA DE MUSICA DANZA Y OTRAS ARTES CULTURA FISICA MANEJO DE VEHICULOS Y OTROS ESPECIALIZADOS"/>
    <n v="9129017"/>
    <s v="DOMINGUEZ SERRANO ANGELICA"/>
    <m/>
    <s v="VANCO QUIÑONES MEJIA"/>
    <s v="7228804276"/>
    <s v="ODETH SEGURA GALLEGOS"/>
    <s v="7223751475"/>
    <s v="ONDINA SEGURA GALLEGOS"/>
    <s v="7222848358"/>
    <m/>
    <m/>
    <m/>
    <m/>
    <m/>
    <m/>
    <n v="2528.8200000000002"/>
    <n v="1.0692266666667E-2"/>
    <n v="1"/>
    <s v="Individual sin Garantía"/>
    <s v="CJON DEL MUERTO #SN"/>
    <s v="Del Calvario"/>
    <s v="México"/>
    <s v="Tenancingo"/>
    <s v="18°57'57.5&quot;N 99°35'41.4&quot;W"/>
    <s v="Ver en mapa"/>
    <m/>
    <m/>
    <n v="0"/>
    <n v="0"/>
    <s v="Transferencia electrónica"/>
    <s v="100164901"/>
    <n v="0"/>
    <n v="0"/>
    <n v="0"/>
  </r>
  <r>
    <s v="001445"/>
    <s v="Región Estado México"/>
    <x v="3"/>
    <s v="000057"/>
    <s v="Camacho Frias Oscar Antonio"/>
    <x v="5"/>
    <x v="5"/>
    <s v="02"/>
    <s v="CARMONA LOPEZ GUADALUPE BEATRIZ"/>
    <d v="2025-11-11T00:00:00"/>
    <d v="2026-05-11T00:00:00"/>
    <n v="20000"/>
    <n v="21068.16"/>
    <n v="0"/>
    <x v="6"/>
    <n v="6"/>
    <s v="Mensual"/>
    <n v="5090.46"/>
    <n v="348"/>
    <n v="0"/>
    <n v="0"/>
    <n v="0"/>
    <n v="17556.8"/>
    <n v="0"/>
    <n v="0"/>
    <n v="0"/>
    <n v="0"/>
    <n v="0"/>
    <n v="5091"/>
    <d v="2025-12-08T00:00:00"/>
    <s v="Entregado"/>
    <n v="7224083842"/>
    <s v="lopecabe@gmail.com"/>
    <m/>
    <s v="COMPRAVENTA DE ARTICULOS REGIONALES CURIOSIDADES Y ARTESANIAS"/>
    <n v="6325048"/>
    <m/>
    <m/>
    <s v="SOFIA CARMONA"/>
    <s v="7223730234"/>
    <s v="ESTEBAN CARMONA"/>
    <s v="7293827075"/>
    <s v="JUNIOR ESTEBAN"/>
    <s v="7297775671"/>
    <m/>
    <m/>
    <m/>
    <m/>
    <m/>
    <m/>
    <n v="25161.75"/>
    <n v="0.54225706666666695"/>
    <n v="1"/>
    <s v="Individual sin Garantía"/>
    <s v="MORELOS  #109"/>
    <s v="Chalma"/>
    <s v="México"/>
    <s v="Malinalco"/>
    <s v="18°55'49.4&quot;N 99°26'07.3&quot;W"/>
    <s v="Ver en mapa"/>
    <m/>
    <m/>
    <n v="0"/>
    <n v="0"/>
    <s v="Transferencia electrónica"/>
    <s v="100144502"/>
    <n v="0"/>
    <n v="0"/>
    <n v="0"/>
  </r>
  <r>
    <s v="001759"/>
    <s v="Región Estado México"/>
    <x v="3"/>
    <s v="000042"/>
    <s v="Avila Nieto Luis Alfredo"/>
    <x v="5"/>
    <x v="5"/>
    <s v="01"/>
    <s v="ARIAS GUADARRAMA SUSANA"/>
    <d v="2025-08-20T00:00:00"/>
    <d v="2026-02-20T00:00:00"/>
    <n v="8000"/>
    <n v="8427.26"/>
    <n v="0"/>
    <x v="6"/>
    <n v="6"/>
    <s v="Mensual"/>
    <n v="2081.0700000000002"/>
    <n v="348"/>
    <n v="0"/>
    <n v="0"/>
    <n v="0"/>
    <n v="2809.14"/>
    <n v="5.7051377777778002E-2"/>
    <n v="0.05"/>
    <n v="0"/>
    <n v="0"/>
    <n v="0"/>
    <n v="2081"/>
    <d v="2025-12-22T00:00:00"/>
    <s v="Entregado"/>
    <n v="7224273323"/>
    <s v="susanaarias1212@gmail.com"/>
    <m/>
    <s v="NEGOCIOS RELACIONADOS CON INTERNET (U.I.F)"/>
    <n v="9504003"/>
    <s v="MANCILLA ESTRADA DAVID"/>
    <m/>
    <s v="DAVID MANCILLA ESTRADA"/>
    <s v="7294023533"/>
    <s v="DAVID NOE MANCILLA ARIAS"/>
    <s v="7294023412"/>
    <s v="ANDRES DE JESUS MANCILLA ARIAS"/>
    <s v="7228650495"/>
    <m/>
    <m/>
    <m/>
    <m/>
    <m/>
    <m/>
    <n v="4046.19"/>
    <n v="0"/>
    <n v="1"/>
    <s v="Individual sin Garantía"/>
    <s v="SAN LUCAS #SN"/>
    <s v="El Islote"/>
    <s v="México"/>
    <s v="Villa Guerrero"/>
    <s v="18°58'28.3&quot;N 99°39'29.6&quot;W"/>
    <s v="Ver en mapa"/>
    <m/>
    <m/>
    <n v="0"/>
    <n v="0"/>
    <s v="Transferencia electrónica"/>
    <s v="100175901"/>
    <n v="0"/>
    <n v="0"/>
    <n v="1.410002441254069E-5"/>
  </r>
  <r>
    <s v="001320"/>
    <s v="Región Estado México"/>
    <x v="3"/>
    <s v="000082"/>
    <s v="ENRIQUEZ VILCHIS MARIA ALEJANDRA"/>
    <x v="5"/>
    <x v="5"/>
    <s v="02"/>
    <s v="PEREZ RODRIGUEZ BELLA NEY"/>
    <d v="2025-11-04T00:00:00"/>
    <d v="2026-04-21T00:00:00"/>
    <n v="12000"/>
    <n v="12640.89"/>
    <n v="0"/>
    <x v="6"/>
    <n v="12"/>
    <s v="Catorcenal"/>
    <n v="1534.96"/>
    <n v="696"/>
    <n v="0"/>
    <n v="4"/>
    <n v="0"/>
    <n v="7373.85"/>
    <n v="0"/>
    <n v="0"/>
    <n v="0"/>
    <n v="0"/>
    <n v="0"/>
    <n v="3070"/>
    <d v="2025-12-30T00:00:00"/>
    <s v="Entregado"/>
    <n v="7291251949"/>
    <s v="bp8404794@gmail.com"/>
    <m/>
    <s v="EMPLEADO PRIVADO"/>
    <n v="8944098"/>
    <m/>
    <m/>
    <s v="BLANCA JIMENEZ"/>
    <s v="7297287117"/>
    <s v="ROSA ISELA COSME"/>
    <s v="7227860138"/>
    <s v="SERGIO ORIHUELA"/>
    <s v="7204330413"/>
    <m/>
    <m/>
    <m/>
    <m/>
    <m/>
    <m/>
    <n v="10265.540000000001"/>
    <n v="1550.1536496000001"/>
    <n v="1"/>
    <s v="Individual sin Garantía"/>
    <s v="CARRETERA MALINALCO-CHALMA #SN"/>
    <s v="Santa María"/>
    <s v="México"/>
    <s v="Malinalco"/>
    <m/>
    <s v="Ver en mapa"/>
    <m/>
    <m/>
    <n v="0"/>
    <n v="0"/>
    <s v="Transferencia electrónica"/>
    <s v="100132002"/>
    <n v="0"/>
    <n v="0"/>
    <n v="0"/>
  </r>
  <r>
    <s v="001173"/>
    <s v="Región Estado México"/>
    <x v="2"/>
    <s v="000017"/>
    <s v="Maya Luna Norma"/>
    <x v="5"/>
    <x v="5"/>
    <s v="01"/>
    <s v="PEREZ FRANCO JORGE DAVID"/>
    <d v="2025-01-27T00:00:00"/>
    <d v="2027-01-27T00:00:00"/>
    <n v="200000"/>
    <n v="210681.55"/>
    <n v="0"/>
    <x v="6"/>
    <n v="24"/>
    <s v="Mensual"/>
    <n v="21935.21"/>
    <n v="1392"/>
    <n v="0"/>
    <n v="0"/>
    <n v="0"/>
    <n v="162921.96"/>
    <n v="0"/>
    <n v="0"/>
    <n v="0"/>
    <n v="0"/>
    <n v="0"/>
    <n v="21936"/>
    <d v="2025-12-29T00:00:00"/>
    <s v="Entregado"/>
    <n v="4471036280"/>
    <s v="Cachorrin-jd@hotmailcom"/>
    <m/>
    <s v="FABRICACION DE BOLSAS Y CARTERAS DE CUERO"/>
    <n v="2529074"/>
    <m/>
    <m/>
    <s v="BERTIN LOPEZ CRUZ"/>
    <s v="4434407646"/>
    <s v="CARLOS REYES"/>
    <s v="7121074969"/>
    <s v="CAROLINA VARGAS RIOS"/>
    <s v="4471117243"/>
    <s v="Garantía Prendaria"/>
    <s v="FACTURA EXPEDIDA POR RAVISA MOTORS, S.A. DE C.V., Valor 205,036.00, Nombre PICK UP LOBO LTR 4X2, Folio Factura A25249, Fecha Factura 29/08/2010, Número de serie 1FTFW1CV3AKB13968, Número de motor SIN NUMERO, Modelo 2010, Marca FORD, Propietario PEREZ FRANCO JORGE DAVID"/>
    <s v="PICK UP LOBO LTR 4X2"/>
    <m/>
    <m/>
    <m/>
    <n v="162915.65"/>
    <n v="6.3100000000000014"/>
    <n v="4"/>
    <s v="Individual mensual con garantia nivel I Tprem"/>
    <s v="LEONA VICARIO  #1341-SN"/>
    <s v="INFONAVIT"/>
    <s v="Michoacán"/>
    <s v="Maravatio"/>
    <m/>
    <s v="Ver en mapa"/>
    <m/>
    <m/>
    <n v="0"/>
    <n v="0"/>
    <s v="Transferencia electrónica"/>
    <s v="100117301"/>
    <n v="0"/>
    <n v="0"/>
    <n v="0"/>
  </r>
  <r>
    <s v="001314"/>
    <s v="Región Estado México"/>
    <x v="2"/>
    <s v="000037"/>
    <s v="CREDIFLEXI CREDIFLEXI CREDIFLEXI"/>
    <x v="5"/>
    <x v="5"/>
    <s v="01"/>
    <s v="CRUZ DURAN LORENA"/>
    <d v="2025-05-14T00:00:00"/>
    <d v="2026-05-16T00:00:00"/>
    <n v="10000"/>
    <n v="10534.08"/>
    <n v="0"/>
    <x v="6"/>
    <n v="12"/>
    <s v="Mensual"/>
    <n v="1702.69"/>
    <n v="696"/>
    <n v="0"/>
    <n v="0"/>
    <n v="0"/>
    <n v="4389.46"/>
    <n v="0.262338666666667"/>
    <n v="0.26"/>
    <n v="0"/>
    <n v="0"/>
    <n v="0"/>
    <n v="1702.62"/>
    <d v="2025-12-16T00:00:00"/>
    <s v="Entregado"/>
    <n v="4432133914"/>
    <s v="cruzduranlorena1@gmail.com"/>
    <m/>
    <s v="COMPRAVENTA DE DESPERDICIOS DE PAPEL"/>
    <n v="6693015"/>
    <m/>
    <m/>
    <s v="JOSE MAURICIO BASILIO"/>
    <s v="4471505097"/>
    <s v="VERONICA HEREDIA RAMIREZ"/>
    <s v="4438933759"/>
    <s v="ALEJANDRO GARCIA GONZALEZ"/>
    <s v="5639585152"/>
    <m/>
    <m/>
    <m/>
    <m/>
    <m/>
    <m/>
    <n v="8223.7199999999993"/>
    <n v="0"/>
    <n v="1"/>
    <s v="Individual sin Garantía"/>
    <s v="LLUVIA #SN"/>
    <s v="Zinapécuaro de Figueroa Centro"/>
    <s v="Michoacán"/>
    <s v="Zinapecuaro"/>
    <m/>
    <s v="Ver en mapa"/>
    <m/>
    <m/>
    <n v="0"/>
    <n v="0"/>
    <s v="Transferencia electrónica"/>
    <s v="100131401"/>
    <n v="0"/>
    <n v="0"/>
    <n v="3.190024303680901E-5"/>
  </r>
  <r>
    <s v="001359"/>
    <s v="Región Estado México"/>
    <x v="1"/>
    <s v="000082"/>
    <s v="ENRIQUEZ VILCHIS MARIA ALEJANDRA"/>
    <x v="5"/>
    <x v="5"/>
    <s v="02"/>
    <s v="MIRANDA MEJIA MARICELA"/>
    <d v="2025-11-25T00:00:00"/>
    <d v="2026-11-25T00:00:00"/>
    <n v="10000"/>
    <n v="10534.08"/>
    <n v="0"/>
    <x v="6"/>
    <n v="12"/>
    <s v="Mensual"/>
    <n v="1702.69"/>
    <n v="696"/>
    <n v="0"/>
    <n v="0"/>
    <n v="0"/>
    <n v="9656.24"/>
    <n v="0"/>
    <n v="0"/>
    <n v="0"/>
    <n v="0"/>
    <n v="0"/>
    <n v="1703"/>
    <d v="2025-12-26T00:00:00"/>
    <s v="Entregado"/>
    <n v="7291158321"/>
    <s v="enjambre121194@gmail.com"/>
    <m/>
    <s v="COMPRAVENTA DE PAPELERIA Y ARTICULOS DE ESCRITORIO"/>
    <n v="6233019"/>
    <m/>
    <m/>
    <s v="SALBA SEBASTIAN"/>
    <s v="7224938662"/>
    <s v="LETICIA HUERTA"/>
    <s v="7223472593"/>
    <s v="FABIOLA GARCIA"/>
    <s v="7223193970"/>
    <m/>
    <m/>
    <m/>
    <m/>
    <m/>
    <m/>
    <n v="18091.3"/>
    <n v="0.31"/>
    <n v="1"/>
    <s v="Individual sin Garantía"/>
    <s v="PROL MIGUEL HIDALGO #104-SN"/>
    <s v="Campesina"/>
    <s v="México"/>
    <s v="Tenango Del Valle"/>
    <m/>
    <s v="Ver en mapa"/>
    <m/>
    <m/>
    <n v="0"/>
    <n v="0"/>
    <s v="Transferencia electrónica"/>
    <s v="100135902"/>
    <n v="0"/>
    <n v="0"/>
    <n v="0"/>
  </r>
  <r>
    <s v="003040"/>
    <s v="Región Estado México"/>
    <x v="1"/>
    <s v="000037"/>
    <s v="CREDIFLEXI CREDIFLEXI CREDIFLEXI"/>
    <x v="5"/>
    <x v="5"/>
    <s v="02"/>
    <s v="LEONARDO CASTAÑON MAXIMILIANO"/>
    <d v="2025-12-16T00:00:00"/>
    <d v="2026-01-16T00:00:00"/>
    <n v="127522.5"/>
    <m/>
    <n v="0"/>
    <x v="6"/>
    <n v="1"/>
    <s v="Mensual"/>
    <n v="134083.64000000001"/>
    <n v="185"/>
    <n v="0"/>
    <n v="0"/>
    <n v="0"/>
    <n v="127522.5"/>
    <n v="0"/>
    <n v="0"/>
    <n v="0"/>
    <n v="0"/>
    <n v="0"/>
    <m/>
    <m/>
    <s v="Autorizado por tesorería"/>
    <n v="5522711874"/>
    <s v="max101959@hotmail.com"/>
    <m/>
    <s v="SERVICIOS MEDICO GENERAL Y ESPECIALIZADO EN CONSULTORIOS"/>
    <n v="9212010"/>
    <m/>
    <m/>
    <m/>
    <m/>
    <m/>
    <m/>
    <m/>
    <m/>
    <m/>
    <m/>
    <m/>
    <m/>
    <m/>
    <m/>
    <n v="127522.5"/>
    <n v="0"/>
    <n v="2"/>
    <s v="Individual Especial Revolvente"/>
    <s v="AV LAS FUENTES #648-SN"/>
    <s v="Jardines del Pedregal"/>
    <s v="Ciudad de México"/>
    <s v="Alvaro Obregon"/>
    <m/>
    <s v="Ver en mapa"/>
    <m/>
    <m/>
    <n v="0"/>
    <n v="0"/>
    <s v="Transferencia electrónica"/>
    <s v="100304002"/>
    <n v="0"/>
    <n v="0"/>
    <n v="0"/>
  </r>
  <r>
    <s v="001351"/>
    <s v="Región Estado México"/>
    <x v="1"/>
    <s v="000057"/>
    <s v="Camacho Frias Oscar Antonio"/>
    <x v="5"/>
    <x v="5"/>
    <s v="02"/>
    <s v="GARDUÑO PULIDO ANGELICA"/>
    <d v="2025-12-15T00:00:00"/>
    <d v="2026-06-15T00:00:00"/>
    <n v="7000"/>
    <n v="7373.85"/>
    <n v="0"/>
    <x v="6"/>
    <n v="6"/>
    <s v="Mensual"/>
    <n v="1822.3"/>
    <n v="348"/>
    <n v="0"/>
    <n v="0"/>
    <n v="0"/>
    <n v="7373.85"/>
    <n v="0"/>
    <n v="0"/>
    <n v="0"/>
    <n v="0"/>
    <n v="0"/>
    <m/>
    <m/>
    <s v="Entregado"/>
    <n v="7131151162"/>
    <s v="angelicagardunopulido@gmail.com"/>
    <m/>
    <s v="EMPLEADO DEL SECTOR PRIVADO"/>
    <n v="9501009"/>
    <m/>
    <m/>
    <s v="MAGALY BARRIOS"/>
    <s v="7296000227"/>
    <s v="HUMBERTO SALAZAR"/>
    <s v="7223561881"/>
    <s v="VICTOR RAMIREZ"/>
    <s v="7226076514"/>
    <m/>
    <m/>
    <m/>
    <m/>
    <m/>
    <m/>
    <n v="10585.8"/>
    <n v="0"/>
    <n v="1"/>
    <s v="Individual sin Garantía"/>
    <s v=" IGNACIO ZARAGOZA #11-SN"/>
    <s v="San Miguel de Ocampo"/>
    <s v="México"/>
    <s v="Joquicingo"/>
    <m/>
    <s v="Ver en mapa"/>
    <m/>
    <m/>
    <n v="0"/>
    <n v="0"/>
    <s v="Transferencia electrónica"/>
    <s v="100135102"/>
    <n v="0"/>
    <n v="0"/>
    <n v="0"/>
  </r>
  <r>
    <s v="001532"/>
    <s v="Región Estado México"/>
    <x v="1"/>
    <s v="000057"/>
    <s v="Camacho Frias Oscar Antonio"/>
    <x v="5"/>
    <x v="5"/>
    <s v="02"/>
    <s v="DIAZ DE JESUS LILIA"/>
    <d v="2025-12-09T00:00:00"/>
    <d v="2026-12-09T00:00:00"/>
    <n v="10000"/>
    <n v="10534.08"/>
    <n v="0"/>
    <x v="6"/>
    <n v="12"/>
    <s v="Mensual"/>
    <n v="1702.69"/>
    <n v="696"/>
    <n v="0"/>
    <n v="0"/>
    <n v="0"/>
    <n v="10534.08"/>
    <n v="0"/>
    <n v="0"/>
    <n v="0"/>
    <n v="0"/>
    <n v="0"/>
    <m/>
    <m/>
    <s v="Entregado"/>
    <n v="7202108671"/>
    <s v="dyakelin53@gmail.com"/>
    <m/>
    <s v="TORTILLERIA"/>
    <n v="2093011"/>
    <s v="FUENTES MORALES ISIDRO"/>
    <m/>
    <s v="FLORENTINO DIAZ DE JESUS"/>
    <s v="7223770966"/>
    <s v="JAQUELINE FUENTES DIAZ"/>
    <s v="7200108671"/>
    <s v="MARIA FELIX DIAZ"/>
    <s v="5655705804"/>
    <m/>
    <m/>
    <m/>
    <m/>
    <m/>
    <m/>
    <n v="19736.3"/>
    <n v="0"/>
    <n v="1"/>
    <s v="Individual sin Garantía"/>
    <s v="LAGO VALENCIA #616-SN"/>
    <s v="El Seminario 1a Sección"/>
    <s v="México"/>
    <s v="Toluca"/>
    <s v="19°16'05.4&quot;N 99°40'42.7&quot;W"/>
    <s v="Ver en mapa"/>
    <m/>
    <m/>
    <n v="0"/>
    <n v="0"/>
    <s v="Transferencia electrónica"/>
    <s v="100153202"/>
    <n v="0"/>
    <n v="0"/>
    <n v="0"/>
  </r>
  <r>
    <s v="001124"/>
    <s v="Región Estado México"/>
    <x v="1"/>
    <s v="000037"/>
    <s v="CREDIFLEXI CREDIFLEXI CREDIFLEXI"/>
    <x v="4"/>
    <x v="4"/>
    <s v="03"/>
    <s v="MONROY NEGRETE SANDRA"/>
    <d v="2025-10-15T00:00:00"/>
    <d v="2026-04-15T00:00:00"/>
    <n v="12000"/>
    <n v="12000"/>
    <n v="0"/>
    <x v="6"/>
    <n v="6"/>
    <s v="Mensual"/>
    <n v="2364.58"/>
    <n v="378"/>
    <n v="0"/>
    <n v="0"/>
    <n v="0"/>
    <n v="8321.77"/>
    <n v="0"/>
    <n v="0"/>
    <n v="0"/>
    <n v="0"/>
    <n v="0"/>
    <n v="2365"/>
    <d v="2025-12-15T00:00:00"/>
    <s v="Entregado"/>
    <n v="7226823285"/>
    <s v="rolandodavila@hotmail.com"/>
    <m/>
    <s v="AMA DE CASA"/>
    <n v="9900908"/>
    <m/>
    <m/>
    <s v="MARU CASTILLO VARGAS"/>
    <s v="7226981804"/>
    <s v="JAQUELIN AGUSTIN AMBRIS"/>
    <s v="7223699815"/>
    <s v="JESUS JAVIER VARGAS CASTAÑEDA"/>
    <s v="7221660937"/>
    <m/>
    <m/>
    <m/>
    <m/>
    <m/>
    <m/>
    <n v="8320.93"/>
    <n v="0.84"/>
    <n v="1"/>
    <s v="Individual Especial Semanal"/>
    <s v="CONVENTO CASTILLA #MZ 2-LT 47 C"/>
    <s v="San Blas Totoltepec"/>
    <s v="México"/>
    <s v="Toluca"/>
    <m/>
    <s v="Ver en mapa"/>
    <m/>
    <m/>
    <n v="0"/>
    <n v="0"/>
    <s v="Desembolso en caja"/>
    <s v="100112403"/>
    <n v="0"/>
    <n v="0"/>
    <n v="0"/>
  </r>
  <r>
    <s v="001614"/>
    <s v="Región Estado México"/>
    <x v="1"/>
    <s v="000057"/>
    <s v="Camacho Frias Oscar Antonio"/>
    <x v="5"/>
    <x v="5"/>
    <s v="02"/>
    <s v="CABRERA BUSTOS MA REFUGIO"/>
    <d v="2025-11-26T00:00:00"/>
    <d v="2026-06-01T00:00:00"/>
    <n v="10000"/>
    <n v="10534.08"/>
    <n v="0"/>
    <x v="6"/>
    <n v="6"/>
    <s v="Mensual"/>
    <n v="2599.44"/>
    <n v="348"/>
    <n v="0"/>
    <n v="0"/>
    <n v="1"/>
    <n v="10534.08"/>
    <n v="2599.4407989333331"/>
    <n v="1755.68"/>
    <n v="785.76"/>
    <n v="58"/>
    <n v="0"/>
    <m/>
    <m/>
    <s v="Entregado"/>
    <n v="7205753825"/>
    <s v="mariacabrera9157@gmail.com"/>
    <m/>
    <s v="RESTAURANTE"/>
    <n v="8711021"/>
    <s v="CUEVAS RANGES MANUEL"/>
    <m/>
    <s v="AGUSTINA RAMIREZ"/>
    <s v="7222347937"/>
    <s v="SILVIA GONZALEZ GARCIA"/>
    <s v="7224043270"/>
    <s v="ELIZABETH GOMEZMENDOZA"/>
    <s v="7292427675"/>
    <m/>
    <m/>
    <m/>
    <m/>
    <m/>
    <m/>
    <n v="15306.64"/>
    <n v="0"/>
    <n v="1"/>
    <s v="Individual sin Garantía"/>
    <s v="AV JUAREZ  #49-SN"/>
    <s v="Los Ángeles"/>
    <s v="México"/>
    <s v="Calimaya"/>
    <s v="19°09'54.4&quot;N 99°37'04.6&quot;W"/>
    <s v="Ver en mapa"/>
    <m/>
    <m/>
    <n v="1"/>
    <n v="1"/>
    <s v="Transferencia electrónica"/>
    <s v="100161402"/>
    <n v="0"/>
    <n v="0"/>
    <n v="0.169824389868275"/>
  </r>
  <r>
    <s v="001503"/>
    <s v="Región Estado México"/>
    <x v="1"/>
    <s v="000043"/>
    <s v="Cedillo Gonzalez Hugo"/>
    <x v="5"/>
    <x v="5"/>
    <s v="01"/>
    <s v="GARCIA SALAS MARIA GUADALUPE"/>
    <d v="2025-07-22T00:00:00"/>
    <d v="2026-01-22T00:00:00"/>
    <n v="5000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23"/>
    <d v="2025-12-22T00:00:00"/>
    <s v="Entregado"/>
    <n v="7294569713"/>
    <s v="maria.lupis12.16@gmail.com"/>
    <m/>
    <s v="IMPRENTA ( TIPOGRAFIA)"/>
    <n v="2921056"/>
    <m/>
    <m/>
    <s v="ROBERTO CARLOS GONZALEZ"/>
    <s v="7225674101"/>
    <s v="MARCO ANTONIO GONZALEZ"/>
    <s v="7206426174"/>
    <s v="VICTORIA GARCIA SALAS"/>
    <s v="7229242971"/>
    <m/>
    <m/>
    <m/>
    <m/>
    <m/>
    <m/>
    <n v="1263.24"/>
    <n v="1.17336533333333"/>
    <n v="1"/>
    <s v="Individual sin Garantía"/>
    <s v="Lago Michigan  #1713-4"/>
    <s v="El Seminario 1a Sección"/>
    <s v="México"/>
    <s v="Toluca"/>
    <s v="19°16'16.9&quot;N 99°40'06.5&quot;W"/>
    <s v="Ver en mapa"/>
    <m/>
    <m/>
    <n v="1"/>
    <n v="1"/>
    <s v="Transferencia electrónica"/>
    <s v="100150301"/>
    <n v="0"/>
    <n v="0"/>
    <n v="0"/>
  </r>
  <r>
    <s v="001358"/>
    <s v="Región Estado México"/>
    <x v="1"/>
    <s v="000039"/>
    <s v="CALL CENTER"/>
    <x v="5"/>
    <x v="5"/>
    <s v="02"/>
    <s v="PADILLA TELLEZ JOSE"/>
    <d v="2025-10-30T00:00:00"/>
    <d v="2026-05-01T00:00:00"/>
    <n v="8000"/>
    <n v="8427.26"/>
    <n v="0"/>
    <x v="6"/>
    <n v="6"/>
    <s v="Mensual"/>
    <n v="2077.71"/>
    <n v="348"/>
    <n v="0"/>
    <n v="0"/>
    <n v="1"/>
    <n v="7022.72"/>
    <n v="2077.700950088888"/>
    <n v="1404.55"/>
    <n v="615.16"/>
    <n v="57.99"/>
    <n v="0"/>
    <n v="2077.71"/>
    <d v="2025-12-01T00:00:00"/>
    <s v="Entregado"/>
    <n v="7221289605"/>
    <s v="jose.padillat21@gmail.com"/>
    <m/>
    <s v="EMPLEADO DEL SECTOR PRIVADO"/>
    <n v="9501009"/>
    <m/>
    <m/>
    <s v="ARIEL REYES"/>
    <s v="7223026661"/>
    <s v="DANIEL MARTINEZ"/>
    <s v="7299981731"/>
    <s v="SABINO GARCIA"/>
    <s v="7293272452"/>
    <m/>
    <m/>
    <m/>
    <m/>
    <m/>
    <m/>
    <n v="10156.52"/>
    <n v="0"/>
    <n v="1"/>
    <s v="Individual sin Garantía"/>
    <s v="PRIV JOSEFA O DE DOMINGUEZ  #1-SN"/>
    <s v="Coaxustenco"/>
    <s v="México"/>
    <s v="Metepec"/>
    <m/>
    <s v="Ver en mapa"/>
    <m/>
    <m/>
    <n v="1"/>
    <n v="1"/>
    <s v="Transferencia electrónica"/>
    <s v="100135802"/>
    <n v="0"/>
    <n v="0"/>
    <n v="0.20456819364200421"/>
  </r>
  <r>
    <s v="001265"/>
    <s v="Región Estado México"/>
    <x v="1"/>
    <s v="000082"/>
    <s v="ENRIQUEZ VILCHIS MARIA ALEJANDRA"/>
    <x v="5"/>
    <x v="5"/>
    <s v="02"/>
    <s v="ALANIS GARCIA PAULO CESAR"/>
    <d v="2025-12-04T00:00:00"/>
    <d v="2026-12-04T00:00:00"/>
    <n v="12000"/>
    <n v="12640.89"/>
    <n v="0"/>
    <x v="6"/>
    <n v="12"/>
    <s v="Mensual"/>
    <n v="2031.63"/>
    <n v="696"/>
    <n v="0"/>
    <n v="0"/>
    <n v="0"/>
    <n v="12640.89"/>
    <n v="0"/>
    <n v="0"/>
    <n v="0"/>
    <n v="0"/>
    <n v="0"/>
    <m/>
    <m/>
    <s v="Entregado"/>
    <n v="7293774847"/>
    <s v="cesarp88@gmail.com"/>
    <n v="7293774847"/>
    <s v="VULCANIZACION DE LLANTAS Y CAMARAS"/>
    <n v="3212024"/>
    <s v="ZARAGOZA MANJARREZ ADRINAN"/>
    <m/>
    <s v="MARIA ELENA MANJARREZ"/>
    <s v="7227862042"/>
    <s v="ADRIANA ZARAGOZA"/>
    <s v="7227862041"/>
    <s v="JUAN ANGEL ALANIS"/>
    <s v="7227863490"/>
    <m/>
    <m/>
    <m/>
    <m/>
    <m/>
    <m/>
    <n v="23683.55"/>
    <n v="0"/>
    <n v="1"/>
    <s v="Individual sin Garantía"/>
    <s v="SAN ANGEL  #SN"/>
    <s v="San Antonio el Llanito"/>
    <s v="México"/>
    <s v="Ocoyoacac"/>
    <m/>
    <s v="Ver en mapa"/>
    <m/>
    <m/>
    <n v="0"/>
    <n v="0"/>
    <s v="Transferencia electrónica"/>
    <s v="100126502"/>
    <n v="0"/>
    <n v="0"/>
    <n v="0"/>
  </r>
  <r>
    <s v="001083"/>
    <s v="Región Estado México"/>
    <x v="1"/>
    <s v="000037"/>
    <s v="CREDIFLEXI CREDIFLEXI CREDIFLEXI"/>
    <x v="4"/>
    <x v="4"/>
    <s v="03"/>
    <s v="DAVILA MONROY ROLANDO"/>
    <d v="2025-10-09T00:00:00"/>
    <d v="2026-03-15T00:00:00"/>
    <n v="5846.95"/>
    <n v="5846.95"/>
    <n v="0"/>
    <x v="6"/>
    <n v="5"/>
    <s v="Mensual"/>
    <n v="5846.95"/>
    <n v="0"/>
    <n v="0"/>
    <n v="0"/>
    <n v="0"/>
    <n v="5846.95"/>
    <n v="0"/>
    <n v="0"/>
    <n v="0"/>
    <n v="0"/>
    <n v="0"/>
    <m/>
    <m/>
    <s v="Entregado"/>
    <n v="7227803366"/>
    <s v="goodcaroriginal2022@gmail.com"/>
    <m/>
    <s v="COMPRAVENTA DE AUTOMOVILES Y CAMIONES NUEVOS"/>
    <n v="6811013"/>
    <m/>
    <m/>
    <m/>
    <m/>
    <m/>
    <m/>
    <m/>
    <m/>
    <m/>
    <m/>
    <m/>
    <m/>
    <m/>
    <m/>
    <n v="5846.95"/>
    <n v="0"/>
    <n v="1"/>
    <s v="Individual Especial Semanal"/>
    <s v="AREZZO #12-SN"/>
    <s v="San Blas Totoltepec"/>
    <s v="México"/>
    <s v="Toluca"/>
    <m/>
    <s v="Ver en mapa"/>
    <m/>
    <m/>
    <n v="0"/>
    <n v="0"/>
    <s v="Transferencia electrónica"/>
    <s v="100108303"/>
    <n v="0"/>
    <n v="0"/>
    <n v="0"/>
  </r>
  <r>
    <s v="004738"/>
    <s v="Región Estado México"/>
    <x v="1"/>
    <s v="000082"/>
    <s v="ENRIQUEZ VILCHIS MARIA ALEJANDRA"/>
    <x v="5"/>
    <x v="5"/>
    <s v="01"/>
    <s v="RABLING CONDE NORMAN ENRIQUE"/>
    <d v="2025-11-26T00:00:00"/>
    <d v="2026-05-26T00:00:00"/>
    <n v="30000"/>
    <n v="30000"/>
    <n v="0"/>
    <x v="6"/>
    <n v="6"/>
    <s v="Mensual"/>
    <n v="6309.6100000000006"/>
    <n v="366"/>
    <n v="0"/>
    <n v="0"/>
    <n v="0"/>
    <n v="25781.39"/>
    <n v="0"/>
    <n v="0"/>
    <n v="0"/>
    <n v="0"/>
    <n v="0"/>
    <n v="6310"/>
    <d v="2025-12-26T00:00:00"/>
    <s v="Entregado"/>
    <n v="7712197133"/>
    <s v="rablingn@gmail.com"/>
    <m/>
    <s v="EMPLEADO PRIVADO"/>
    <n v="8944098"/>
    <m/>
    <m/>
    <m/>
    <m/>
    <m/>
    <m/>
    <m/>
    <m/>
    <m/>
    <m/>
    <m/>
    <m/>
    <m/>
    <m/>
    <n v="25781"/>
    <n v="0.39"/>
    <n v="1"/>
    <s v="Individual Especial Semanal"/>
    <s v="AV PIRULES #104"/>
    <s v="Villas de Pachuca"/>
    <s v="Hidalgo"/>
    <s v="Pachuca De Soto"/>
    <m/>
    <s v="Ver en mapa"/>
    <m/>
    <m/>
    <n v="0"/>
    <n v="0"/>
    <s v="Transferencia electrónica"/>
    <s v="100473801"/>
    <n v="0"/>
    <n v="0"/>
    <n v="0"/>
  </r>
  <r>
    <s v="001345"/>
    <s v="Región Estado México"/>
    <x v="1"/>
    <s v="000082"/>
    <s v="ENRIQUEZ VILCHIS MARIA ALEJANDRA"/>
    <x v="5"/>
    <x v="5"/>
    <s v="02"/>
    <s v="SANCHEZ SALGADO FANNY"/>
    <d v="2025-11-13T00:00:00"/>
    <d v="2026-04-30T00:00:00"/>
    <n v="9000"/>
    <n v="9480.67"/>
    <n v="0"/>
    <x v="6"/>
    <n v="12"/>
    <s v="Catorcenal"/>
    <n v="1165.72"/>
    <n v="696"/>
    <n v="0"/>
    <n v="3"/>
    <n v="0"/>
    <n v="6320.45"/>
    <n v="0"/>
    <n v="0"/>
    <n v="0"/>
    <n v="0"/>
    <n v="0"/>
    <n v="1165.72"/>
    <d v="2025-12-30T00:00:00"/>
    <s v="Entregado"/>
    <n v="7207943134"/>
    <s v="fannyyareli77@gmail.com"/>
    <m/>
    <s v="EMPLEADO DEL SECTOR PRIVADO"/>
    <n v="9501009"/>
    <m/>
    <m/>
    <s v="TANIA SANCHEZ"/>
    <s v="7224937877"/>
    <s v="MARIANA VENANCIO"/>
    <s v="7223935032"/>
    <s v="EVA LOPEZ"/>
    <s v="7297667772"/>
    <m/>
    <m/>
    <m/>
    <m/>
    <m/>
    <m/>
    <n v="8803.7800000000007"/>
    <n v="1165.7155516"/>
    <n v="1"/>
    <s v="Individual sin Garantía"/>
    <s v="HDA PASTAJE #16C-SN"/>
    <s v="San Francisco"/>
    <s v="México"/>
    <s v="Metepec"/>
    <m/>
    <s v="Ver en mapa"/>
    <m/>
    <m/>
    <n v="1"/>
    <n v="1"/>
    <s v="Transferencia electrónica"/>
    <s v="100134502"/>
    <n v="0"/>
    <n v="0"/>
    <n v="0"/>
  </r>
  <r>
    <s v="004227"/>
    <s v="Región Estado México"/>
    <x v="1"/>
    <s v="000057"/>
    <s v="Camacho Frias Oscar Antonio"/>
    <x v="5"/>
    <x v="5"/>
    <s v="01"/>
    <s v="ESCALONA TELLECHEA IRENE VALERIA"/>
    <d v="2025-11-07T00:00:00"/>
    <d v="2026-05-07T00:00:00"/>
    <n v="5000"/>
    <n v="5267.04"/>
    <n v="0"/>
    <x v="6"/>
    <n v="6"/>
    <s v="Mensual"/>
    <n v="1316.11"/>
    <n v="348"/>
    <n v="0"/>
    <n v="0"/>
    <n v="0"/>
    <n v="4389.2"/>
    <n v="0"/>
    <n v="0"/>
    <n v="0"/>
    <n v="0"/>
    <n v="0"/>
    <n v="1317"/>
    <d v="2025-12-08T00:00:00"/>
    <s v="Entregado"/>
    <n v="7225951286"/>
    <s v="irene280192@gmail.com"/>
    <m/>
    <s v="EMPLEADO DEL SECTOR PRIVADO"/>
    <n v="9501009"/>
    <m/>
    <m/>
    <s v="VERONICA ESCALONA"/>
    <s v="7202103527"/>
    <s v="GUADALUPE SALAZAR"/>
    <s v="7295758605"/>
    <s v="LIA IBARRA"/>
    <s v="7134277344"/>
    <m/>
    <m/>
    <m/>
    <m/>
    <m/>
    <m/>
    <n v="6289.6900000000014"/>
    <n v="0.89"/>
    <n v="1"/>
    <s v="Individual sin Garantía"/>
    <s v="JOSE MARIA MORELOS #69 B"/>
    <s v="San Lorenzo Cuauhtenco"/>
    <s v="México"/>
    <s v="Calimaya"/>
    <s v="19°11'43.3&quot;N 99°37'45.3&quot;W"/>
    <s v="Ver en mapa"/>
    <m/>
    <m/>
    <n v="0"/>
    <n v="0"/>
    <s v="Transferencia electrónica"/>
    <s v="100422701"/>
    <n v="0"/>
    <n v="0"/>
    <n v="0"/>
  </r>
  <r>
    <s v="001384"/>
    <s v="Región Estado México"/>
    <x v="1"/>
    <s v="000043"/>
    <s v="Cedillo Gonzalez Hugo"/>
    <x v="6"/>
    <x v="6"/>
    <s v="01"/>
    <s v="SOTO ARRIAGA MA GUADALUPE"/>
    <d v="2025-06-09T00:00:00"/>
    <d v="2026-06-09T00:00:00"/>
    <n v="30000"/>
    <n v="31602.23"/>
    <n v="0"/>
    <x v="6"/>
    <n v="12"/>
    <s v="Mensual"/>
    <n v="4992.07"/>
    <n v="696"/>
    <n v="0"/>
    <n v="0"/>
    <n v="0"/>
    <n v="15801.11"/>
    <n v="0"/>
    <n v="0"/>
    <n v="0"/>
    <n v="0"/>
    <n v="0"/>
    <n v="5572"/>
    <d v="2025-12-26T00:00:00"/>
    <s v="Entregado"/>
    <n v="7225655574"/>
    <s v="maria3sot900@gmail.com"/>
    <m/>
    <s v="RESTAURANTE"/>
    <n v="8711021"/>
    <s v="MIRANDA MEJIA NOE"/>
    <s v="7225655574.0"/>
    <s v="MARICELA MIRANDA"/>
    <s v="7291158321"/>
    <s v="ELSA VIDAL"/>
    <s v="7226443534"/>
    <s v="JESUS RUIZ"/>
    <s v="7226365266"/>
    <m/>
    <m/>
    <m/>
    <m/>
    <m/>
    <m/>
    <n v="29603.88"/>
    <n v="0.557639833333333"/>
    <n v="1"/>
    <s v="Individual sin Garantía"/>
    <s v="PROL HIDALGO #100-SN"/>
    <s v="Campesina"/>
    <s v="México"/>
    <s v="Tenango Del Valle"/>
    <s v="19°06'12.0&quot;N 99°34'59.8&quot;W"/>
    <s v="Ver en mapa"/>
    <m/>
    <m/>
    <n v="4"/>
    <n v="4"/>
    <s v="Transferencia electrónica"/>
    <s v="100138401"/>
    <n v="0"/>
    <n v="0"/>
    <n v="0"/>
  </r>
  <r>
    <s v="001249"/>
    <s v="Región Estado México"/>
    <x v="1"/>
    <s v="000037"/>
    <s v="CREDIFLEXI CREDIFLEXI CREDIFLEXI"/>
    <x v="5"/>
    <x v="5"/>
    <s v="01"/>
    <s v="GARCIA FLORES SEBASTIAN ADOLFO"/>
    <d v="2025-04-14T00:00:00"/>
    <d v="2026-04-14T00:00:00"/>
    <n v="250000"/>
    <n v="250000"/>
    <n v="0"/>
    <x v="6"/>
    <n v="12"/>
    <s v="Mensual"/>
    <n v="26896.28"/>
    <n v="0"/>
    <n v="0"/>
    <n v="0"/>
    <n v="0"/>
    <n v="97248.39"/>
    <n v="0"/>
    <n v="0"/>
    <n v="0"/>
    <n v="0"/>
    <n v="0"/>
    <n v="25735.82"/>
    <d v="2025-12-17T00:00:00"/>
    <s v="Entregado"/>
    <n v="5529680097"/>
    <s v="sebassagf@gmail.com"/>
    <m/>
    <s v="ASESORES FISCALES Y FINANCIEROS"/>
    <n v="8400002"/>
    <s v="FLORES YAÑEZ ROSA MARIA"/>
    <m/>
    <m/>
    <m/>
    <m/>
    <m/>
    <m/>
    <m/>
    <m/>
    <m/>
    <m/>
    <m/>
    <m/>
    <m/>
    <n v="97248.39"/>
    <n v="0"/>
    <n v="1"/>
    <s v="Individual Especial Semanal"/>
    <s v="VIA VILLA FLORENCE  #10-DEP 501 PISO 5"/>
    <s v="Hacienda de las Palmas"/>
    <s v="México"/>
    <s v="Huixquilucan"/>
    <m/>
    <s v="Ver en mapa"/>
    <m/>
    <m/>
    <n v="4"/>
    <n v="4"/>
    <s v="Transferencia electrónica"/>
    <s v="100124901"/>
    <n v="0"/>
    <n v="0"/>
    <n v="0"/>
  </r>
  <r>
    <s v="001196"/>
    <s v="Región Estado México"/>
    <x v="1"/>
    <s v="000037"/>
    <s v="CREDIFLEXI CREDIFLEXI CREDIFLEXI"/>
    <x v="5"/>
    <x v="5"/>
    <s v="02"/>
    <s v="MANJARREZ AGUIRRE PATRICIA"/>
    <d v="2025-08-07T00:00:00"/>
    <d v="2026-08-07T00:00:00"/>
    <n v="350000"/>
    <n v="368692.72"/>
    <n v="0"/>
    <x v="6"/>
    <n v="12"/>
    <s v="Mensual"/>
    <n v="47915.51"/>
    <n v="696"/>
    <n v="0"/>
    <n v="0"/>
    <n v="0"/>
    <n v="245795.15"/>
    <n v="0"/>
    <n v="0"/>
    <n v="0"/>
    <n v="0"/>
    <n v="0"/>
    <n v="47915.51"/>
    <d v="2025-12-05T00:00:00"/>
    <s v="Entregado"/>
    <n v="7213387385"/>
    <s v="gm8927694@gmail.com"/>
    <m/>
    <s v="RESTAURANTE"/>
    <n v="8711021"/>
    <s v="ZAMORA MARTINEZ GREGORIO"/>
    <m/>
    <s v="EFRAIN CHAVEZ REGULES"/>
    <s v="7221374276"/>
    <s v="JULIETA PORCAYO VILLAREAL"/>
    <s v="7292316842"/>
    <s v="MARCO MARTINEZ SANCHEZ"/>
    <s v="4271680267"/>
    <s v="Garantía Prendaria"/>
    <s v="FACTURA EXPEDIDA POR AUTOMOTRIZ LERMA S.A DE C.V, , Valor 192,857.00, Nombre AUTOMOVIL SAVEIRO ROBUST, Folio Factura FEAL00021514, Fecha Factura 23/05/2023, Número de serie 9BWKB45U5PP046145, Número de motor CFZ56079, Modelo 2023, Marca VOLKSWAGEN, Propietario MARTINEZ ZAMORA GREGORIO"/>
    <s v="AUTOMOVIL SAVEIRO ROBUST"/>
    <m/>
    <m/>
    <m/>
    <n v="382860.06"/>
    <n v="6.7000000000000002E-3"/>
    <n v="2"/>
    <s v="Individual con Garantía Vehicular"/>
    <s v="16 DE SEPTIEMBRE #106"/>
    <s v="San Juan"/>
    <s v="México"/>
    <s v="San Mateo Atenco"/>
    <m/>
    <s v="Ver en mapa"/>
    <m/>
    <m/>
    <n v="1"/>
    <n v="1"/>
    <s v="Transferencia electrónica"/>
    <s v="100119602"/>
    <n v="0"/>
    <n v="0"/>
    <n v="0"/>
  </r>
  <r>
    <s v="001685"/>
    <s v="Región Estado México"/>
    <x v="1"/>
    <s v="000043"/>
    <s v="Cedillo Gonzalez Hugo"/>
    <x v="5"/>
    <x v="5"/>
    <s v="01"/>
    <s v="ENZASTEGUI LEDEZMA MARIA DE LOS ANGELES"/>
    <d v="2025-08-08T00:00:00"/>
    <d v="2026-08-08T00:00:00"/>
    <n v="10000"/>
    <n v="10534.08"/>
    <n v="0"/>
    <x v="6"/>
    <n v="12"/>
    <s v="Mensual"/>
    <n v="1702.69"/>
    <n v="696"/>
    <n v="0"/>
    <n v="0"/>
    <n v="0"/>
    <n v="7022.72"/>
    <n v="0"/>
    <n v="0"/>
    <n v="0"/>
    <n v="0"/>
    <n v="0"/>
    <n v="1703"/>
    <d v="2025-12-07T00:00:00"/>
    <s v="Entregado"/>
    <n v="7207884541"/>
    <s v="mariadelosangelesenzastegui@gmail.com"/>
    <m/>
    <s v="EMPLEADO PRIVADO"/>
    <n v="8944098"/>
    <m/>
    <m/>
    <s v="JAZMIN ENZASTEGUI"/>
    <s v="7223922027"/>
    <s v="NANCY LEDEZMA"/>
    <s v="7221235341"/>
    <s v="IRVING ARELLANO"/>
    <s v="7228466438"/>
    <m/>
    <m/>
    <m/>
    <m/>
    <m/>
    <m/>
    <n v="13156.3"/>
    <n v="1.2329493333333299"/>
    <n v="1"/>
    <s v="Individual sin Garantía"/>
    <s v="CJON REFORMA #1-SN"/>
    <s v="Santiago Tlacotepec"/>
    <s v="México"/>
    <s v="Toluca"/>
    <s v="19°13'30.7&quot;N 99°40'23.5&quot;W"/>
    <s v="Ver en mapa"/>
    <m/>
    <m/>
    <n v="0"/>
    <n v="0"/>
    <s v="Transferencia electrónica"/>
    <s v="100168501"/>
    <n v="0"/>
    <n v="0"/>
    <n v="0"/>
  </r>
  <r>
    <s v="001252"/>
    <s v="Región Estado México"/>
    <x v="1"/>
    <s v="000037"/>
    <s v="CREDIFLEXI CREDIFLEXI CREDIFLEXI"/>
    <x v="5"/>
    <x v="5"/>
    <s v="01"/>
    <s v="GONZALEZ SANCHEZ LORENZO"/>
    <d v="2025-04-15T00:00:00"/>
    <d v="2026-04-15T00:00:00"/>
    <n v="7000"/>
    <n v="7373.85"/>
    <n v="0"/>
    <x v="6"/>
    <n v="12"/>
    <s v="Mensual"/>
    <n v="1209.28"/>
    <n v="696"/>
    <n v="0"/>
    <n v="0"/>
    <n v="0"/>
    <n v="2457.9499999999998"/>
    <n v="0"/>
    <n v="0"/>
    <n v="0"/>
    <n v="0"/>
    <n v="0"/>
    <n v="1220"/>
    <d v="2025-12-15T00:00:00"/>
    <s v="Entregado"/>
    <n v="7225950568"/>
    <s v="lorenzo59gh@gmail.com"/>
    <m/>
    <s v="TRANSPORTE EN AUTOMOVILES DE SITIO Y TURISMO"/>
    <n v="7114010"/>
    <s v="HERNANDEZ ROSA MARIA"/>
    <m/>
    <s v="EFRAIN TALAVERA"/>
    <s v="7224113728"/>
    <s v="CARLOS GARCIA"/>
    <s v="7222812657"/>
    <s v="LORENZO LOPEZ"/>
    <s v="7205154703"/>
    <m/>
    <m/>
    <m/>
    <m/>
    <m/>
    <m/>
    <n v="4569.4000000000005"/>
    <n v="35.733623333333327"/>
    <n v="1"/>
    <s v="Individual sin Garantía"/>
    <s v="REFORMA #620-1"/>
    <s v="San José"/>
    <s v="México"/>
    <s v="Tenango Del Valle"/>
    <m/>
    <s v="Ver en mapa"/>
    <m/>
    <m/>
    <n v="4"/>
    <n v="3"/>
    <s v="Transferencia electrónica"/>
    <s v="100125201"/>
    <n v="0"/>
    <n v="0"/>
    <n v="0"/>
  </r>
  <r>
    <s v="001268"/>
    <s v="Región Estado México"/>
    <x v="1"/>
    <s v="000037"/>
    <s v="CREDIFLEXI CREDIFLEXI CREDIFLEXI"/>
    <x v="5"/>
    <x v="5"/>
    <s v="01"/>
    <s v="CORONA ROBLES GABRIEL"/>
    <d v="2025-04-23T00:00:00"/>
    <d v="2026-04-23T00:00:00"/>
    <n v="25000"/>
    <n v="26335.19"/>
    <n v="0"/>
    <x v="6"/>
    <n v="12"/>
    <s v="Mensual"/>
    <n v="3686.44"/>
    <n v="696"/>
    <n v="0"/>
    <n v="0"/>
    <n v="0"/>
    <n v="8778.4"/>
    <n v="0"/>
    <n v="0"/>
    <n v="0"/>
    <n v="0"/>
    <n v="0"/>
    <n v="3687"/>
    <d v="2025-12-23T00:00:00"/>
    <s v="Entregado"/>
    <n v="7223601170"/>
    <s v="mayamary05@icloud.com"/>
    <m/>
    <s v="RESTAURANTE"/>
    <n v="8711021"/>
    <s v="VALDEZ ESTEVEZ MARIA EUGENIA"/>
    <m/>
    <s v="GERARDO FLORES"/>
    <s v="7224954244"/>
    <s v="FELIPE CAZAS"/>
    <s v="7225767330"/>
    <s v="EZEQUIEL REYES"/>
    <s v="7225663418"/>
    <s v="Garantía Prendaria"/>
    <s v="TITULO EXPEDIDO POR STATE FLORIDA , Valor 20,361.00, Nombre VEHICULO PICK UP F150, Folio Factura 97908021, Fecha Factura 04/04/2008, Número de serie 2FTZX0727WCA00444, Número de motor SN, Modelo 1998, Marca FORD, Propietario CORONA ROBLES GABRIEL"/>
    <s v="VEHICULO PICK UP F150"/>
    <m/>
    <m/>
    <m/>
    <n v="14501.29"/>
    <n v="12.476699999999999"/>
    <n v="1"/>
    <s v="Individual sin Garantía"/>
    <s v="HIDALGO #48-1"/>
    <s v="Calimaya"/>
    <s v="México"/>
    <s v="Calimaya"/>
    <m/>
    <s v="Ver en mapa"/>
    <m/>
    <m/>
    <n v="0"/>
    <n v="0"/>
    <s v="Transferencia electrónica"/>
    <s v="100126801"/>
    <n v="0"/>
    <n v="0"/>
    <n v="0"/>
  </r>
  <r>
    <s v="001313"/>
    <s v="Región Estado México"/>
    <x v="1"/>
    <s v="000043"/>
    <s v="Cedillo Gonzalez Hugo"/>
    <x v="5"/>
    <x v="5"/>
    <s v="01"/>
    <s v="ALMEIDA ROJAS JUAN ANTONIO"/>
    <d v="2025-05-15T00:00:00"/>
    <d v="2026-01-15T00:00:00"/>
    <n v="10000"/>
    <n v="10534.08"/>
    <n v="0"/>
    <x v="6"/>
    <n v="8"/>
    <s v="Mensual"/>
    <n v="2146.86"/>
    <n v="464"/>
    <n v="0"/>
    <n v="0"/>
    <n v="0"/>
    <n v="1316.76"/>
    <n v="0"/>
    <n v="0"/>
    <n v="0"/>
    <n v="0"/>
    <n v="0"/>
    <n v="2150"/>
    <d v="2025-12-15T00:00:00"/>
    <s v="Entregado"/>
    <n v="7294023563"/>
    <s v="salazar.veronica9097@gmail.com"/>
    <m/>
    <s v="EMPLEADO DEL SECTOR PRIVADO"/>
    <n v="9501009"/>
    <s v="CERINO SALAZAR DIANA VERONICA"/>
    <m/>
    <s v="VIVIANA ROMERO"/>
    <s v="7225945025"/>
    <s v="VERONICA CERINO"/>
    <s v="5513968284"/>
    <s v="SOFIA ROJAS"/>
    <s v="7131155537"/>
    <m/>
    <m/>
    <m/>
    <m/>
    <m/>
    <m/>
    <n v="2085.81"/>
    <n v="3.0507960000000001"/>
    <n v="1"/>
    <s v="Individual sin Garantía"/>
    <s v="BENITO JUAREZ #412-SN"/>
    <s v="Guadalupe"/>
    <s v="México"/>
    <s v="Tenango Del Valle"/>
    <m/>
    <s v="Ver en mapa"/>
    <m/>
    <m/>
    <n v="1"/>
    <n v="1"/>
    <s v="Transferencia electrónica"/>
    <s v="100131301"/>
    <n v="0"/>
    <n v="0"/>
    <n v="0"/>
  </r>
  <r>
    <s v="001395"/>
    <s v="Región Estado México"/>
    <x v="1"/>
    <s v="000082"/>
    <s v="ENRIQUEZ VILCHIS MARIA ALEJANDRA"/>
    <x v="5"/>
    <x v="5"/>
    <s v="02"/>
    <s v="ROMANO PALMA EDITH YADIRA"/>
    <d v="2025-12-04T00:00:00"/>
    <d v="2026-05-21T00:00:00"/>
    <n v="7000"/>
    <n v="7373.85"/>
    <n v="0"/>
    <x v="6"/>
    <n v="12"/>
    <s v="Catorcenal"/>
    <n v="919.56000000000006"/>
    <n v="696"/>
    <n v="0"/>
    <n v="2"/>
    <n v="1"/>
    <n v="6759.3600000000006"/>
    <n v="919.125"/>
    <n v="614.49"/>
    <n v="247.08"/>
    <n v="57.56"/>
    <n v="0"/>
    <n v="920"/>
    <d v="2025-12-18T00:00:00"/>
    <s v="Entregado"/>
    <n v="7228968921"/>
    <s v="yadis_roma30@hotmail.com"/>
    <m/>
    <s v="EMPLEADO PRIVADO"/>
    <n v="8944098"/>
    <s v="GARCIA CAMACHO CARLOS"/>
    <s v="7293288652.0"/>
    <s v="BLANCA VELAZQUEZ"/>
    <s v="7226762573"/>
    <s v="ANDREA GONZALEZ"/>
    <s v="7221259454"/>
    <s v="JUAN GARCIA"/>
    <s v="7224959630"/>
    <m/>
    <m/>
    <m/>
    <m/>
    <m/>
    <m/>
    <n v="9534.73"/>
    <n v="0"/>
    <n v="1"/>
    <s v="Individual sin Garantía"/>
    <s v="IGNACIO ZARAGOZA #510"/>
    <s v="La Aurora"/>
    <s v="México"/>
    <s v="Tenango Del Valle"/>
    <s v="19°05'53.2&quot;N 99°35'14.2&quot;W"/>
    <s v="Ver en mapa"/>
    <m/>
    <m/>
    <n v="1"/>
    <n v="1"/>
    <s v="Transferencia electrónica"/>
    <s v="100139502"/>
    <n v="0"/>
    <n v="0"/>
    <n v="9.6397590702620842E-2"/>
  </r>
  <r>
    <s v="001717"/>
    <s v="Región Estado México"/>
    <x v="1"/>
    <s v="000057"/>
    <s v="Camacho Frias Oscar Antonio"/>
    <x v="5"/>
    <x v="5"/>
    <s v="02"/>
    <s v="ALVAREZ HERNANDEZ QUEZTZALIA NAYELI"/>
    <d v="2025-12-04T00:00:00"/>
    <d v="2026-06-04T00:00:00"/>
    <n v="7000"/>
    <n v="7373.85"/>
    <n v="0"/>
    <x v="6"/>
    <n v="6"/>
    <s v="Mensual"/>
    <n v="1822.3"/>
    <n v="348"/>
    <n v="0"/>
    <n v="0"/>
    <n v="0"/>
    <n v="7373.85"/>
    <n v="0"/>
    <n v="0"/>
    <n v="0"/>
    <n v="0"/>
    <n v="0"/>
    <m/>
    <m/>
    <s v="Entregado"/>
    <n v="7224743639"/>
    <s v="alvarezquezt3004@gmail.com"/>
    <m/>
    <s v="RESTAURANTE"/>
    <n v="8711021"/>
    <s v="MARTINEZ ESPEJEL LUIS ARMANDO"/>
    <m/>
    <s v="AGUSTIN MARTINEZ"/>
    <s v="7299091105"/>
    <s v="BRIAN MARTINEZ"/>
    <s v="7223093460"/>
    <s v="TRINIDAD VERA"/>
    <s v="5664248310"/>
    <m/>
    <m/>
    <m/>
    <m/>
    <m/>
    <m/>
    <n v="10585.8"/>
    <n v="0"/>
    <n v="1"/>
    <s v="Individual sin Garantía"/>
    <s v="PROL 16 DE SEPTIEMBRE  #5-SN"/>
    <s v="San Lucas Tepemajalco"/>
    <s v="México"/>
    <s v="San Antonio La Isla"/>
    <s v="19°09'41.1&quot;N 99°33'49.0&quot;W"/>
    <s v="Ver en mapa"/>
    <m/>
    <m/>
    <n v="0"/>
    <n v="0"/>
    <s v="Transferencia electrónica"/>
    <s v="100171702"/>
    <n v="0"/>
    <n v="0"/>
    <n v="0"/>
  </r>
  <r>
    <s v="001371"/>
    <s v="Región Estado México"/>
    <x v="1"/>
    <s v="000037"/>
    <s v="CREDIFLEXI CREDIFLEXI CREDIFLEXI"/>
    <x v="5"/>
    <x v="5"/>
    <s v="01"/>
    <s v="GONZALEZ GARCIA CESAR"/>
    <d v="2025-06-09T00:00:00"/>
    <d v="2026-06-09T00:00:00"/>
    <n v="300000"/>
    <n v="300000"/>
    <n v="0"/>
    <x v="6"/>
    <n v="12"/>
    <s v="Mensual"/>
    <n v="18000"/>
    <n v="0"/>
    <n v="0"/>
    <n v="0"/>
    <n v="0"/>
    <n v="300000"/>
    <n v="0"/>
    <n v="0"/>
    <n v="0"/>
    <n v="0"/>
    <n v="0"/>
    <n v="18000"/>
    <d v="2025-12-17T00:00:00"/>
    <s v="Entregado"/>
    <n v="7223946314"/>
    <s v="cesargonzalezg@yahoo.com"/>
    <m/>
    <s v="CONSTRUCCION DE VIVIENDA RESIDENCIAL"/>
    <n v="4111944"/>
    <s v="OZUNA RODRIGUEZ MARLO PAOLA"/>
    <s v="7225557944.0"/>
    <s v="ALEJANDRO DE LA ROSA GONZALEZ"/>
    <s v="7224592553"/>
    <s v="ADOLFO PICHARDO GONZALEZ"/>
    <s v="7222613175"/>
    <s v="GEORGINA GONZALEZ GARCIA"/>
    <s v="7225725525"/>
    <m/>
    <m/>
    <m/>
    <m/>
    <m/>
    <m/>
    <n v="300000"/>
    <n v="0"/>
    <n v="2"/>
    <s v="Individual Especial Revolvente"/>
    <s v="PASEO DE LOS CEDROS #MZ 2-LT 173"/>
    <s v="Club de Golf los Encinos"/>
    <s v="México"/>
    <s v="Lerma"/>
    <m/>
    <s v="Ver en mapa"/>
    <m/>
    <m/>
    <n v="6"/>
    <n v="6"/>
    <s v="Transferencia electrónica"/>
    <s v="100137101"/>
    <n v="0"/>
    <n v="0"/>
    <n v="0"/>
  </r>
  <r>
    <s v="001083"/>
    <s v="Región Estado México"/>
    <x v="1"/>
    <s v="000037"/>
    <s v="CREDIFLEXI CREDIFLEXI CREDIFLEXI"/>
    <x v="4"/>
    <x v="4"/>
    <s v="02"/>
    <s v="DAVILA MONROY ROLANDO"/>
    <d v="2025-08-19T00:00:00"/>
    <d v="2026-02-19T00:00:00"/>
    <n v="30000"/>
    <n v="30000"/>
    <n v="0"/>
    <x v="6"/>
    <n v="6"/>
    <s v="Mensual"/>
    <n v="5846.95"/>
    <n v="558"/>
    <n v="0"/>
    <n v="0"/>
    <n v="0"/>
    <n v="10826.61"/>
    <n v="0"/>
    <n v="0"/>
    <n v="0"/>
    <n v="0"/>
    <n v="0"/>
    <n v="5846.95"/>
    <d v="2025-12-15T00:00:00"/>
    <s v="Entregado"/>
    <n v="7227803366"/>
    <s v="goodcaroriginal2022@gmail.com"/>
    <m/>
    <s v="COMPRAVENTA DE AUTOMOVILES Y CAMIONES NUEVOS"/>
    <n v="6811013"/>
    <m/>
    <m/>
    <s v="ARTEMISA DEL TORAL"/>
    <s v="7224551026"/>
    <s v="MIGUEL ANGEL SALDAÑA"/>
    <s v="7227028812"/>
    <s v="JAVIER VARGAS"/>
    <s v="7221600931"/>
    <m/>
    <m/>
    <m/>
    <m/>
    <m/>
    <m/>
    <n v="10826.61"/>
    <n v="0"/>
    <n v="1"/>
    <s v="Individual Especial Semanal"/>
    <s v="AREZZO #12-SN"/>
    <s v="San Blas Totoltepec"/>
    <s v="México"/>
    <s v="Toluca"/>
    <m/>
    <s v="Ver en mapa"/>
    <m/>
    <m/>
    <n v="0"/>
    <n v="0"/>
    <s v="Transferencia electrónica"/>
    <m/>
    <n v="0"/>
    <n v="0"/>
    <n v="0"/>
  </r>
  <r>
    <s v="001686"/>
    <s v="Región Estado México"/>
    <x v="1"/>
    <s v="000057"/>
    <s v="Camacho Frias Oscar Antonio"/>
    <x v="5"/>
    <x v="5"/>
    <s v="02"/>
    <s v="SANCHEZ PERALTA ESTHER"/>
    <d v="2025-11-24T00:00:00"/>
    <d v="2026-05-11T00:00:00"/>
    <n v="8000"/>
    <n v="8427.26"/>
    <n v="0"/>
    <x v="6"/>
    <n v="12"/>
    <s v="Catorcenal"/>
    <n v="1042.6400000000001"/>
    <n v="696"/>
    <n v="0"/>
    <n v="2"/>
    <n v="0"/>
    <n v="7022.72"/>
    <n v="0"/>
    <n v="0"/>
    <n v="0"/>
    <n v="0"/>
    <n v="0"/>
    <n v="1043"/>
    <d v="2025-12-22T00:00:00"/>
    <s v="Entregado"/>
    <n v="7201199567"/>
    <s v="esthersanchezperalta51@gmail.com"/>
    <m/>
    <s v="RESTAURANTE"/>
    <n v="8711021"/>
    <s v="MEJIA ARZALUZ VICTOR"/>
    <m/>
    <s v="VICTOR MEJIA ARZALUZ"/>
    <s v="7203347006"/>
    <s v="ROSALBA SANCHEZ PERALTA"/>
    <s v="5512138858"/>
    <s v="ANA KAREN PERALTA SOTO"/>
    <s v="7221474286"/>
    <m/>
    <m/>
    <m/>
    <m/>
    <m/>
    <m/>
    <n v="9845.69"/>
    <n v="0.71788320000000005"/>
    <n v="1"/>
    <s v="Individual sin Garantía"/>
    <s v="PRIV DE LA CRUZ #3-SN"/>
    <s v="San Felipe Tlalmimilolpan"/>
    <s v="México"/>
    <s v="Toluca"/>
    <s v="19°14'07.5&quot;N 99°38'57.9&quot;W"/>
    <s v="Ver en mapa"/>
    <m/>
    <m/>
    <n v="0"/>
    <n v="0"/>
    <s v="Transferencia electrónica"/>
    <s v="100168602"/>
    <n v="0"/>
    <n v="0"/>
    <n v="0"/>
  </r>
  <r>
    <s v="003324"/>
    <s v="Región Estado México"/>
    <x v="1"/>
    <s v="000057"/>
    <s v="Camacho Frias Oscar Antonio"/>
    <x v="5"/>
    <x v="5"/>
    <s v="01"/>
    <s v="OLMOS PALACIOS FIDELINA"/>
    <d v="2025-10-03T00:00:00"/>
    <d v="2026-04-03T00:00:00"/>
    <n v="5000"/>
    <n v="5267.04"/>
    <n v="0"/>
    <x v="6"/>
    <n v="6"/>
    <s v="Mensual"/>
    <n v="1318.22"/>
    <n v="348"/>
    <n v="0"/>
    <n v="0"/>
    <n v="0"/>
    <n v="3511.36"/>
    <n v="0"/>
    <n v="0"/>
    <n v="0"/>
    <n v="0"/>
    <n v="0"/>
    <n v="1318.22"/>
    <d v="2025-12-03T00:00:00"/>
    <s v="Entregado"/>
    <n v="7291838816"/>
    <s v="filleyla94@gmail.com"/>
    <m/>
    <s v="RESTAURANTE"/>
    <n v="8711021"/>
    <s v="SOLIS LOPEZ EDGAR"/>
    <s v="7291838816.0"/>
    <s v="LAURA SOLIS LOPEZ"/>
    <s v="7299824257"/>
    <s v="EDGAR SOLIS LOPEZ"/>
    <s v="7291838816"/>
    <s v="PERLA DENISSE DIAZ CONSUELO"/>
    <s v="7229422159"/>
    <m/>
    <m/>
    <m/>
    <m/>
    <m/>
    <m/>
    <n v="5040.8500000000004"/>
    <n v="0.01"/>
    <n v="1"/>
    <s v="Individual sin Garantía"/>
    <s v="HIPOLITO ORTIZ #156"/>
    <s v="La Teresona"/>
    <s v="México"/>
    <s v="Toluca"/>
    <s v="19°17'44.1&quot;N 99°40'33.8&quot;W"/>
    <s v="Ver en mapa"/>
    <m/>
    <m/>
    <n v="0"/>
    <n v="0"/>
    <s v="Transferencia electrónica"/>
    <s v="100332401"/>
    <n v="0"/>
    <n v="0"/>
    <n v="0"/>
  </r>
  <r>
    <s v="001364"/>
    <s v="Región Estado México"/>
    <x v="4"/>
    <s v="000057"/>
    <s v="Camacho Frias Oscar Antonio"/>
    <x v="5"/>
    <x v="5"/>
    <s v="02"/>
    <s v="BARRERA BARRERA MIGUEL"/>
    <d v="2025-11-12T00:00:00"/>
    <d v="2026-11-12T00:00:00"/>
    <n v="15000"/>
    <n v="15801.12"/>
    <n v="0"/>
    <x v="6"/>
    <n v="12"/>
    <s v="Mensual"/>
    <n v="2525.04"/>
    <n v="696"/>
    <n v="0"/>
    <n v="0"/>
    <n v="0"/>
    <n v="14484.4"/>
    <n v="0.04"/>
    <n v="0.04"/>
    <n v="0"/>
    <n v="0"/>
    <n v="0"/>
    <n v="2525"/>
    <d v="2025-12-12T00:00:00"/>
    <s v="Entregado"/>
    <n v="7718840405"/>
    <s v="mb8810472@gmail.com"/>
    <m/>
    <s v="ELABORACION DE OBJETOS ARTISTICOS DE ALFARERIA Y CERAMICA"/>
    <n v="3319010"/>
    <s v="HERNANDEZ ARANDA JUANA MAURA"/>
    <s v="7718840405.0"/>
    <s v="VIVIANA RUIZ NICOLAS"/>
    <s v="7121880872"/>
    <s v="JUANA HERNANDEZ"/>
    <s v="7297180978"/>
    <s v="RAMIRO BARRERA HERNANDEZ"/>
    <s v="5511936135"/>
    <m/>
    <m/>
    <m/>
    <m/>
    <m/>
    <m/>
    <n v="27137.45"/>
    <n v="0"/>
    <n v="1"/>
    <s v="Individual sin Garantía"/>
    <s v="DOMICILIO CONOCIDO #SN"/>
    <s v="San Juanico Centro"/>
    <s v="México"/>
    <s v="Temascalcingo"/>
    <s v="19°51'06.1&quot;N 100°02'04.8&quot;W"/>
    <s v="Ver en mapa"/>
    <m/>
    <m/>
    <n v="0"/>
    <n v="0"/>
    <s v="Transferencia electrónica"/>
    <s v="100136402"/>
    <n v="0"/>
    <n v="0"/>
    <n v="1.473977842428084E-6"/>
  </r>
  <r>
    <s v="001370"/>
    <s v="Región Estado México"/>
    <x v="4"/>
    <s v="000082"/>
    <s v="ENRIQUEZ VILCHIS MARIA ALEJANDRA"/>
    <x v="5"/>
    <x v="5"/>
    <s v="02"/>
    <s v="GOMEZ MIRANDA MARIBEL"/>
    <d v="2025-10-14T00:00:00"/>
    <d v="2026-03-31T00:00:00"/>
    <n v="7000"/>
    <n v="7373.85"/>
    <n v="0"/>
    <x v="6"/>
    <n v="12"/>
    <s v="Catorcenal"/>
    <n v="919.56000000000006"/>
    <n v="696"/>
    <n v="0"/>
    <n v="5"/>
    <n v="0"/>
    <n v="4301.42"/>
    <n v="7.4999999999999997E-3"/>
    <n v="0.01"/>
    <n v="0"/>
    <n v="0"/>
    <n v="0"/>
    <n v="919.56000000000006"/>
    <d v="2025-12-22T00:00:00"/>
    <s v="Entregado"/>
    <n v="7122034888"/>
    <s v="mariagomezz26@gmail.com"/>
    <m/>
    <s v="COMPRAVENTA DE OTRAS JOYAS"/>
    <n v="6225024"/>
    <m/>
    <m/>
    <s v="EDITH VALENCIA CARDENAS"/>
    <s v="7121791882"/>
    <s v="GUADALUPE BARRERA MEDINA"/>
    <s v="5560629707"/>
    <s v="SONIA REYES"/>
    <s v="7701010417"/>
    <m/>
    <m/>
    <m/>
    <m/>
    <m/>
    <m/>
    <n v="6030.93"/>
    <n v="0"/>
    <n v="1"/>
    <s v="Individual sin Garantía"/>
    <s v="RIO PANUCO #SN"/>
    <s v="Río Lerma (Tic Ti)"/>
    <s v="México"/>
    <s v="Atlacomulco"/>
    <s v="19°48'18.2&quot;N 99°53'49.7&quot;W"/>
    <s v="Ver en mapa"/>
    <m/>
    <m/>
    <n v="0"/>
    <n v="0"/>
    <s v="Transferencia electrónica"/>
    <s v="100137002"/>
    <n v="0"/>
    <n v="0"/>
    <n v="1.243589297173073E-6"/>
  </r>
  <r>
    <s v="001388"/>
    <s v="Región Estado México"/>
    <x v="4"/>
    <s v="000082"/>
    <s v="ENRIQUEZ VILCHIS MARIA ALEJANDRA"/>
    <x v="5"/>
    <x v="5"/>
    <s v="02"/>
    <s v="ARENAS DE JESUS LORENA"/>
    <d v="2025-11-21T00:00:00"/>
    <d v="2026-05-21T00:00:00"/>
    <n v="40000"/>
    <n v="42136.31"/>
    <n v="0"/>
    <x v="6"/>
    <n v="6"/>
    <s v="Mensual"/>
    <n v="10122.91"/>
    <n v="348"/>
    <n v="0"/>
    <n v="0"/>
    <n v="0"/>
    <n v="35113.589999999997"/>
    <n v="0"/>
    <n v="0"/>
    <n v="0"/>
    <n v="0"/>
    <n v="0"/>
    <n v="10123"/>
    <d v="2025-12-22T00:00:00"/>
    <s v="Entregado"/>
    <n v="5511319176"/>
    <s v="lorenaarenas@hotmail.com"/>
    <m/>
    <s v="CRIA Y EXPLOTACION DE GANADO PORCINO"/>
    <n v="221010"/>
    <s v="GONZALEZ MATEO FELIPE"/>
    <s v="7121586321.0"/>
    <s v="JOVANI AVILA ADILON"/>
    <s v="7121180744"/>
    <s v="ADELINA MIRANDA"/>
    <s v="7122139937"/>
    <s v="JUAN CONTRERAS"/>
    <s v="5529501737"/>
    <m/>
    <m/>
    <m/>
    <m/>
    <m/>
    <m/>
    <n v="50324.480000000003"/>
    <n v="9.1700000000000004E-2"/>
    <n v="1"/>
    <s v="Individual sin Garantía"/>
    <s v="SAN BARTOLO DEL LLANO #SN"/>
    <s v="San Bartolo del Llano cu"/>
    <s v="México"/>
    <s v="Ixtlahuaca"/>
    <s v="19°35'34.9&quot;N 99°44'46.8&quot;W"/>
    <s v="Ver en mapa"/>
    <m/>
    <m/>
    <n v="0"/>
    <n v="0"/>
    <s v="Transferencia electrónica"/>
    <s v="100138802"/>
    <n v="0"/>
    <n v="0"/>
    <n v="0"/>
  </r>
  <r>
    <s v="001392"/>
    <s v="Región Estado México"/>
    <x v="4"/>
    <s v="000082"/>
    <s v="ENRIQUEZ VILCHIS MARIA ALEJANDRA"/>
    <x v="5"/>
    <x v="5"/>
    <s v="02"/>
    <s v="MAYA RUIZ VICTORIA"/>
    <d v="2025-12-18T00:00:00"/>
    <d v="2026-06-04T00:00:00"/>
    <n v="8000"/>
    <n v="8427.26"/>
    <n v="0"/>
    <x v="6"/>
    <n v="12"/>
    <s v="Catorcenal"/>
    <n v="1042.6400000000001"/>
    <n v="696"/>
    <n v="0"/>
    <n v="1"/>
    <n v="1"/>
    <n v="8427.26"/>
    <n v="1042.6416999999999"/>
    <n v="702.27"/>
    <n v="282.37"/>
    <n v="58"/>
    <n v="0"/>
    <m/>
    <m/>
    <s v="Entregado"/>
    <n v="7121159067"/>
    <s v="araceli121285@gmail.com"/>
    <m/>
    <s v="CRIA Y EXPLOTACION DE GANADO OVINO"/>
    <n v="222018"/>
    <m/>
    <m/>
    <s v="ROSALBA GONZALEZ CRUZ"/>
    <s v="5585724160"/>
    <s v="MARGARITA MARTINEZ"/>
    <s v="7121359448"/>
    <s v="ESTELA SANCHEZ"/>
    <s v="7121918364"/>
    <m/>
    <m/>
    <m/>
    <m/>
    <m/>
    <m/>
    <n v="11873.69"/>
    <n v="0"/>
    <n v="1"/>
    <s v="Individual sin Garantía"/>
    <s v="EL TUNAL #SN"/>
    <s v="El Tunal"/>
    <s v="México"/>
    <s v="San Felipe Del Progreso"/>
    <s v="19°42'56.5&quot;N 99°57'39.4&quot;W"/>
    <s v="Ver en mapa"/>
    <m/>
    <m/>
    <n v="1"/>
    <n v="1"/>
    <s v="Transferencia electrónica"/>
    <s v="100139202"/>
    <n v="0"/>
    <n v="0"/>
    <n v="8.7811093265867654E-2"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0C8F6-1688-4BFB-94A1-D1EE0E8846FF}" name="TablaDinámica2" cacheId="5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oordinación">
  <location ref="A8:G15" firstHeaderRow="0" firstDataRow="1" firstDataCol="1"/>
  <pivotFields count="69">
    <pivotField showAll="0"/>
    <pivotField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dataField="1"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dataField="1"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dataField="1" numFmtId="165" showAll="0"/>
    <pivotField numFmtId="9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 numFmtId="166"/>
    <dataField name="Saldo_x000a_Vencido" fld="23" baseField="0" baseItem="0" numFmtId="166"/>
    <dataField name="Saldo_x000a_Total" fld="50" baseField="0" baseItem="0" numFmtId="166"/>
    <dataField name="Saldo_x000a_Riesgo Capital" fld="66" baseField="0" baseItem="0" numFmtId="165"/>
    <dataField name="Saldo_x000a_Riesgo Total" fld="67" baseField="0" baseItem="0" numFmtId="165"/>
  </dataFields>
  <formats count="20">
    <format dxfId="90">
      <pivotArea field="2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">
      <pivotArea field="2" type="button" dataOnly="0" labelOnly="1" outline="0" axis="axisRow" fieldPosition="0"/>
    </format>
    <format dxfId="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">
      <pivotArea collapsedLevelsAreSubtotals="1" fieldPosition="0">
        <references count="1">
          <reference field="2" count="0"/>
        </references>
      </pivotArea>
    </format>
    <format dxfId="84">
      <pivotArea collapsedLevelsAreSubtotals="1" fieldPosition="0">
        <references count="2">
          <reference field="4294967294" count="1" selected="0">
            <x v="2"/>
          </reference>
          <reference field="2" count="1">
            <x v="0"/>
          </reference>
        </references>
      </pivotArea>
    </format>
    <format dxfId="83">
      <pivotArea field="2" type="button" dataOnly="0" labelOnly="1" outline="0" axis="axisRow" fieldPosition="0"/>
    </format>
    <format dxfId="82">
      <pivotArea grandRow="1" outline="0" collapsedLevelsAreSubtotals="1" fieldPosition="0"/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1">
            <x v="5"/>
          </reference>
        </references>
      </pivotArea>
    </format>
    <format dxfId="79">
      <pivotArea grandRow="1" outline="0" collapsedLevelsAreSubtotals="1" fieldPosition="0"/>
    </format>
    <format dxfId="78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77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76">
      <pivotArea dataOnly="0" labelOnly="1" grandRow="1" outline="0" fieldPosition="0"/>
    </format>
    <format dxfId="75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74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73">
      <pivotArea dataOnly="0" grandRow="1" fieldPosition="0"/>
    </format>
    <format dxfId="72">
      <pivotArea grandRow="1" outline="0" collapsedLevelsAreSubtotals="1" fieldPosition="0"/>
    </format>
    <format dxfId="7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165D9-9258-4F64-A124-98C3CCC8462F}" name="TablaDinámica3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PAR">
  <location ref="J8:S16" firstHeaderRow="1" firstDataRow="2" firstDataCol="1"/>
  <pivotFields count="69">
    <pivotField showAll="0"/>
    <pivotField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showAll="0"/>
    <pivotField showAll="0"/>
    <pivotField axis="axisCol" showAll="0">
      <items count="10">
        <item x="6"/>
        <item x="5"/>
        <item x="4"/>
        <item x="3"/>
        <item x="2"/>
        <item x="1"/>
        <item x="0"/>
        <item x="7"/>
        <item m="1" x="8"/>
        <item t="default"/>
      </items>
    </pivotField>
    <pivotField showAll="0"/>
    <pivotField showAll="0"/>
    <pivotField showAll="0"/>
    <pivotField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numFmtId="165" showAll="0"/>
    <pivotField numFmtId="9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a de Saldo riesgo total" fld="67" baseField="0" baseItem="0" numFmtId="165"/>
  </dataFields>
  <formats count="5">
    <format dxfId="95">
      <pivotArea dataOnly="0" labelOnly="1" fieldPosition="0">
        <references count="1">
          <reference field="14" count="0"/>
        </references>
      </pivotArea>
    </format>
    <format dxfId="94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93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92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91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99A7A3-4141-4DAD-9761-B8491DE1E75F}" name="TablaDinámica2" cacheId="5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>
  <location ref="A8:I26" firstHeaderRow="0" firstDataRow="1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x="4"/>
        <item x="2"/>
        <item x="1"/>
        <item x="3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0"/>
        <item x="4"/>
        <item x="5"/>
        <item x="3"/>
        <item x="6"/>
        <item x="1"/>
        <item x="7"/>
        <item x="2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5"/>
        <item x="0"/>
        <item x="2"/>
        <item x="4"/>
        <item x="7"/>
        <item x="6"/>
        <item x="1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18">
    <i>
      <x/>
      <x v="2"/>
      <x v="1"/>
    </i>
    <i r="1">
      <x v="5"/>
      <x v="7"/>
    </i>
    <i r="1">
      <x v="7"/>
      <x v="3"/>
    </i>
    <i>
      <x v="1"/>
      <x/>
      <x v="2"/>
    </i>
    <i r="1">
      <x v="2"/>
      <x v="1"/>
    </i>
    <i r="1">
      <x v="5"/>
      <x v="7"/>
    </i>
    <i>
      <x v="2"/>
      <x/>
      <x v="2"/>
    </i>
    <i r="1">
      <x v="1"/>
      <x v="4"/>
    </i>
    <i r="1">
      <x v="2"/>
      <x v="1"/>
    </i>
    <i r="1">
      <x v="4"/>
      <x v="6"/>
    </i>
    <i>
      <x v="3"/>
      <x v="2"/>
      <x v="1"/>
    </i>
    <i r="1">
      <x v="3"/>
      <x/>
    </i>
    <i r="1">
      <x v="6"/>
      <x v="5"/>
    </i>
    <i>
      <x v="4"/>
      <x/>
      <x v="2"/>
    </i>
    <i r="1">
      <x v="2"/>
      <x v="1"/>
    </i>
    <i r="1">
      <x v="7"/>
      <x v="3"/>
    </i>
    <i>
      <x v="5"/>
      <x v="8"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/>
    <dataField name="Saldo_x000a_Vencido" fld="23" baseField="0" baseItem="0"/>
    <dataField name="Saldo_x000a_Total" fld="50" baseField="0" baseItem="0"/>
    <dataField name="Saldo_x000a_Riesgo Capital" fld="66" baseField="0" baseItem="0"/>
    <dataField name="Saldo_x000a_Riesgo Total" fld="67" baseField="0" baseItem="0"/>
  </dataFields>
  <formats count="17">
    <format dxfId="65">
      <pivotArea field="2" type="button" dataOnly="0" labelOnly="1" outline="0" axis="axisRow" fieldPosition="0"/>
    </format>
    <format dxfId="64">
      <pivotArea field="5" type="button" dataOnly="0" labelOnly="1" outline="0" axis="axisRow" fieldPosition="1"/>
    </format>
    <format dxfId="63">
      <pivotArea field="6" type="button" dataOnly="0" labelOnly="1" outline="0" axis="axisRow" fieldPosition="2"/>
    </format>
    <format dxfId="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">
      <pivotArea dataOnly="0" labelOnly="1" outline="0" fieldPosition="0">
        <references count="1">
          <reference field="2" count="1">
            <x v="5"/>
          </reference>
        </references>
      </pivotArea>
    </format>
    <format dxfId="60">
      <pivotArea dataOnly="0" labelOnly="1" outline="0" fieldPosition="0">
        <references count="2">
          <reference field="2" count="1" selected="0">
            <x v="5"/>
          </reference>
          <reference field="5" count="1">
            <x v="8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5"/>
          </reference>
          <reference field="5" count="1" selected="0">
            <x v="8"/>
          </reference>
          <reference field="6" count="1">
            <x v="8"/>
          </reference>
        </references>
      </pivotArea>
    </format>
    <format dxfId="58">
      <pivotArea outline="0" fieldPosition="0">
        <references count="3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57">
      <pivotArea grandRow="1" outline="0" collapsedLevelsAreSubtotals="1" fieldPosition="0"/>
    </format>
    <format dxfId="56">
      <pivotArea dataOnly="0" labelOnly="1" grandRow="1" outline="0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  <format dxfId="53">
      <pivotArea dataOnly="0" labelOnly="1" grandRow="1" outline="0" fieldPosition="0"/>
    </format>
    <format dxfId="52">
      <pivotArea dataOnly="0" labelOnly="1" grandRow="1" outline="0" fieldPosition="0"/>
    </format>
    <format dxfId="51">
      <pivotArea field="2" grandRow="1" outline="0" axis="axisRow" fieldPosition="0">
        <references count="1">
          <reference field="4294967294" count="1" selected="0">
            <x v="5"/>
          </reference>
        </references>
      </pivotArea>
    </format>
    <format dxfId="50">
      <pivotArea field="2" grandRow="1" outline="0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BEC0F2-77D2-45AE-B5CF-49FDC76AF7B5}" name="TablaDinámica4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7:W26" firstHeaderRow="1" firstDataRow="2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x="4"/>
        <item x="2"/>
        <item x="1"/>
        <item x="3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0"/>
        <item x="4"/>
        <item x="5"/>
        <item x="3"/>
        <item x="6"/>
        <item x="1"/>
        <item x="7"/>
        <item x="2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5"/>
        <item x="0"/>
        <item x="2"/>
        <item x="4"/>
        <item x="7"/>
        <item x="6"/>
        <item x="1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9">
        <item x="6"/>
        <item x="5"/>
        <item x="4"/>
        <item x="3"/>
        <item x="2"/>
        <item x="1"/>
        <item x="0"/>
        <item x="7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18">
    <i>
      <x/>
      <x v="2"/>
      <x v="1"/>
    </i>
    <i r="1">
      <x v="5"/>
      <x v="7"/>
    </i>
    <i r="1">
      <x v="7"/>
      <x v="3"/>
    </i>
    <i>
      <x v="1"/>
      <x/>
      <x v="2"/>
    </i>
    <i r="1">
      <x v="2"/>
      <x v="1"/>
    </i>
    <i r="1">
      <x v="5"/>
      <x v="7"/>
    </i>
    <i>
      <x v="2"/>
      <x/>
      <x v="2"/>
    </i>
    <i r="1">
      <x v="1"/>
      <x v="4"/>
    </i>
    <i r="1">
      <x v="2"/>
      <x v="1"/>
    </i>
    <i r="1">
      <x v="4"/>
      <x v="6"/>
    </i>
    <i>
      <x v="3"/>
      <x v="2"/>
      <x v="1"/>
    </i>
    <i r="1">
      <x v="3"/>
      <x/>
    </i>
    <i r="1">
      <x v="6"/>
      <x v="5"/>
    </i>
    <i>
      <x v="4"/>
      <x/>
      <x v="2"/>
    </i>
    <i r="1">
      <x v="2"/>
      <x v="1"/>
    </i>
    <i r="1">
      <x v="7"/>
      <x v="3"/>
    </i>
    <i>
      <x v="5"/>
      <x v="8"/>
      <x v="8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a de Saldo riesgo total" fld="67" baseField="0" baseItem="0"/>
  </dataFields>
  <formats count="5">
    <format dxfId="70">
      <pivotArea grandRow="1" outline="0" collapsedLevelsAreSubtotals="1" fieldPosition="0"/>
    </format>
    <format dxfId="69">
      <pivotArea dataOnly="0" labelOnly="1" outline="0" fieldPosition="0">
        <references count="1">
          <reference field="14" count="7">
            <x v="0"/>
            <x v="1"/>
            <x v="2"/>
            <x v="3"/>
            <x v="4"/>
            <x v="5"/>
            <x v="6"/>
          </reference>
        </references>
      </pivotArea>
    </format>
    <format dxfId="68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67">
      <pivotArea outline="0" fieldPosition="0">
        <references count="4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66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EC39BD-4B7F-4A71-B195-8B9EC1F5BAF3}" name="T_181120252" displayName="T_181120252" ref="A2:BQ210">
  <autoFilter ref="A2:BQ210" xr:uid="{B8EC39BD-4B7F-4A71-B195-8B9EC1F5BAF3}"/>
  <tableColumns count="69">
    <tableColumn id="1" xr3:uid="{F7DB08B5-870E-495A-8398-6C0E1B6B8905}" name="Código acreditado" dataDxfId="48"/>
    <tableColumn id="2" xr3:uid="{7FD14B16-E62C-4E5E-BD67-BE9E398DEA36}" name="Nom. región"/>
    <tableColumn id="3" xr3:uid="{27653F69-E972-4684-AB44-8276190DC79C}" name="Coordinación"/>
    <tableColumn id="4" xr3:uid="{DAB63D29-BC9D-43A7-9D0E-1C0E06A57D62}" name="Código promotor"/>
    <tableColumn id="5" xr3:uid="{98286205-3DDA-4098-9CD8-378D39A7BEBA}" name="Nombre promotor"/>
    <tableColumn id="6" xr3:uid="{7A181C02-E203-418D-A688-80D64FBC4C22}" name="Código recuperador"/>
    <tableColumn id="7" xr3:uid="{8A85FD84-E1C5-4489-AB30-92254418521D}" name="Nombre recuperador"/>
    <tableColumn id="8" xr3:uid="{634758E6-A850-4E31-A29A-95C8A969C80D}" name="Ciclo"/>
    <tableColumn id="9" xr3:uid="{EFBB40F5-9974-44B3-AD04-ECF14B86BA93}" name="Nombre acreditado"/>
    <tableColumn id="10" xr3:uid="{A334AD7F-F1B2-4D96-9C0D-BAE0151BE05F}" name="Inicio ciclo" dataDxfId="47"/>
    <tableColumn id="11" xr3:uid="{8F09DAF2-676E-4E02-9A92-E49174A37CA3}" name="Fin ciclo" dataDxfId="46"/>
    <tableColumn id="12" xr3:uid="{8695ABD2-41CA-4E24-96AE-98A84BD6AEB6}" name="Cantidad entregada" dataDxfId="45"/>
    <tableColumn id="13" xr3:uid="{0404A29E-CB5F-416A-8F2A-52B613FCDA6F}" name="Cantidad Prestada" dataDxfId="44"/>
    <tableColumn id="14" xr3:uid="{F6D6CA80-3CB8-435E-81C9-AB2DBCEB2D28}" name="Días de mora"/>
    <tableColumn id="15" xr3:uid="{CC583BAA-748A-4D0E-8E3D-1A14363C2A83}" name="PAR"/>
    <tableColumn id="16" xr3:uid="{984B4A99-BC63-4698-A0B7-F0E6B35BDC01}" name="Plazo del crédito"/>
    <tableColumn id="17" xr3:uid="{E8F8ABFF-EFFD-4E5B-B64A-D58AB9F649E0}" name="Periodicidad"/>
    <tableColumn id="18" xr3:uid="{6D5FEB4C-E7D7-4438-81AE-E327AAFDED47}" name="Parcialidad + Parcialidad comisión"/>
    <tableColumn id="19" xr3:uid="{4BF77CA2-3452-4A11-8A3B-B0F093780DDC}" name="Comisión a pagar"/>
    <tableColumn id="20" xr3:uid="{507550D1-6A0C-40C2-A501-E81AE6D65011}" name="Interés moratorio saldo vencido total" dataDxfId="43"/>
    <tableColumn id="21" xr3:uid="{7CB37C1B-BDD0-4B83-B37D-8DBA7BD4B22D}" name="Pagos vencidos" dataDxfId="42"/>
    <tableColumn id="22" xr3:uid="{8D05E370-B379-4500-8F59-6AEF16BB04A7}" name="Periodos vencidos"/>
    <tableColumn id="23" xr3:uid="{55EB17F8-4C1D-4ADF-90B0-6B249A03F271}" name="Saldo capital" dataDxfId="41"/>
    <tableColumn id="24" xr3:uid="{3AF7D551-A0B7-439F-892E-6365FC6B4EAB}" name="Saldo vencido" dataDxfId="40"/>
    <tableColumn id="25" xr3:uid="{4980CF2F-A69A-4B79-B9E9-59B48A939E62}" name="Saldo capital vencido" dataDxfId="39"/>
    <tableColumn id="26" xr3:uid="{2577AA99-E997-4C6D-8505-7F1032D470B9}" name="Saldo interés vencido" dataDxfId="38"/>
    <tableColumn id="27" xr3:uid="{4521BBD6-66C6-479C-87AC-94D2E660137D}" name="Saldo comisión vencida" dataDxfId="37"/>
    <tableColumn id="28" xr3:uid="{775D14A7-1F1F-47F7-9262-B4F4E7C907C1}" name="Saldo recargos" dataDxfId="36"/>
    <tableColumn id="29" xr3:uid="{3FD5E327-67A8-4DE8-913F-91753A84EE74}" name="$ Último pago" dataDxfId="35"/>
    <tableColumn id="30" xr3:uid="{CD2D9D92-853B-47AA-9D73-67654F40703A}" name="Último pago" dataDxfId="34"/>
    <tableColumn id="31" xr3:uid="{2D1A2F37-1790-485D-8F88-6E158EB5514A}" name="Situación crédito"/>
    <tableColumn id="32" xr3:uid="{5E5D861A-2795-4C75-B7A7-A170EE2850BC}" name="Medio comunic. 1"/>
    <tableColumn id="33" xr3:uid="{E26AD156-4C4D-422D-BE6B-30970552920D}" name="Medio comunic. 2"/>
    <tableColumn id="34" xr3:uid="{C175D2FA-2573-42B1-9034-41706281370E}" name="Medio comunic. 3"/>
    <tableColumn id="35" xr3:uid="{B053E607-2C85-40EC-ABCF-A15041C12529}" name="Actividad económica PLD"/>
    <tableColumn id="36" xr3:uid="{0A9BF427-62D0-40D9-83D1-4DFA8FF1F02A}" name="Código actividad económica PLD"/>
    <tableColumn id="37" xr3:uid="{AD91CAF5-E743-4610-898E-8A4455024FCC}" name="Nombre conyuge"/>
    <tableColumn id="38" xr3:uid="{15BE5F3C-801B-4009-A8D9-A978C0DB524E}" name="Teléfono conyuge"/>
    <tableColumn id="39" xr3:uid="{D8B2236C-8B3A-48F5-9931-98BF4541E691}" name="Nombre Referencia1"/>
    <tableColumn id="40" xr3:uid="{94969EB0-F86C-4CD1-A9BA-6A3FC9B2CDBE}" name="Teléfono Referencia1"/>
    <tableColumn id="41" xr3:uid="{2FBFD27A-0B7D-49C4-9F5A-F7E0A006C288}" name="Nombre Referencia2"/>
    <tableColumn id="42" xr3:uid="{C4D1384A-D0EB-4ECF-B440-B4A538812B15}" name="Teléfono Referencia2"/>
    <tableColumn id="43" xr3:uid="{F7644A95-7132-4F22-A1A6-EC5646521D21}" name="Nombre Referencia3"/>
    <tableColumn id="44" xr3:uid="{EA790E28-E088-4FA0-817E-011A87FAD063}" name="Teléfono Referencia3"/>
    <tableColumn id="45" xr3:uid="{AE241117-114B-4D01-87CD-B16519E3166F}" name="Tipo Garantía 1"/>
    <tableColumn id="46" xr3:uid="{F5D78D67-F9C7-49B8-962E-EEF7AA907B9C}" name="Descripción garantía 1"/>
    <tableColumn id="47" xr3:uid="{4A577D17-85D6-4764-A114-CF71EDC6257E}" name="Garantía 1"/>
    <tableColumn id="48" xr3:uid="{6E38C7E3-4741-43C0-880B-108979BAF1D4}" name="Tipo Garantía 2"/>
    <tableColumn id="49" xr3:uid="{6DAC1A55-631F-4C46-A02F-0D741D32DB7A}" name="Descripción garantía 2"/>
    <tableColumn id="50" xr3:uid="{549C1B2A-9802-47C4-ADB0-5BF0B7CCCB64}" name="Garantía 2"/>
    <tableColumn id="51" xr3:uid="{62127943-EABB-4EC1-9A58-C9A0934B7DC5}" name="Saldo total" dataDxfId="33"/>
    <tableColumn id="52" xr3:uid="{F66805A6-2583-4DE0-B559-52E74E29EAFF}" name="Saldo adelantado" dataDxfId="32"/>
    <tableColumn id="53" xr3:uid="{3F44CAF6-DEA7-4A63-9ACF-CD6A96B3E856}" name="Cód. producto crédito"/>
    <tableColumn id="54" xr3:uid="{95F30154-AF8F-4625-9983-F250FB3F7925}" name="Nom. producto crédito"/>
    <tableColumn id="55" xr3:uid="{0047E5B3-83DE-42EA-ACC7-8078AFBD00DB}" name="Calle"/>
    <tableColumn id="56" xr3:uid="{F4546F53-BB3B-4A08-9864-B015CC84085B}" name="Colonia"/>
    <tableColumn id="57" xr3:uid="{83950C61-348D-4C63-8147-4AAC2CFC1322}" name="Entidad federativa"/>
    <tableColumn id="58" xr3:uid="{2542A143-5CAE-4091-9D5C-69C2651B6B1E}" name="Municipio"/>
    <tableColumn id="59" xr3:uid="{D92003F6-AAA7-4782-8432-F6D00AC14AC2}" name="Geolocalización domicilio"/>
    <tableColumn id="60" xr3:uid="{CF8FBBE3-32A2-4F6F-9FD7-13D0D867B201}" name="Link de Geolocalización" dataDxfId="31"/>
    <tableColumn id="61" xr3:uid="{C17C7A43-0B2F-4AC1-8D52-0D4C13D38EFE}" name="Castigado cartera"/>
    <tableColumn id="62" xr3:uid="{8F678D9E-307E-4ED0-8458-4525D6990D90}" name="Nom. personal castiga cartera"/>
    <tableColumn id="63" xr3:uid="{7352EDEA-B6E9-439A-9CE5-3E215155722C}" name="Frecuencia"/>
    <tableColumn id="64" xr3:uid="{91744B41-C0D4-4732-BDED-7D6319C178C7}" name="Criticidad"/>
    <tableColumn id="65" xr3:uid="{8B37992C-9C2F-43CC-94DD-BB0C2F3A2489}" name="Forma de entrega"/>
    <tableColumn id="66" xr3:uid="{39763E3B-13A0-4DE2-8AFA-27AA5DF94131}" name="Concepto Depósito" dataDxfId="30"/>
    <tableColumn id="67" xr3:uid="{B80B3F03-23D9-4025-824D-F1CFBA9C8688}" name="Saldo riesgo capital" dataDxfId="29"/>
    <tableColumn id="68" xr3:uid="{B8E1CA16-35B0-4189-B6A2-3A7C34F3BB19}" name="Saldo riesgo total" dataDxfId="28"/>
    <tableColumn id="69" xr3:uid="{0E740140-D86A-436C-9B2A-1745CCB84439}" name="% MORA" dataDxfId="27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0D46106-5C47-441D-8121-C3F027B37D77}" name="T_18112025" displayName="T_18112025" ref="A2:BQ3" insertRow="1">
  <autoFilter ref="A2:BQ3" xr:uid="{10D46106-5C47-441D-8121-C3F027B37D77}"/>
  <tableColumns count="69">
    <tableColumn id="1" xr3:uid="{45AB632D-1122-4B80-B84C-B27DAB2FC8B5}" name="Código acreditado" dataDxfId="26"/>
    <tableColumn id="2" xr3:uid="{56A60274-305A-4AC1-8E51-953967DA1E68}" name="Nom. región"/>
    <tableColumn id="3" xr3:uid="{BD97A124-225D-40D5-B3E6-985115D7D666}" name="Coordinación"/>
    <tableColumn id="4" xr3:uid="{18C8E859-BA54-491C-B0C9-A8C3932FBDE1}" name="Código promotor"/>
    <tableColumn id="5" xr3:uid="{E2E5D7CB-2B4E-41EA-9DEF-05FAB812B2EB}" name="Nombre promotor"/>
    <tableColumn id="6" xr3:uid="{F09793CB-8A25-4838-B64B-EC581BB9972E}" name="Código recuperador"/>
    <tableColumn id="7" xr3:uid="{8E589B69-B8A7-4E98-A83A-6E00296230DD}" name="Nombre recuperador"/>
    <tableColumn id="8" xr3:uid="{B4F1CF15-FD07-4E79-AFFC-CDAA81FE2738}" name="Ciclo"/>
    <tableColumn id="9" xr3:uid="{082FAA69-DBFF-46FC-A7D2-B5E4DDC7E8B7}" name="Nombre acreditado"/>
    <tableColumn id="10" xr3:uid="{F131CC65-61B3-4ED5-95A6-95F505E9E842}" name="Inicio ciclo" dataDxfId="25"/>
    <tableColumn id="11" xr3:uid="{34F112EA-0BC7-4EEF-8E28-C0732D18D81A}" name="Fin ciclo" dataDxfId="24"/>
    <tableColumn id="12" xr3:uid="{4B3AD626-CA83-45D8-83C4-5D7AD6ACA557}" name="Cantidad entregada" dataDxfId="23"/>
    <tableColumn id="13" xr3:uid="{3883B301-4ED6-4929-86A9-661C41FC3B32}" name="Cantidad Prestada" dataDxfId="22"/>
    <tableColumn id="14" xr3:uid="{AA93B381-3BDA-427B-8EDF-E6354650575C}" name="Días de mora"/>
    <tableColumn id="15" xr3:uid="{800B2624-AB8E-4909-9EE2-4DA7BF5A0A37}" name="PAR"/>
    <tableColumn id="16" xr3:uid="{7A254042-BB5B-4F41-A9D3-DAFAD1D133A2}" name="Plazo del crédito"/>
    <tableColumn id="17" xr3:uid="{9A83C30A-F209-4F6F-B948-5F5AFCC18810}" name="Periodicidad"/>
    <tableColumn id="18" xr3:uid="{083F4FCF-0EDE-4262-AA37-98740F581D76}" name="Parcialidad + Parcialidad comisión"/>
    <tableColumn id="19" xr3:uid="{895E2C82-81B3-4949-AC9D-ACD09DF1FDF6}" name="Comisión a pagar"/>
    <tableColumn id="20" xr3:uid="{AABC9F03-56A9-40DA-94EC-3F3B267566CC}" name="Interés moratorio saldo vencido total" dataDxfId="21"/>
    <tableColumn id="21" xr3:uid="{328236F2-7148-4CB9-8512-0D2EDF1BD035}" name="Pagos vencidos" dataDxfId="20"/>
    <tableColumn id="22" xr3:uid="{801E3434-C094-4269-9345-72A8C0AE5F55}" name="Periodos vencidos"/>
    <tableColumn id="23" xr3:uid="{84A22AA9-9BC6-4A39-8EE3-F1400FE2BCA7}" name="Saldo capital" dataDxfId="19"/>
    <tableColumn id="24" xr3:uid="{2D23D163-4883-4DBD-9994-16C25DAC69B3}" name="Saldo vencido" dataDxfId="18"/>
    <tableColumn id="25" xr3:uid="{79B1C402-CE9E-487F-9A8E-81311838658B}" name="Saldo capital vencido" dataDxfId="17"/>
    <tableColumn id="26" xr3:uid="{87F24D6D-B8DC-407A-A2BD-601DB3D425FA}" name="Saldo interés vencido" dataDxfId="16"/>
    <tableColumn id="27" xr3:uid="{F87BD36D-98E5-4F0E-AEC5-EB267105899F}" name="Saldo comisión vencida" dataDxfId="15"/>
    <tableColumn id="28" xr3:uid="{93249545-B07B-4A09-808F-9ED828048AC8}" name="Saldo recargos" dataDxfId="14"/>
    <tableColumn id="29" xr3:uid="{2832DD59-AF7A-4147-A7DC-F3CC07589229}" name="$ Último pago" dataDxfId="13"/>
    <tableColumn id="30" xr3:uid="{12F63B83-B909-4491-B9C1-2CEA2480DE1A}" name="Último pago" dataDxfId="12"/>
    <tableColumn id="31" xr3:uid="{36DC10E2-231A-4BFC-8AB7-ED12061E3D69}" name="Situación crédito"/>
    <tableColumn id="32" xr3:uid="{B89C2B40-4052-49F0-96FB-84B40E829ED8}" name="Medio comunic. 1"/>
    <tableColumn id="33" xr3:uid="{DD12DD5D-3C97-44E0-86DB-8C20C7CFDD1E}" name="Medio comunic. 2"/>
    <tableColumn id="34" xr3:uid="{8F5976FC-1C11-4F21-A788-B5964E54B4D9}" name="Medio comunic. 3"/>
    <tableColumn id="35" xr3:uid="{85A62C4C-842E-4915-A6CB-7C5C60A7EB86}" name="Actividad económica PLD"/>
    <tableColumn id="36" xr3:uid="{FD9B3E1F-A73C-451D-8273-DE17F0F82187}" name="Código actividad económica PLD"/>
    <tableColumn id="37" xr3:uid="{CAD8EEFF-D93A-458C-B0C8-3749DB9E59C1}" name="Nombre conyuge"/>
    <tableColumn id="38" xr3:uid="{4C739AD4-3083-47D9-B26D-E8EF8F5835D1}" name="Teléfono conyuge"/>
    <tableColumn id="39" xr3:uid="{AB1DF676-C709-4C52-8C1A-1A5E16DA58FB}" name="Nombre Referencia1"/>
    <tableColumn id="40" xr3:uid="{E771F7D0-53F8-42FF-B1FB-9E7C88DA4697}" name="Teléfono Referencia1"/>
    <tableColumn id="41" xr3:uid="{1A4B1524-B076-4C77-A8CB-E7088E4FE862}" name="Nombre Referencia2"/>
    <tableColumn id="42" xr3:uid="{1A8E6D0A-645D-4E4F-B4CF-39DABC3DB62B}" name="Teléfono Referencia2"/>
    <tableColumn id="43" xr3:uid="{10C74279-CD33-489F-B1F1-004BDE198225}" name="Nombre Referencia3"/>
    <tableColumn id="44" xr3:uid="{A936190A-20A0-4A06-AD7E-A2CACC349D71}" name="Teléfono Referencia3"/>
    <tableColumn id="45" xr3:uid="{785BE78C-DB95-49FF-BA3E-36332FD4D0DA}" name="Tipo Garantía 1"/>
    <tableColumn id="46" xr3:uid="{B0AAABB2-319D-4932-A7F2-F7679FE94C2C}" name="Descripción garantía 1"/>
    <tableColumn id="47" xr3:uid="{77E19DDA-7E31-430D-9F4E-2F64B8AA711F}" name="Garantía 1"/>
    <tableColumn id="48" xr3:uid="{3DFD0FA7-753D-47E2-9C9F-1B9F89D6A76B}" name="Tipo Garantía 2"/>
    <tableColumn id="49" xr3:uid="{BDEB7300-71A5-4C60-9F66-49D144BECE18}" name="Descripción garantía 2"/>
    <tableColumn id="50" xr3:uid="{5F4A9E4E-9219-4942-9BA8-B91326BB2814}" name="Garantía 2"/>
    <tableColumn id="51" xr3:uid="{F644ED04-B57A-4F37-B2AB-0732D59FA4A1}" name="Saldo total" dataDxfId="11"/>
    <tableColumn id="52" xr3:uid="{C8299F8C-588E-47E1-8238-6D88C20505E7}" name="Saldo adelantado" dataDxfId="10"/>
    <tableColumn id="53" xr3:uid="{C0B0BA4E-44B2-4020-AE8B-9D18EC27A2E0}" name="Cód. producto crédito"/>
    <tableColumn id="54" xr3:uid="{EB888286-D588-4D37-AE08-EC6A1DA12B16}" name="Nom. producto crédito"/>
    <tableColumn id="55" xr3:uid="{D8E9758C-EFD4-4C30-B8D4-28BA0FAFF4D9}" name="Calle"/>
    <tableColumn id="56" xr3:uid="{BDFDA04A-965B-4A6C-8DBA-68298BD5EE02}" name="Colonia"/>
    <tableColumn id="57" xr3:uid="{913A1172-AA94-4182-89D0-0926C1F936C2}" name="Entidad federativa"/>
    <tableColumn id="58" xr3:uid="{5168D7AF-9E44-4709-AF32-9236572B7471}" name="Municipio"/>
    <tableColumn id="59" xr3:uid="{A38D81F5-CDFB-41B3-B85F-1C19D335B9C4}" name="Geolocalización domicilio"/>
    <tableColumn id="60" xr3:uid="{A6BDD858-5EA5-4F8C-BA19-7E141A37BA7B}" name="Link de Geolocalización" dataDxfId="9"/>
    <tableColumn id="61" xr3:uid="{D92129B5-11F2-4C49-8B99-DC60C4E5C841}" name="Castigado cartera"/>
    <tableColumn id="62" xr3:uid="{47F56B99-6911-4E25-A7B4-7E801630D507}" name="Nom. personal castiga cartera"/>
    <tableColumn id="63" xr3:uid="{865F0885-1DC4-43D3-B04E-9F786EFFF365}" name="Frecuencia"/>
    <tableColumn id="64" xr3:uid="{B4520D4E-F6F0-4B56-876C-350E31D27492}" name="Criticidad"/>
    <tableColumn id="65" xr3:uid="{8C28B571-2D1E-4EC5-820E-6EE2E1C02066}" name="Forma de entrega"/>
    <tableColumn id="66" xr3:uid="{3E65D14E-0B52-4DA4-86AE-A37DA8EB0E3F}" name="Concepto Depósito" dataDxfId="8"/>
    <tableColumn id="67" xr3:uid="{18AA5489-C623-4E4B-AC5B-2E9C4890EAE1}" name="Saldo riesgo capital" dataDxfId="7"/>
    <tableColumn id="68" xr3:uid="{A2186643-E023-4F4C-A8B6-1CDFA6DB3D43}" name="Saldo riesgo total" dataDxfId="6"/>
    <tableColumn id="69" xr3:uid="{E9C1DDC1-9481-41A0-B2F4-C572741C2188}" name="% MORA" dataDxfId="5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18.841777777777775,-99.67741666666667" TargetMode="External"/><Relationship Id="rId21" Type="http://schemas.openxmlformats.org/officeDocument/2006/relationships/hyperlink" Target="https://maps.google.com/" TargetMode="External"/><Relationship Id="rId42" Type="http://schemas.openxmlformats.org/officeDocument/2006/relationships/hyperlink" Target="https://maps.google.com/" TargetMode="External"/><Relationship Id="rId63" Type="http://schemas.openxmlformats.org/officeDocument/2006/relationships/hyperlink" Target="https://www.google.com/maps/search/?api=1&amp;query=19.795055555555557,-99.88366666666667" TargetMode="External"/><Relationship Id="rId84" Type="http://schemas.openxmlformats.org/officeDocument/2006/relationships/hyperlink" Target="https://www.google.com/maps/search/?api=1&amp;query=18.842944444444445,-99.6846388888889" TargetMode="External"/><Relationship Id="rId138" Type="http://schemas.openxmlformats.org/officeDocument/2006/relationships/hyperlink" Target="https://www.google.com/maps/search/?api=1&amp;query=19.249333333333333,-100.05530555555555" TargetMode="External"/><Relationship Id="rId159" Type="http://schemas.openxmlformats.org/officeDocument/2006/relationships/hyperlink" Target="https://www.google.com/maps/search/?api=1&amp;query=19.09997222222222,-99.52925" TargetMode="External"/><Relationship Id="rId170" Type="http://schemas.openxmlformats.org/officeDocument/2006/relationships/hyperlink" Target="https://maps.google.com/" TargetMode="External"/><Relationship Id="rId191" Type="http://schemas.openxmlformats.org/officeDocument/2006/relationships/hyperlink" Target="https://maps.google.com/" TargetMode="External"/><Relationship Id="rId205" Type="http://schemas.openxmlformats.org/officeDocument/2006/relationships/hyperlink" Target="https://www.google.com/maps/search/?api=1&amp;query=19.593027777777777,-99.74633333333334" TargetMode="External"/><Relationship Id="rId107" Type="http://schemas.openxmlformats.org/officeDocument/2006/relationships/hyperlink" Target="https://maps.google.com/" TargetMode="External"/><Relationship Id="rId11" Type="http://schemas.openxmlformats.org/officeDocument/2006/relationships/hyperlink" Target="https://maps.google.com/" TargetMode="External"/><Relationship Id="rId32" Type="http://schemas.openxmlformats.org/officeDocument/2006/relationships/hyperlink" Target="https://maps.google.com/" TargetMode="External"/><Relationship Id="rId53" Type="http://schemas.openxmlformats.org/officeDocument/2006/relationships/hyperlink" Target="https://www.google.com/maps/search/?api=1&amp;query=18.969555555555555,-99.66166666666668" TargetMode="External"/><Relationship Id="rId74" Type="http://schemas.openxmlformats.org/officeDocument/2006/relationships/hyperlink" Target="https://maps.google.com/" TargetMode="External"/><Relationship Id="rId128" Type="http://schemas.openxmlformats.org/officeDocument/2006/relationships/hyperlink" Target="https://maps.google.com/" TargetMode="External"/><Relationship Id="rId149" Type="http://schemas.openxmlformats.org/officeDocument/2006/relationships/hyperlink" Target="https://maps.google.com/" TargetMode="External"/><Relationship Id="rId5" Type="http://schemas.openxmlformats.org/officeDocument/2006/relationships/hyperlink" Target="https://maps.google.com/" TargetMode="External"/><Relationship Id="rId95" Type="http://schemas.openxmlformats.org/officeDocument/2006/relationships/hyperlink" Target="https://www.google.com/maps/search/?api=1&amp;query=19.566055555555558,-99.766" TargetMode="External"/><Relationship Id="rId160" Type="http://schemas.openxmlformats.org/officeDocument/2006/relationships/hyperlink" Target="https://www.google.com/maps/search/?api=1&amp;query=18.975055555555553,-99.57463888888888" TargetMode="External"/><Relationship Id="rId181" Type="http://schemas.openxmlformats.org/officeDocument/2006/relationships/hyperlink" Target="https://maps.google.com/" TargetMode="External"/><Relationship Id="rId22" Type="http://schemas.openxmlformats.org/officeDocument/2006/relationships/hyperlink" Target="https://maps.google.com/" TargetMode="External"/><Relationship Id="rId43" Type="http://schemas.openxmlformats.org/officeDocument/2006/relationships/hyperlink" Target="https://www.google.com/maps/search/?api=1&amp;query=18.98286111111111,-99.52702777777777" TargetMode="External"/><Relationship Id="rId64" Type="http://schemas.openxmlformats.org/officeDocument/2006/relationships/hyperlink" Target="https://maps.google.com/" TargetMode="External"/><Relationship Id="rId118" Type="http://schemas.openxmlformats.org/officeDocument/2006/relationships/hyperlink" Target="https://www.google.com/maps/search/?api=1&amp;query=18.899361111111112,-99.64119444444445" TargetMode="External"/><Relationship Id="rId139" Type="http://schemas.openxmlformats.org/officeDocument/2006/relationships/hyperlink" Target="https://maps.google.com/" TargetMode="External"/><Relationship Id="rId85" Type="http://schemas.openxmlformats.org/officeDocument/2006/relationships/hyperlink" Target="https://maps.google.com/" TargetMode="External"/><Relationship Id="rId150" Type="http://schemas.openxmlformats.org/officeDocument/2006/relationships/hyperlink" Target="https://maps.google.com/" TargetMode="External"/><Relationship Id="rId171" Type="http://schemas.openxmlformats.org/officeDocument/2006/relationships/hyperlink" Target="https://www.google.com/maps/search/?api=1&amp;query=18.94602777777778,-99.62875" TargetMode="External"/><Relationship Id="rId192" Type="http://schemas.openxmlformats.org/officeDocument/2006/relationships/hyperlink" Target="https://www.google.com/maps/search/?api=1&amp;query=19.19536111111111,-99.62925" TargetMode="External"/><Relationship Id="rId206" Type="http://schemas.openxmlformats.org/officeDocument/2006/relationships/hyperlink" Target="https://www.google.com/maps/search/?api=1&amp;query=19.715694444444445,-99.96094444444445" TargetMode="External"/><Relationship Id="rId12" Type="http://schemas.openxmlformats.org/officeDocument/2006/relationships/hyperlink" Target="https://maps.google.com/" TargetMode="External"/><Relationship Id="rId33" Type="http://schemas.openxmlformats.org/officeDocument/2006/relationships/hyperlink" Target="https://www.google.com/maps/@1" TargetMode="External"/><Relationship Id="rId108" Type="http://schemas.openxmlformats.org/officeDocument/2006/relationships/hyperlink" Target="https://www.google.com/maps/search/?api=1&amp;query=19.74811111111111,-99.80741666666667" TargetMode="External"/><Relationship Id="rId129" Type="http://schemas.openxmlformats.org/officeDocument/2006/relationships/hyperlink" Target="https://maps.google.com/" TargetMode="External"/><Relationship Id="rId54" Type="http://schemas.openxmlformats.org/officeDocument/2006/relationships/hyperlink" Target="https://maps.google.com/" TargetMode="External"/><Relationship Id="rId75" Type="http://schemas.openxmlformats.org/officeDocument/2006/relationships/hyperlink" Target="https://maps.google.com/" TargetMode="External"/><Relationship Id="rId96" Type="http://schemas.openxmlformats.org/officeDocument/2006/relationships/hyperlink" Target="https://www.google.com/maps/search/?api=1&amp;query=19.27336111111111,-99.59363888888889" TargetMode="External"/><Relationship Id="rId140" Type="http://schemas.openxmlformats.org/officeDocument/2006/relationships/hyperlink" Target="https://www.google.com/maps/search/?api=1&amp;query=19.280416666666667,-100.02211111111112" TargetMode="External"/><Relationship Id="rId161" Type="http://schemas.openxmlformats.org/officeDocument/2006/relationships/hyperlink" Target="https://www.google.com/maps/search/?api=1&amp;query=18.945833333333333,-99.58280555555555" TargetMode="External"/><Relationship Id="rId182" Type="http://schemas.openxmlformats.org/officeDocument/2006/relationships/hyperlink" Target="https://maps.google.com/" TargetMode="External"/><Relationship Id="rId6" Type="http://schemas.openxmlformats.org/officeDocument/2006/relationships/hyperlink" Target="https://maps.google.com/" TargetMode="External"/><Relationship Id="rId23" Type="http://schemas.openxmlformats.org/officeDocument/2006/relationships/hyperlink" Target="https://www.google.com/maps/search/?api=1&amp;query=19.203388888888888,-100.13105555555555" TargetMode="External"/><Relationship Id="rId119" Type="http://schemas.openxmlformats.org/officeDocument/2006/relationships/hyperlink" Target="https://maps.google.com/" TargetMode="External"/><Relationship Id="rId44" Type="http://schemas.openxmlformats.org/officeDocument/2006/relationships/hyperlink" Target="https://maps.google.com/" TargetMode="External"/><Relationship Id="rId65" Type="http://schemas.openxmlformats.org/officeDocument/2006/relationships/hyperlink" Target="https://maps.google.com/" TargetMode="External"/><Relationship Id="rId86" Type="http://schemas.openxmlformats.org/officeDocument/2006/relationships/hyperlink" Target="https://maps.google.com/" TargetMode="External"/><Relationship Id="rId130" Type="http://schemas.openxmlformats.org/officeDocument/2006/relationships/hyperlink" Target="https://www.google.com/maps/search/?api=1&amp;query=19.25347222222222,-100.02113888888888" TargetMode="External"/><Relationship Id="rId151" Type="http://schemas.openxmlformats.org/officeDocument/2006/relationships/hyperlink" Target="https://www.google.com/maps/search/?api=1&amp;query=18.93038888888889,-99.43536111111112" TargetMode="External"/><Relationship Id="rId172" Type="http://schemas.openxmlformats.org/officeDocument/2006/relationships/hyperlink" Target="https://www.google.com/maps/search/?api=1&amp;query=18.954694444444442,-99.64344444444446" TargetMode="External"/><Relationship Id="rId193" Type="http://schemas.openxmlformats.org/officeDocument/2006/relationships/hyperlink" Target="https://maps.google.com/" TargetMode="External"/><Relationship Id="rId207" Type="http://schemas.openxmlformats.org/officeDocument/2006/relationships/hyperlink" Target="https://www.google.com/maps/search/?api=1&amp;query=19.851694444444448,-100.03466666666667" TargetMode="External"/><Relationship Id="rId13" Type="http://schemas.openxmlformats.org/officeDocument/2006/relationships/hyperlink" Target="https://maps.google.com/" TargetMode="External"/><Relationship Id="rId109" Type="http://schemas.openxmlformats.org/officeDocument/2006/relationships/hyperlink" Target="https://www.google.com/maps/search/?api=1&amp;query=18.991027777777777,-99.57183333333333" TargetMode="External"/><Relationship Id="rId34" Type="http://schemas.openxmlformats.org/officeDocument/2006/relationships/hyperlink" Target="https://maps.google.com/" TargetMode="External"/><Relationship Id="rId55" Type="http://schemas.openxmlformats.org/officeDocument/2006/relationships/hyperlink" Target="https://maps.google.com/" TargetMode="External"/><Relationship Id="rId76" Type="http://schemas.openxmlformats.org/officeDocument/2006/relationships/hyperlink" Target="https://www.google.com/maps/search/?api=1&amp;query=19.013472222222223,-99.55691666666667" TargetMode="External"/><Relationship Id="rId97" Type="http://schemas.openxmlformats.org/officeDocument/2006/relationships/hyperlink" Target="https://maps.google.com/" TargetMode="External"/><Relationship Id="rId120" Type="http://schemas.openxmlformats.org/officeDocument/2006/relationships/hyperlink" Target="https://www.google.com/maps/search/?api=1&amp;query=19.192972222222224,-100.13569444444445" TargetMode="External"/><Relationship Id="rId141" Type="http://schemas.openxmlformats.org/officeDocument/2006/relationships/hyperlink" Target="https://maps.google.com/" TargetMode="External"/><Relationship Id="rId7" Type="http://schemas.openxmlformats.org/officeDocument/2006/relationships/hyperlink" Target="https://maps.google.com/" TargetMode="External"/><Relationship Id="rId162" Type="http://schemas.openxmlformats.org/officeDocument/2006/relationships/hyperlink" Target="https://www.google.com/maps/search/?api=1&amp;query=18.965333333333334,-99.66833333333334" TargetMode="External"/><Relationship Id="rId183" Type="http://schemas.openxmlformats.org/officeDocument/2006/relationships/hyperlink" Target="https://maps.google.com/" TargetMode="External"/><Relationship Id="rId24" Type="http://schemas.openxmlformats.org/officeDocument/2006/relationships/hyperlink" Target="https://maps.google.com/" TargetMode="External"/><Relationship Id="rId45" Type="http://schemas.openxmlformats.org/officeDocument/2006/relationships/hyperlink" Target="https://www.google.com/maps/search/?api=1&amp;query=18.97147222222222,-99.63213888888889" TargetMode="External"/><Relationship Id="rId66" Type="http://schemas.openxmlformats.org/officeDocument/2006/relationships/hyperlink" Target="https://maps.google.com/" TargetMode="External"/><Relationship Id="rId87" Type="http://schemas.openxmlformats.org/officeDocument/2006/relationships/hyperlink" Target="https://maps.google.com/" TargetMode="External"/><Relationship Id="rId110" Type="http://schemas.openxmlformats.org/officeDocument/2006/relationships/hyperlink" Target="https://maps.google.com/" TargetMode="External"/><Relationship Id="rId131" Type="http://schemas.openxmlformats.org/officeDocument/2006/relationships/hyperlink" Target="https://maps.google.com/" TargetMode="External"/><Relationship Id="rId61" Type="http://schemas.openxmlformats.org/officeDocument/2006/relationships/hyperlink" Target="https://maps.google.com/" TargetMode="External"/><Relationship Id="rId82" Type="http://schemas.openxmlformats.org/officeDocument/2006/relationships/hyperlink" Target="https://www.google.com/maps/search/?api=1&amp;query=19.888916666666667,-100.45527777777778" TargetMode="External"/><Relationship Id="rId152" Type="http://schemas.openxmlformats.org/officeDocument/2006/relationships/hyperlink" Target="https://www.google.com/maps/search/?api=1&amp;query=18.974527777777777,-99.65822222222222" TargetMode="External"/><Relationship Id="rId173" Type="http://schemas.openxmlformats.org/officeDocument/2006/relationships/hyperlink" Target="https://www.google.com/maps/search/?api=1&amp;query=19.953722222222222,-100.46563888888889" TargetMode="External"/><Relationship Id="rId194" Type="http://schemas.openxmlformats.org/officeDocument/2006/relationships/hyperlink" Target="https://maps.google.com/" TargetMode="External"/><Relationship Id="rId199" Type="http://schemas.openxmlformats.org/officeDocument/2006/relationships/hyperlink" Target="https://maps.google.com/" TargetMode="External"/><Relationship Id="rId203" Type="http://schemas.openxmlformats.org/officeDocument/2006/relationships/hyperlink" Target="https://www.google.com/maps/search/?api=1&amp;query=19.23541666666667,-99.64941666666667" TargetMode="External"/><Relationship Id="rId208" Type="http://schemas.openxmlformats.org/officeDocument/2006/relationships/hyperlink" Target="https://www.google.com/maps/search/?api=1&amp;query=19.805055555555555,-99.89713888888889" TargetMode="External"/><Relationship Id="rId19" Type="http://schemas.openxmlformats.org/officeDocument/2006/relationships/hyperlink" Target="https://www.google.com/maps/search/?api=1&amp;query=19.167805555555557,-100.21975" TargetMode="External"/><Relationship Id="rId14" Type="http://schemas.openxmlformats.org/officeDocument/2006/relationships/hyperlink" Target="https://maps.google.com/" TargetMode="External"/><Relationship Id="rId30" Type="http://schemas.openxmlformats.org/officeDocument/2006/relationships/hyperlink" Target="https://maps.google.com/" TargetMode="External"/><Relationship Id="rId35" Type="http://schemas.openxmlformats.org/officeDocument/2006/relationships/hyperlink" Target="https://maps.google.com/" TargetMode="External"/><Relationship Id="rId56" Type="http://schemas.openxmlformats.org/officeDocument/2006/relationships/hyperlink" Target="https://maps.google.com/" TargetMode="External"/><Relationship Id="rId77" Type="http://schemas.openxmlformats.org/officeDocument/2006/relationships/hyperlink" Target="https://www.google.com/maps/search/?api=1&amp;query=19.249916666666667,-100.10119444444445" TargetMode="External"/><Relationship Id="rId100" Type="http://schemas.openxmlformats.org/officeDocument/2006/relationships/hyperlink" Target="https://www.google.com/maps/search/?api=1&amp;query=19.89,-100.44422222222222" TargetMode="External"/><Relationship Id="rId105" Type="http://schemas.openxmlformats.org/officeDocument/2006/relationships/hyperlink" Target="https://www.google.com/maps/search/?api=1&amp;query=19.836416666666665,-99.92436111111111" TargetMode="External"/><Relationship Id="rId126" Type="http://schemas.openxmlformats.org/officeDocument/2006/relationships/hyperlink" Target="https://www.google.com/maps/search/?api=1&amp;query=19.20488888888889,-100.12080555555555" TargetMode="External"/><Relationship Id="rId147" Type="http://schemas.openxmlformats.org/officeDocument/2006/relationships/hyperlink" Target="https://www.google.com/maps/search/?api=1&amp;query=18.950583333333334,-99.58652777777777" TargetMode="External"/><Relationship Id="rId168" Type="http://schemas.openxmlformats.org/officeDocument/2006/relationships/hyperlink" Target="https://www.google.com/maps/search/?api=1&amp;query=18.845027777777776,-99.67752777777778" TargetMode="External"/><Relationship Id="rId8" Type="http://schemas.openxmlformats.org/officeDocument/2006/relationships/hyperlink" Target="https://maps.google.com/" TargetMode="External"/><Relationship Id="rId51" Type="http://schemas.openxmlformats.org/officeDocument/2006/relationships/hyperlink" Target="https://www.google.com/maps/search/?api=1&amp;query=18.959305555555556,-99.63922222222223" TargetMode="External"/><Relationship Id="rId72" Type="http://schemas.openxmlformats.org/officeDocument/2006/relationships/hyperlink" Target="https://maps.google.com/" TargetMode="External"/><Relationship Id="rId93" Type="http://schemas.openxmlformats.org/officeDocument/2006/relationships/hyperlink" Target="https://maps.google.com/" TargetMode="External"/><Relationship Id="rId98" Type="http://schemas.openxmlformats.org/officeDocument/2006/relationships/hyperlink" Target="https://maps.google.com/" TargetMode="External"/><Relationship Id="rId121" Type="http://schemas.openxmlformats.org/officeDocument/2006/relationships/hyperlink" Target="https://maps.google.com/" TargetMode="External"/><Relationship Id="rId142" Type="http://schemas.openxmlformats.org/officeDocument/2006/relationships/hyperlink" Target="https://www.google.com/maps/search/?api=1&amp;query=19.22411111111111,-100.14969444444445" TargetMode="External"/><Relationship Id="rId163" Type="http://schemas.openxmlformats.org/officeDocument/2006/relationships/hyperlink" Target="https://www.google.com/maps/search/?api=1&amp;query=19.16069444444444,-100.10427777777777" TargetMode="External"/><Relationship Id="rId184" Type="http://schemas.openxmlformats.org/officeDocument/2006/relationships/hyperlink" Target="https://maps.google.com/" TargetMode="External"/><Relationship Id="rId189" Type="http://schemas.openxmlformats.org/officeDocument/2006/relationships/hyperlink" Target="https://www.google.com/maps/search/?api=1&amp;query=19.12397222222222,-99.58866666666667" TargetMode="External"/><Relationship Id="rId3" Type="http://schemas.openxmlformats.org/officeDocument/2006/relationships/hyperlink" Target="https://maps.google.com/" TargetMode="External"/><Relationship Id="rId25" Type="http://schemas.openxmlformats.org/officeDocument/2006/relationships/hyperlink" Target="https://www.google.com/maps/search/?api=1&amp;query=18.84861111111111,-99.668" TargetMode="External"/><Relationship Id="rId46" Type="http://schemas.openxmlformats.org/officeDocument/2006/relationships/hyperlink" Target="https://maps.google.com/" TargetMode="External"/><Relationship Id="rId67" Type="http://schemas.openxmlformats.org/officeDocument/2006/relationships/hyperlink" Target="https://www.google.com/maps/search/?api=1&amp;query=19.280694444444443,-99.58411111111111" TargetMode="External"/><Relationship Id="rId116" Type="http://schemas.openxmlformats.org/officeDocument/2006/relationships/hyperlink" Target="https://www.google.com/maps/search/?api=1&amp;query=18.895166666666665,-99.64172222222223" TargetMode="External"/><Relationship Id="rId137" Type="http://schemas.openxmlformats.org/officeDocument/2006/relationships/hyperlink" Target="https://www.google.com/maps/pl" TargetMode="External"/><Relationship Id="rId158" Type="http://schemas.openxmlformats.org/officeDocument/2006/relationships/hyperlink" Target="https://www.google.com/maps/search/?api=1&amp;query=18.962333333333333,-99.63891666666667" TargetMode="External"/><Relationship Id="rId20" Type="http://schemas.openxmlformats.org/officeDocument/2006/relationships/hyperlink" Target="https://maps.google.com/" TargetMode="External"/><Relationship Id="rId41" Type="http://schemas.openxmlformats.org/officeDocument/2006/relationships/hyperlink" Target="https://www.google.com/maps/search/?api=1&amp;query=18.93352777777778,-99.64452777777778" TargetMode="External"/><Relationship Id="rId62" Type="http://schemas.openxmlformats.org/officeDocument/2006/relationships/hyperlink" Target="https://maps.google.com/" TargetMode="External"/><Relationship Id="rId83" Type="http://schemas.openxmlformats.org/officeDocument/2006/relationships/hyperlink" Target="https://www.google.com/maps/search/?api=1&amp;query=18.96377777777778,-99.53502777777777" TargetMode="External"/><Relationship Id="rId88" Type="http://schemas.openxmlformats.org/officeDocument/2006/relationships/hyperlink" Target="https://www.google.com/maps/search/?api=1&amp;query=18.965194444444442,-99.64080555555556" TargetMode="External"/><Relationship Id="rId111" Type="http://schemas.openxmlformats.org/officeDocument/2006/relationships/hyperlink" Target="https://maps.google.com/" TargetMode="External"/><Relationship Id="rId132" Type="http://schemas.openxmlformats.org/officeDocument/2006/relationships/hyperlink" Target="https://www.google.com/maps/search/?api=1&amp;query=19.199805555555557,-100.13213888888889" TargetMode="External"/><Relationship Id="rId153" Type="http://schemas.openxmlformats.org/officeDocument/2006/relationships/hyperlink" Target="https://www.google.com/maps/search/?api=1&amp;query=18.9565,-99.59488888888889" TargetMode="External"/><Relationship Id="rId174" Type="http://schemas.openxmlformats.org/officeDocument/2006/relationships/hyperlink" Target="https://maps.google.com/" TargetMode="External"/><Relationship Id="rId179" Type="http://schemas.openxmlformats.org/officeDocument/2006/relationships/hyperlink" Target="https://www.google.com/maps/search/?api=1&amp;query=19.161416666666664,-99.56361111111111" TargetMode="External"/><Relationship Id="rId195" Type="http://schemas.openxmlformats.org/officeDocument/2006/relationships/hyperlink" Target="https://maps.google.com/" TargetMode="External"/><Relationship Id="rId209" Type="http://schemas.openxmlformats.org/officeDocument/2006/relationships/table" Target="../tables/table1.xml"/><Relationship Id="rId190" Type="http://schemas.openxmlformats.org/officeDocument/2006/relationships/hyperlink" Target="https://www.google.com/maps/search/?api=1&amp;query=19.27136111111111,-99.66847222222222" TargetMode="External"/><Relationship Id="rId204" Type="http://schemas.openxmlformats.org/officeDocument/2006/relationships/hyperlink" Target="https://www.google.com/maps/search/?api=1&amp;query=19.295583333333337,-99.67605555555556" TargetMode="External"/><Relationship Id="rId15" Type="http://schemas.openxmlformats.org/officeDocument/2006/relationships/hyperlink" Target="https://maps.google.com/" TargetMode="External"/><Relationship Id="rId36" Type="http://schemas.openxmlformats.org/officeDocument/2006/relationships/hyperlink" Target="https://maps.google.com/" TargetMode="External"/><Relationship Id="rId57" Type="http://schemas.openxmlformats.org/officeDocument/2006/relationships/hyperlink" Target="https://www.google.com/maps/search/?api=1&amp;query=19.24752777777778,-100.03102777777778" TargetMode="External"/><Relationship Id="rId106" Type="http://schemas.openxmlformats.org/officeDocument/2006/relationships/hyperlink" Target="https://maps.google.com/" TargetMode="External"/><Relationship Id="rId127" Type="http://schemas.openxmlformats.org/officeDocument/2006/relationships/hyperlink" Target="https://maps.google.com/" TargetMode="External"/><Relationship Id="rId10" Type="http://schemas.openxmlformats.org/officeDocument/2006/relationships/hyperlink" Target="https://maps.google.com/" TargetMode="External"/><Relationship Id="rId31" Type="http://schemas.openxmlformats.org/officeDocument/2006/relationships/hyperlink" Target="https://maps.google.com/" TargetMode="External"/><Relationship Id="rId52" Type="http://schemas.openxmlformats.org/officeDocument/2006/relationships/hyperlink" Target="https://www.google.com/maps/search/?api=1&amp;query=18.965194444444442,-99.64080555555556" TargetMode="External"/><Relationship Id="rId73" Type="http://schemas.openxmlformats.org/officeDocument/2006/relationships/hyperlink" Target="https://www.google.com/maps/search/?api=1&amp;query=19.892305555555556,-100.46375" TargetMode="External"/><Relationship Id="rId78" Type="http://schemas.openxmlformats.org/officeDocument/2006/relationships/hyperlink" Target="https://www.google.com/maps/search/?api=1&amp;query=18.996472222222224,-99.64097222222223" TargetMode="External"/><Relationship Id="rId94" Type="http://schemas.openxmlformats.org/officeDocument/2006/relationships/hyperlink" Target="https://www.google.com/maps/search/?api=1&amp;query=19.271444444444445,-99.67772222222223" TargetMode="External"/><Relationship Id="rId99" Type="http://schemas.openxmlformats.org/officeDocument/2006/relationships/hyperlink" Target="https://www.google.com/maps/search/?api=1&amp;query=19.157805555555555,-100.1388888888889" TargetMode="External"/><Relationship Id="rId101" Type="http://schemas.openxmlformats.org/officeDocument/2006/relationships/hyperlink" Target="https://www.google.com/maps/search/?api=1&amp;query=18.96377777777778,-99.63994444444445" TargetMode="External"/><Relationship Id="rId122" Type="http://schemas.openxmlformats.org/officeDocument/2006/relationships/hyperlink" Target="https://www.google.com/maps/search/?api=1&amp;query=18.990861111111112,-99.56949999999999" TargetMode="External"/><Relationship Id="rId143" Type="http://schemas.openxmlformats.org/officeDocument/2006/relationships/hyperlink" Target="https://maps.google.com/" TargetMode="External"/><Relationship Id="rId148" Type="http://schemas.openxmlformats.org/officeDocument/2006/relationships/hyperlink" Target="https://maps.google.com/" TargetMode="External"/><Relationship Id="rId164" Type="http://schemas.openxmlformats.org/officeDocument/2006/relationships/hyperlink" Target="https://maps.google.com/" TargetMode="External"/><Relationship Id="rId169" Type="http://schemas.openxmlformats.org/officeDocument/2006/relationships/hyperlink" Target="https://maps.google.com/" TargetMode="External"/><Relationship Id="rId185" Type="http://schemas.openxmlformats.org/officeDocument/2006/relationships/hyperlink" Target="https://www.google.com/maps/search/?api=1&amp;query=19.16511111111111,-99.61794444444443" TargetMode="External"/><Relationship Id="rId4" Type="http://schemas.openxmlformats.org/officeDocument/2006/relationships/hyperlink" Target="https://maps.google.com/" TargetMode="External"/><Relationship Id="rId9" Type="http://schemas.openxmlformats.org/officeDocument/2006/relationships/hyperlink" Target="https://maps.google.com/" TargetMode="External"/><Relationship Id="rId180" Type="http://schemas.openxmlformats.org/officeDocument/2006/relationships/hyperlink" Target="https://www.google.com/maps/search/?api=1&amp;query=19.09811111111111,-99.58727777777777" TargetMode="External"/><Relationship Id="rId26" Type="http://schemas.openxmlformats.org/officeDocument/2006/relationships/hyperlink" Target="https://maps.google.com/" TargetMode="External"/><Relationship Id="rId47" Type="http://schemas.openxmlformats.org/officeDocument/2006/relationships/hyperlink" Target="https://www.google.com/maps/search/?api=1&amp;query=19.26425,-99.48686111111111" TargetMode="External"/><Relationship Id="rId68" Type="http://schemas.openxmlformats.org/officeDocument/2006/relationships/hyperlink" Target="https://maps.google.com/" TargetMode="External"/><Relationship Id="rId89" Type="http://schemas.openxmlformats.org/officeDocument/2006/relationships/hyperlink" Target="https://www.google.com/maps/search/?api=1&amp;query=19.265694444444446,-99.59483333333333" TargetMode="External"/><Relationship Id="rId112" Type="http://schemas.openxmlformats.org/officeDocument/2006/relationships/hyperlink" Target="https://www.google.com/maps/search/?api=1&amp;query=19.103333333333335,-99.58327777777778" TargetMode="External"/><Relationship Id="rId133" Type="http://schemas.openxmlformats.org/officeDocument/2006/relationships/hyperlink" Target="https://maps.google.com/" TargetMode="External"/><Relationship Id="rId154" Type="http://schemas.openxmlformats.org/officeDocument/2006/relationships/hyperlink" Target="https://www.google.com/maps/search/?api=1&amp;query=18.96033333333333,-99.64186111111111" TargetMode="External"/><Relationship Id="rId175" Type="http://schemas.openxmlformats.org/officeDocument/2006/relationships/hyperlink" Target="https://maps.google.com/" TargetMode="External"/><Relationship Id="rId196" Type="http://schemas.openxmlformats.org/officeDocument/2006/relationships/hyperlink" Target="https://maps.google.com/" TargetMode="External"/><Relationship Id="rId200" Type="http://schemas.openxmlformats.org/officeDocument/2006/relationships/hyperlink" Target="https://www.google.com/maps/search/?api=1&amp;query=19.225194444444444,-99.67319444444445" TargetMode="External"/><Relationship Id="rId16" Type="http://schemas.openxmlformats.org/officeDocument/2006/relationships/hyperlink" Target="https://maps.google.com/" TargetMode="External"/><Relationship Id="rId37" Type="http://schemas.openxmlformats.org/officeDocument/2006/relationships/hyperlink" Target="https://maps.google.com/" TargetMode="External"/><Relationship Id="rId58" Type="http://schemas.openxmlformats.org/officeDocument/2006/relationships/hyperlink" Target="https://maps.google.com/" TargetMode="External"/><Relationship Id="rId79" Type="http://schemas.openxmlformats.org/officeDocument/2006/relationships/hyperlink" Target="https://www.google.com/maps/search/?api=1&amp;query=19.801972222222222,-99.89458333333334" TargetMode="External"/><Relationship Id="rId102" Type="http://schemas.openxmlformats.org/officeDocument/2006/relationships/hyperlink" Target="https://maps.google.com/" TargetMode="External"/><Relationship Id="rId123" Type="http://schemas.openxmlformats.org/officeDocument/2006/relationships/hyperlink" Target="https://maps.google.com/" TargetMode="External"/><Relationship Id="rId144" Type="http://schemas.openxmlformats.org/officeDocument/2006/relationships/hyperlink" Target="https://www.google.com/maps/search/?api=1&amp;query=19.15372222222222,-100.10677777777778" TargetMode="External"/><Relationship Id="rId90" Type="http://schemas.openxmlformats.org/officeDocument/2006/relationships/hyperlink" Target="https://maps.google.com/" TargetMode="External"/><Relationship Id="rId165" Type="http://schemas.openxmlformats.org/officeDocument/2006/relationships/hyperlink" Target="https://maps.google.com/" TargetMode="External"/><Relationship Id="rId186" Type="http://schemas.openxmlformats.org/officeDocument/2006/relationships/hyperlink" Target="https://maps.google.com/" TargetMode="External"/><Relationship Id="rId27" Type="http://schemas.openxmlformats.org/officeDocument/2006/relationships/hyperlink" Target="https://maps.google.com/" TargetMode="External"/><Relationship Id="rId48" Type="http://schemas.openxmlformats.org/officeDocument/2006/relationships/hyperlink" Target="https://www.google.com/maps/search/?api=1&amp;query=18.96597222222222,-99.60194444444444" TargetMode="External"/><Relationship Id="rId69" Type="http://schemas.openxmlformats.org/officeDocument/2006/relationships/hyperlink" Target="https://maps.google.com/" TargetMode="External"/><Relationship Id="rId113" Type="http://schemas.openxmlformats.org/officeDocument/2006/relationships/hyperlink" Target="https://www.google.com/maps/search/?api=1&amp;query=19.898194444444442,-100.43894444444445" TargetMode="External"/><Relationship Id="rId134" Type="http://schemas.openxmlformats.org/officeDocument/2006/relationships/hyperlink" Target="https://maps.google.com/" TargetMode="External"/><Relationship Id="rId80" Type="http://schemas.openxmlformats.org/officeDocument/2006/relationships/hyperlink" Target="https://www.google.com/maps/search/?api=1&amp;query=18.972527777777778,-99.56949999999999" TargetMode="External"/><Relationship Id="rId155" Type="http://schemas.openxmlformats.org/officeDocument/2006/relationships/hyperlink" Target="https://www.google.com/maps/search/?api=1&amp;query=18.96597222222222,-99.59483333333333" TargetMode="External"/><Relationship Id="rId176" Type="http://schemas.openxmlformats.org/officeDocument/2006/relationships/hyperlink" Target="https://maps.google.com/" TargetMode="External"/><Relationship Id="rId197" Type="http://schemas.openxmlformats.org/officeDocument/2006/relationships/hyperlink" Target="https://maps.google.com/" TargetMode="External"/><Relationship Id="rId201" Type="http://schemas.openxmlformats.org/officeDocument/2006/relationships/hyperlink" Target="https://maps.google.com/" TargetMode="External"/><Relationship Id="rId17" Type="http://schemas.openxmlformats.org/officeDocument/2006/relationships/hyperlink" Target="https://maps.google.com/" TargetMode="External"/><Relationship Id="rId38" Type="http://schemas.openxmlformats.org/officeDocument/2006/relationships/hyperlink" Target="https://www.google.com/maps/search/?api=1&amp;query=18.944277777777778,-99.65527777777778" TargetMode="External"/><Relationship Id="rId59" Type="http://schemas.openxmlformats.org/officeDocument/2006/relationships/hyperlink" Target="https://www.google.com/maps/search/?api=1&amp;query=19.249472222222224,-99.76080555555555" TargetMode="External"/><Relationship Id="rId103" Type="http://schemas.openxmlformats.org/officeDocument/2006/relationships/hyperlink" Target="https://maps.google.com/" TargetMode="External"/><Relationship Id="rId124" Type="http://schemas.openxmlformats.org/officeDocument/2006/relationships/hyperlink" Target="https://maps.google.com/" TargetMode="External"/><Relationship Id="rId70" Type="http://schemas.openxmlformats.org/officeDocument/2006/relationships/hyperlink" Target="https://maps.google.com/" TargetMode="External"/><Relationship Id="rId91" Type="http://schemas.openxmlformats.org/officeDocument/2006/relationships/hyperlink" Target="https://www.google.com/maps/search/?api=1&amp;query=19.76722222222222,-99.86958333333332" TargetMode="External"/><Relationship Id="rId145" Type="http://schemas.openxmlformats.org/officeDocument/2006/relationships/hyperlink" Target="https://www.google.com/maps/search/?api=1&amp;query=18.95925,-99.6391388888889" TargetMode="External"/><Relationship Id="rId166" Type="http://schemas.openxmlformats.org/officeDocument/2006/relationships/hyperlink" Target="https://maps.google.com/" TargetMode="External"/><Relationship Id="rId187" Type="http://schemas.openxmlformats.org/officeDocument/2006/relationships/hyperlink" Target="https://maps.google.com/" TargetMode="External"/><Relationship Id="rId1" Type="http://schemas.openxmlformats.org/officeDocument/2006/relationships/hyperlink" Target="https://maps.google.com/" TargetMode="External"/><Relationship Id="rId28" Type="http://schemas.openxmlformats.org/officeDocument/2006/relationships/hyperlink" Target="https://maps.google.com/" TargetMode="External"/><Relationship Id="rId49" Type="http://schemas.openxmlformats.org/officeDocument/2006/relationships/hyperlink" Target="https://www.google.com/maps/search/?api=1&amp;query=19.249111111111112,-99.59047222222222" TargetMode="External"/><Relationship Id="rId114" Type="http://schemas.openxmlformats.org/officeDocument/2006/relationships/hyperlink" Target="https://maps.google.com/" TargetMode="External"/><Relationship Id="rId60" Type="http://schemas.openxmlformats.org/officeDocument/2006/relationships/hyperlink" Target="https://maps.google.com/" TargetMode="External"/><Relationship Id="rId81" Type="http://schemas.openxmlformats.org/officeDocument/2006/relationships/hyperlink" Target="https://www.google.com/maps/search/?api=1&amp;query=18.96547222222222,-99.58030555555555" TargetMode="External"/><Relationship Id="rId135" Type="http://schemas.openxmlformats.org/officeDocument/2006/relationships/hyperlink" Target="https://www.google.com/maps/@1" TargetMode="External"/><Relationship Id="rId156" Type="http://schemas.openxmlformats.org/officeDocument/2006/relationships/hyperlink" Target="https://www.google.com/maps/search/?api=1&amp;query=19.009083333333333,-99.65186111111112" TargetMode="External"/><Relationship Id="rId177" Type="http://schemas.openxmlformats.org/officeDocument/2006/relationships/hyperlink" Target="https://maps.google.com/" TargetMode="External"/><Relationship Id="rId198" Type="http://schemas.openxmlformats.org/officeDocument/2006/relationships/hyperlink" Target="https://maps.google.com/" TargetMode="External"/><Relationship Id="rId202" Type="http://schemas.openxmlformats.org/officeDocument/2006/relationships/hyperlink" Target="https://maps.google.com/" TargetMode="External"/><Relationship Id="rId18" Type="http://schemas.openxmlformats.org/officeDocument/2006/relationships/hyperlink" Target="https://maps.google.com/" TargetMode="External"/><Relationship Id="rId39" Type="http://schemas.openxmlformats.org/officeDocument/2006/relationships/hyperlink" Target="https://www.google.com/maps/search/?api=1&amp;query=19.202027777777776,-100.12766666666666" TargetMode="External"/><Relationship Id="rId50" Type="http://schemas.openxmlformats.org/officeDocument/2006/relationships/hyperlink" Target="https://www.google.com/maps/search/?api=1&amp;query=18.964416666666665,-99.59338888888888" TargetMode="External"/><Relationship Id="rId104" Type="http://schemas.openxmlformats.org/officeDocument/2006/relationships/hyperlink" Target="https://maps.google.com/" TargetMode="External"/><Relationship Id="rId125" Type="http://schemas.openxmlformats.org/officeDocument/2006/relationships/hyperlink" Target="https://maps.google.com/" TargetMode="External"/><Relationship Id="rId146" Type="http://schemas.openxmlformats.org/officeDocument/2006/relationships/hyperlink" Target="https://maps.google.com/" TargetMode="External"/><Relationship Id="rId167" Type="http://schemas.openxmlformats.org/officeDocument/2006/relationships/hyperlink" Target="https://maps.google.com/" TargetMode="External"/><Relationship Id="rId188" Type="http://schemas.openxmlformats.org/officeDocument/2006/relationships/hyperlink" Target="https://www.google.com/maps/search/?api=1&amp;query=19.268166666666666,-99.67852777777779" TargetMode="External"/><Relationship Id="rId71" Type="http://schemas.openxmlformats.org/officeDocument/2006/relationships/hyperlink" Target="https://www.google.com/maps/search/?api=1&amp;query=18.964694444444444,-99.64011111111112" TargetMode="External"/><Relationship Id="rId92" Type="http://schemas.openxmlformats.org/officeDocument/2006/relationships/hyperlink" Target="https://www.google.com/maps/search/?api=1&amp;query=18.9395,-99.61494444444443" TargetMode="External"/><Relationship Id="rId2" Type="http://schemas.openxmlformats.org/officeDocument/2006/relationships/hyperlink" Target="https://maps.google.com/" TargetMode="External"/><Relationship Id="rId29" Type="http://schemas.openxmlformats.org/officeDocument/2006/relationships/hyperlink" Target="https://maps.google.com/" TargetMode="External"/><Relationship Id="rId40" Type="http://schemas.openxmlformats.org/officeDocument/2006/relationships/hyperlink" Target="https://maps.google.com/" TargetMode="External"/><Relationship Id="rId115" Type="http://schemas.openxmlformats.org/officeDocument/2006/relationships/hyperlink" Target="https://www.google.com/maps/search/?api=1&amp;query=18.972499999999997,-99.57038888888889" TargetMode="External"/><Relationship Id="rId136" Type="http://schemas.openxmlformats.org/officeDocument/2006/relationships/hyperlink" Target="https://maps.google.com/" TargetMode="External"/><Relationship Id="rId157" Type="http://schemas.openxmlformats.org/officeDocument/2006/relationships/hyperlink" Target="https://www.google.com/maps/search/?api=1&amp;query=18.971555555555554,-99.68505555555556" TargetMode="External"/><Relationship Id="rId178" Type="http://schemas.openxmlformats.org/officeDocument/2006/relationships/hyperlink" Target="https://maps.google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1771-6608-4E75-8963-5E06FF38DCE5}">
  <sheetPr codeName="Hoja1"/>
  <dimension ref="A4:S16"/>
  <sheetViews>
    <sheetView showGridLines="0" tabSelected="1" zoomScaleNormal="100" workbookViewId="0">
      <pane xSplit="1" ySplit="8" topLeftCell="G9" activePane="bottomRight" state="frozen"/>
      <selection pane="topRight" activeCell="B1" sqref="B1"/>
      <selection pane="bottomLeft" activeCell="A8" sqref="A8"/>
      <selection pane="bottomRight" activeCell="H21" sqref="H21"/>
    </sheetView>
  </sheetViews>
  <sheetFormatPr defaultColWidth="11.5546875" defaultRowHeight="14.4" x14ac:dyDescent="0.3"/>
  <cols>
    <col min="1" max="7" width="27.44140625" customWidth="1"/>
    <col min="8" max="8" width="27.33203125" customWidth="1"/>
    <col min="9" max="9" width="0.109375" hidden="1" customWidth="1"/>
    <col min="10" max="10" width="14" hidden="1" customWidth="1"/>
    <col min="11" max="11" width="18.77734375" hidden="1" customWidth="1"/>
    <col min="12" max="17" width="27.44140625" customWidth="1"/>
    <col min="18" max="18" width="10.77734375" hidden="1" customWidth="1"/>
    <col min="19" max="19" width="15" hidden="1" customWidth="1"/>
  </cols>
  <sheetData>
    <row r="4" spans="1:19" ht="15" thickBot="1" x14ac:dyDescent="0.35"/>
    <row r="5" spans="1:19" ht="15" thickBot="1" x14ac:dyDescent="0.35">
      <c r="K5" s="37" t="s">
        <v>14</v>
      </c>
      <c r="L5" s="38"/>
      <c r="M5" s="38"/>
      <c r="N5" s="38"/>
      <c r="O5" s="38"/>
      <c r="P5" s="38"/>
      <c r="Q5" s="38"/>
    </row>
    <row r="6" spans="1:19" ht="43.2" customHeight="1" thickBot="1" x14ac:dyDescent="0.35">
      <c r="A6" s="10" t="s">
        <v>2</v>
      </c>
      <c r="B6" s="10" t="s">
        <v>2722</v>
      </c>
      <c r="C6" s="10" t="s">
        <v>2723</v>
      </c>
      <c r="D6" s="10" t="s">
        <v>2724</v>
      </c>
      <c r="E6" s="10" t="s">
        <v>2725</v>
      </c>
      <c r="F6" s="10" t="s">
        <v>2905</v>
      </c>
      <c r="G6" s="10" t="s">
        <v>2906</v>
      </c>
      <c r="H6" s="11" t="s">
        <v>2726</v>
      </c>
      <c r="I6" s="26"/>
      <c r="J6" t="s">
        <v>2903</v>
      </c>
      <c r="K6" s="27" t="s">
        <v>1656</v>
      </c>
      <c r="L6" s="27" t="s">
        <v>2957</v>
      </c>
      <c r="M6" s="27" t="s">
        <v>2958</v>
      </c>
      <c r="N6" s="27" t="s">
        <v>2959</v>
      </c>
      <c r="O6" s="27" t="s">
        <v>2960</v>
      </c>
      <c r="P6" s="27" t="s">
        <v>2961</v>
      </c>
      <c r="Q6" s="27" t="s">
        <v>2728</v>
      </c>
      <c r="R6" s="27" t="s">
        <v>2720</v>
      </c>
      <c r="S6" t="s">
        <v>2721</v>
      </c>
    </row>
    <row r="7" spans="1:19" ht="15.6" customHeight="1" thickBot="1" x14ac:dyDescent="0.35"/>
    <row r="8" spans="1:19" ht="15" customHeight="1" thickBot="1" x14ac:dyDescent="0.35">
      <c r="A8" s="27" t="s">
        <v>2</v>
      </c>
      <c r="B8" s="27" t="s">
        <v>2722</v>
      </c>
      <c r="C8" s="27" t="s">
        <v>2723</v>
      </c>
      <c r="D8" s="27" t="s">
        <v>2724</v>
      </c>
      <c r="E8" s="27" t="s">
        <v>2725</v>
      </c>
      <c r="F8" s="27" t="s">
        <v>2905</v>
      </c>
      <c r="G8" s="27" t="s">
        <v>2906</v>
      </c>
      <c r="H8" s="11" t="s">
        <v>2726</v>
      </c>
      <c r="I8" s="26"/>
      <c r="J8" s="7" t="s">
        <v>2904</v>
      </c>
      <c r="K8" s="7" t="s">
        <v>14</v>
      </c>
    </row>
    <row r="9" spans="1:19" ht="10.8" customHeight="1" x14ac:dyDescent="0.3">
      <c r="A9" s="23" t="s">
        <v>536</v>
      </c>
      <c r="B9" s="8">
        <v>244390.62000000002</v>
      </c>
      <c r="C9" s="8">
        <v>172728.88999999998</v>
      </c>
      <c r="D9" s="8">
        <v>76837.943370688838</v>
      </c>
      <c r="E9" s="8">
        <v>290935.87</v>
      </c>
      <c r="F9" s="8">
        <v>110402.21999999999</v>
      </c>
      <c r="G9" s="8">
        <v>195569.32</v>
      </c>
      <c r="I9" s="26"/>
      <c r="J9" s="7" t="s">
        <v>2903</v>
      </c>
      <c r="K9" s="27" t="s">
        <v>1656</v>
      </c>
      <c r="L9" s="27" t="s">
        <v>1513</v>
      </c>
      <c r="M9" s="27" t="s">
        <v>1325</v>
      </c>
      <c r="N9" s="27" t="s">
        <v>1061</v>
      </c>
      <c r="O9" s="27" t="s">
        <v>702</v>
      </c>
      <c r="P9" s="27" t="s">
        <v>483</v>
      </c>
      <c r="Q9" s="27" t="s">
        <v>2728</v>
      </c>
      <c r="R9" s="27" t="s">
        <v>2720</v>
      </c>
      <c r="S9" t="s">
        <v>2721</v>
      </c>
    </row>
    <row r="10" spans="1:19" x14ac:dyDescent="0.3">
      <c r="A10" s="23" t="s">
        <v>132</v>
      </c>
      <c r="B10" s="8">
        <v>657326.46999999986</v>
      </c>
      <c r="C10" s="8">
        <v>376857.76</v>
      </c>
      <c r="D10" s="8">
        <v>217943.45976914154</v>
      </c>
      <c r="E10" s="8">
        <v>532601.03999999992</v>
      </c>
      <c r="F10" s="8">
        <v>199888.33000000002</v>
      </c>
      <c r="G10" s="8">
        <v>343368.54999999993</v>
      </c>
      <c r="H10" s="24">
        <f>IFERROR(D9/E9,0)</f>
        <v>0.26410611854319938</v>
      </c>
      <c r="I10" s="26"/>
      <c r="J10" s="23" t="s">
        <v>536</v>
      </c>
      <c r="K10" s="8">
        <v>0</v>
      </c>
      <c r="L10" s="8"/>
      <c r="M10" s="8">
        <v>23495.599999999999</v>
      </c>
      <c r="N10" s="8">
        <v>30241.599999999999</v>
      </c>
      <c r="O10" s="8">
        <v>92399.799999999988</v>
      </c>
      <c r="P10" s="8">
        <v>13493.72</v>
      </c>
      <c r="Q10" s="8">
        <v>35938.6</v>
      </c>
      <c r="R10" s="8"/>
      <c r="S10" s="8">
        <v>195569.32</v>
      </c>
    </row>
    <row r="11" spans="1:19" x14ac:dyDescent="0.3">
      <c r="A11" s="23" t="s">
        <v>104</v>
      </c>
      <c r="B11" s="8">
        <v>2018368.3000000003</v>
      </c>
      <c r="C11" s="8">
        <v>1524151.8499999999</v>
      </c>
      <c r="D11" s="8">
        <v>605307.33908995555</v>
      </c>
      <c r="E11" s="8">
        <v>1917896.2000000002</v>
      </c>
      <c r="F11" s="8">
        <v>573415.50999999989</v>
      </c>
      <c r="G11" s="8">
        <v>746649.19</v>
      </c>
      <c r="H11" s="24">
        <f>IFERROR(D10/E10,0)</f>
        <v>0.4092058471555774</v>
      </c>
      <c r="I11" s="26"/>
      <c r="J11" s="23" t="s">
        <v>132</v>
      </c>
      <c r="K11" s="8">
        <v>0</v>
      </c>
      <c r="L11" s="8"/>
      <c r="M11" s="8">
        <v>37792.720000000001</v>
      </c>
      <c r="N11" s="8">
        <v>49403.38</v>
      </c>
      <c r="O11" s="8">
        <v>22958.11</v>
      </c>
      <c r="P11" s="8">
        <v>52847.1</v>
      </c>
      <c r="Q11" s="8">
        <v>180367.24</v>
      </c>
      <c r="R11" s="8"/>
      <c r="S11" s="8">
        <v>343368.55</v>
      </c>
    </row>
    <row r="12" spans="1:19" x14ac:dyDescent="0.3">
      <c r="A12" s="23" t="s">
        <v>189</v>
      </c>
      <c r="B12" s="8">
        <v>897503.47000000009</v>
      </c>
      <c r="C12" s="8">
        <v>605950.01</v>
      </c>
      <c r="D12" s="8">
        <v>436162.5883577221</v>
      </c>
      <c r="E12" s="8">
        <v>1138470.0200000003</v>
      </c>
      <c r="F12" s="8">
        <v>323636.39999999997</v>
      </c>
      <c r="G12" s="8">
        <v>643106.33000000019</v>
      </c>
      <c r="H12" s="24">
        <f>IFERROR(D11/E11,0)</f>
        <v>0.31561006225986343</v>
      </c>
      <c r="I12" s="26"/>
      <c r="J12" s="23" t="s">
        <v>104</v>
      </c>
      <c r="K12" s="8">
        <v>0</v>
      </c>
      <c r="L12" s="8">
        <v>92835.09</v>
      </c>
      <c r="M12" s="8">
        <v>24290.020000000004</v>
      </c>
      <c r="N12" s="8">
        <v>131965.38999999998</v>
      </c>
      <c r="O12" s="8">
        <v>46575.69</v>
      </c>
      <c r="P12" s="8">
        <v>46786.75</v>
      </c>
      <c r="Q12" s="8">
        <v>404196.24999999994</v>
      </c>
      <c r="R12" s="8"/>
      <c r="S12" s="8">
        <v>746649.19</v>
      </c>
    </row>
    <row r="13" spans="1:19" x14ac:dyDescent="0.3">
      <c r="A13" s="23" t="s">
        <v>68</v>
      </c>
      <c r="B13" s="8">
        <v>974402.22</v>
      </c>
      <c r="C13" s="8">
        <v>530160.01</v>
      </c>
      <c r="D13" s="8">
        <v>407482.82915161119</v>
      </c>
      <c r="E13" s="8">
        <v>908029.85</v>
      </c>
      <c r="F13" s="8">
        <v>368182.11</v>
      </c>
      <c r="G13" s="8">
        <v>644174.02999999991</v>
      </c>
      <c r="H13" s="24">
        <f>IFERROR(D12/E12,0)</f>
        <v>0.38311293287962206</v>
      </c>
      <c r="I13" s="26"/>
      <c r="J13" s="23" t="s">
        <v>189</v>
      </c>
      <c r="K13" s="8">
        <v>0</v>
      </c>
      <c r="L13" s="8">
        <v>4842.01</v>
      </c>
      <c r="M13" s="8">
        <v>30025.910000000003</v>
      </c>
      <c r="N13" s="8">
        <v>18594.47</v>
      </c>
      <c r="O13" s="8">
        <v>119764.40999999999</v>
      </c>
      <c r="P13" s="8">
        <v>44066.76</v>
      </c>
      <c r="Q13" s="8">
        <v>425812.77</v>
      </c>
      <c r="R13" s="8"/>
      <c r="S13" s="8">
        <v>643106.33000000007</v>
      </c>
    </row>
    <row r="14" spans="1:19" ht="15" thickBot="1" x14ac:dyDescent="0.35">
      <c r="A14" s="28" t="s">
        <v>2720</v>
      </c>
      <c r="B14" s="8"/>
      <c r="C14" s="8"/>
      <c r="D14" s="8"/>
      <c r="E14" s="8"/>
      <c r="F14" s="8"/>
      <c r="G14" s="8"/>
      <c r="H14" s="24">
        <f>IFERROR(D13/E13,0)</f>
        <v>0.44875488305985889</v>
      </c>
      <c r="I14" s="26"/>
      <c r="J14" s="23" t="s">
        <v>68</v>
      </c>
      <c r="K14" s="8">
        <v>0</v>
      </c>
      <c r="L14" s="8"/>
      <c r="M14" s="8">
        <v>41104.43</v>
      </c>
      <c r="N14" s="8">
        <v>35269</v>
      </c>
      <c r="O14" s="8">
        <v>73547.469999999987</v>
      </c>
      <c r="P14" s="8">
        <v>103365.05</v>
      </c>
      <c r="Q14" s="8">
        <v>390888.07999999996</v>
      </c>
      <c r="R14" s="8"/>
      <c r="S14" s="8">
        <v>644174.02999999991</v>
      </c>
    </row>
    <row r="15" spans="1:19" ht="15" customHeight="1" thickBot="1" x14ac:dyDescent="0.35">
      <c r="A15" s="35" t="s">
        <v>2907</v>
      </c>
      <c r="B15" s="35">
        <v>4791991.08</v>
      </c>
      <c r="C15" s="35">
        <v>3209848.5199999996</v>
      </c>
      <c r="D15" s="35">
        <v>1743734.1597391195</v>
      </c>
      <c r="E15" s="35">
        <v>4787932.9800000004</v>
      </c>
      <c r="F15" s="35">
        <v>1575524.5699999998</v>
      </c>
      <c r="G15" s="35">
        <v>2572867.42</v>
      </c>
      <c r="I15" s="29"/>
      <c r="J15" s="23" t="s">
        <v>2720</v>
      </c>
      <c r="K15" s="8"/>
      <c r="L15" s="8"/>
      <c r="M15" s="8"/>
      <c r="N15" s="8"/>
      <c r="O15" s="8"/>
      <c r="P15" s="8"/>
      <c r="Q15" s="8"/>
      <c r="R15" s="8"/>
      <c r="S15" s="8"/>
    </row>
    <row r="16" spans="1:19" ht="15" thickBot="1" x14ac:dyDescent="0.35">
      <c r="H16" s="32">
        <f>D15/E15</f>
        <v>0.36419351879464262</v>
      </c>
      <c r="J16" s="23" t="s">
        <v>2721</v>
      </c>
      <c r="K16" s="36">
        <v>0</v>
      </c>
      <c r="L16" s="35">
        <v>97677.099999999991</v>
      </c>
      <c r="M16" s="35">
        <v>156708.68</v>
      </c>
      <c r="N16" s="35">
        <v>265473.83999999997</v>
      </c>
      <c r="O16" s="35">
        <v>355245.47999999992</v>
      </c>
      <c r="P16" s="35">
        <v>260559.38</v>
      </c>
      <c r="Q16" s="35">
        <v>1437202.94</v>
      </c>
      <c r="R16" s="36"/>
      <c r="S16" s="8">
        <v>2572867.42</v>
      </c>
    </row>
  </sheetData>
  <mergeCells count="1">
    <mergeCell ref="K5:Q5"/>
  </mergeCell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0926C-8E00-41A7-B8A5-46ECE3BDB2AD}">
  <sheetPr codeName="Hoja2"/>
  <dimension ref="A3:W26"/>
  <sheetViews>
    <sheetView showGridLines="0" workbookViewId="0">
      <pane xSplit="3" ySplit="8" topLeftCell="F9" activePane="bottomRight" state="frozen"/>
      <selection pane="topRight" activeCell="D1" sqref="D1"/>
      <selection pane="bottomLeft" activeCell="A8" sqref="A8"/>
      <selection pane="bottomRight" activeCell="B29" sqref="B29"/>
    </sheetView>
  </sheetViews>
  <sheetFormatPr defaultColWidth="11.5546875" defaultRowHeight="14.4" x14ac:dyDescent="0.3"/>
  <cols>
    <col min="1" max="10" width="27.44140625" customWidth="1"/>
    <col min="11" max="11" width="0.44140625" customWidth="1"/>
    <col min="12" max="12" width="16.5546875" hidden="1" customWidth="1"/>
    <col min="13" max="13" width="11.5546875" hidden="1" customWidth="1"/>
    <col min="14" max="14" width="32.77734375" hidden="1" customWidth="1"/>
    <col min="15" max="15" width="27.44140625" hidden="1" customWidth="1"/>
    <col min="16" max="21" width="27.44140625" customWidth="1"/>
    <col min="22" max="22" width="13.77734375" hidden="1" customWidth="1"/>
    <col min="23" max="23" width="14" hidden="1" customWidth="1"/>
  </cols>
  <sheetData>
    <row r="3" spans="1:23" ht="15" thickBot="1" x14ac:dyDescent="0.35"/>
    <row r="4" spans="1:23" ht="15" thickBot="1" x14ac:dyDescent="0.35">
      <c r="O4" s="37" t="s">
        <v>14</v>
      </c>
      <c r="P4" s="38"/>
      <c r="Q4" s="38"/>
      <c r="R4" s="38"/>
      <c r="S4" s="38"/>
      <c r="T4" s="38"/>
      <c r="U4" s="38"/>
    </row>
    <row r="5" spans="1:23" ht="34.950000000000003" customHeight="1" thickBot="1" x14ac:dyDescent="0.35">
      <c r="A5" s="10" t="s">
        <v>2</v>
      </c>
      <c r="B5" s="10" t="s">
        <v>5</v>
      </c>
      <c r="C5" s="10" t="s">
        <v>6</v>
      </c>
      <c r="D5" s="10" t="s">
        <v>2722</v>
      </c>
      <c r="E5" s="10" t="s">
        <v>2723</v>
      </c>
      <c r="F5" s="10" t="s">
        <v>2724</v>
      </c>
      <c r="G5" s="10" t="s">
        <v>2725</v>
      </c>
      <c r="H5" s="10" t="s">
        <v>2905</v>
      </c>
      <c r="I5" s="10" t="s">
        <v>2906</v>
      </c>
      <c r="J5" s="30" t="s">
        <v>2726</v>
      </c>
      <c r="K5" s="29"/>
      <c r="L5" t="s">
        <v>2</v>
      </c>
      <c r="M5" t="s">
        <v>5</v>
      </c>
      <c r="N5" t="s">
        <v>6</v>
      </c>
      <c r="O5" s="27" t="s">
        <v>1656</v>
      </c>
      <c r="P5" s="27" t="s">
        <v>2957</v>
      </c>
      <c r="Q5" s="27" t="s">
        <v>2958</v>
      </c>
      <c r="R5" s="27" t="s">
        <v>2959</v>
      </c>
      <c r="S5" s="27" t="s">
        <v>2960</v>
      </c>
      <c r="T5" s="27" t="s">
        <v>2961</v>
      </c>
      <c r="U5" s="27" t="s">
        <v>2728</v>
      </c>
      <c r="V5" t="s">
        <v>2720</v>
      </c>
      <c r="W5" t="s">
        <v>2721</v>
      </c>
    </row>
    <row r="6" spans="1:23" hidden="1" x14ac:dyDescent="0.3"/>
    <row r="7" spans="1:23" ht="15" hidden="1" thickBot="1" x14ac:dyDescent="0.35">
      <c r="K7" s="29"/>
      <c r="L7" s="7" t="s">
        <v>2904</v>
      </c>
      <c r="O7" s="7" t="s">
        <v>14</v>
      </c>
    </row>
    <row r="8" spans="1:23" ht="15" hidden="1" thickBot="1" x14ac:dyDescent="0.35">
      <c r="A8" s="33" t="s">
        <v>2</v>
      </c>
      <c r="B8" s="33" t="s">
        <v>5</v>
      </c>
      <c r="C8" s="33" t="s">
        <v>6</v>
      </c>
      <c r="D8" s="22" t="s">
        <v>2722</v>
      </c>
      <c r="E8" s="22" t="s">
        <v>2723</v>
      </c>
      <c r="F8" s="22" t="s">
        <v>2724</v>
      </c>
      <c r="G8" s="22" t="s">
        <v>2725</v>
      </c>
      <c r="H8" s="22" t="s">
        <v>2905</v>
      </c>
      <c r="I8" s="22" t="s">
        <v>2906</v>
      </c>
      <c r="J8" s="30" t="s">
        <v>2726</v>
      </c>
      <c r="K8" s="29"/>
      <c r="L8" s="7" t="s">
        <v>2</v>
      </c>
      <c r="M8" s="7" t="s">
        <v>5</v>
      </c>
      <c r="N8" s="7" t="s">
        <v>6</v>
      </c>
      <c r="O8" s="27" t="s">
        <v>1656</v>
      </c>
      <c r="P8" s="27" t="s">
        <v>1513</v>
      </c>
      <c r="Q8" s="27" t="s">
        <v>1325</v>
      </c>
      <c r="R8" s="27" t="s">
        <v>1061</v>
      </c>
      <c r="S8" s="27" t="s">
        <v>702</v>
      </c>
      <c r="T8" s="27" t="s">
        <v>483</v>
      </c>
      <c r="U8" s="27" t="s">
        <v>2728</v>
      </c>
      <c r="V8" t="s">
        <v>2720</v>
      </c>
      <c r="W8" t="s">
        <v>2721</v>
      </c>
    </row>
    <row r="9" spans="1:23" x14ac:dyDescent="0.3">
      <c r="A9" t="s">
        <v>536</v>
      </c>
      <c r="B9" t="s">
        <v>608</v>
      </c>
      <c r="C9" t="s">
        <v>609</v>
      </c>
      <c r="D9" s="8">
        <v>73738.539999999994</v>
      </c>
      <c r="E9" s="8">
        <v>62326.67</v>
      </c>
      <c r="F9" s="8">
        <v>1042.6891999999998</v>
      </c>
      <c r="G9" s="8">
        <v>95366.550000000017</v>
      </c>
      <c r="H9" s="8">
        <v>0</v>
      </c>
      <c r="I9" s="8">
        <v>0</v>
      </c>
      <c r="J9" s="24">
        <f>IFERROR(F9/G9,0)</f>
        <v>1.0933489782318848E-2</v>
      </c>
      <c r="K9" s="29"/>
      <c r="L9" t="s">
        <v>536</v>
      </c>
      <c r="M9" t="s">
        <v>608</v>
      </c>
      <c r="N9" t="s">
        <v>609</v>
      </c>
      <c r="O9" s="8">
        <v>0</v>
      </c>
      <c r="P9" s="8"/>
      <c r="Q9" s="8"/>
      <c r="R9" s="8"/>
      <c r="S9" s="8"/>
      <c r="T9" s="8"/>
      <c r="U9" s="8"/>
      <c r="W9">
        <v>0</v>
      </c>
    </row>
    <row r="10" spans="1:23" x14ac:dyDescent="0.3">
      <c r="A10" t="s">
        <v>536</v>
      </c>
      <c r="B10" t="s">
        <v>154</v>
      </c>
      <c r="C10" t="s">
        <v>155</v>
      </c>
      <c r="D10" s="8">
        <v>144316.89000000001</v>
      </c>
      <c r="E10" s="8">
        <v>84067.029999999984</v>
      </c>
      <c r="F10" s="8">
        <v>62497.10459066664</v>
      </c>
      <c r="G10" s="8">
        <v>157066.87</v>
      </c>
      <c r="H10" s="8">
        <v>84067.029999999984</v>
      </c>
      <c r="I10" s="8">
        <v>157066.87</v>
      </c>
      <c r="J10" s="24">
        <f t="shared" ref="J10:J23" si="0">IFERROR(F10/G10,0)</f>
        <v>0.39790125435533696</v>
      </c>
      <c r="K10" s="29"/>
      <c r="L10" t="s">
        <v>536</v>
      </c>
      <c r="M10" t="s">
        <v>154</v>
      </c>
      <c r="N10" t="s">
        <v>155</v>
      </c>
      <c r="O10" s="8"/>
      <c r="P10" s="8"/>
      <c r="Q10" s="8">
        <v>23495.599999999999</v>
      </c>
      <c r="R10" s="8">
        <v>30241.599999999999</v>
      </c>
      <c r="S10" s="8">
        <v>53897.35</v>
      </c>
      <c r="T10" s="8">
        <v>13493.72</v>
      </c>
      <c r="U10" s="8">
        <v>35938.6</v>
      </c>
      <c r="W10">
        <v>157066.87</v>
      </c>
    </row>
    <row r="11" spans="1:23" x14ac:dyDescent="0.3">
      <c r="A11" t="s">
        <v>536</v>
      </c>
      <c r="B11" t="s">
        <v>173</v>
      </c>
      <c r="C11" t="s">
        <v>174</v>
      </c>
      <c r="D11" s="8">
        <v>26335.19</v>
      </c>
      <c r="E11" s="8">
        <v>26335.19</v>
      </c>
      <c r="F11" s="8">
        <v>13298.1495800222</v>
      </c>
      <c r="G11" s="8">
        <v>38502.449999999997</v>
      </c>
      <c r="H11" s="8">
        <v>26335.19</v>
      </c>
      <c r="I11" s="8">
        <v>38502.449999999997</v>
      </c>
      <c r="J11" s="24">
        <f t="shared" si="0"/>
        <v>0.34538450358411482</v>
      </c>
      <c r="K11" s="29"/>
      <c r="L11" t="s">
        <v>536</v>
      </c>
      <c r="M11" t="s">
        <v>173</v>
      </c>
      <c r="N11" t="s">
        <v>174</v>
      </c>
      <c r="O11" s="8"/>
      <c r="P11" s="8"/>
      <c r="Q11" s="8"/>
      <c r="R11" s="8"/>
      <c r="S11" s="8">
        <v>38502.449999999997</v>
      </c>
      <c r="T11" s="8"/>
      <c r="U11" s="8"/>
      <c r="W11">
        <v>38502.449999999997</v>
      </c>
    </row>
    <row r="12" spans="1:23" x14ac:dyDescent="0.3">
      <c r="A12" t="s">
        <v>132</v>
      </c>
      <c r="B12" t="s">
        <v>71</v>
      </c>
      <c r="C12" t="s">
        <v>72</v>
      </c>
      <c r="D12" s="8">
        <v>26335.19</v>
      </c>
      <c r="E12" s="8">
        <v>17352.87</v>
      </c>
      <c r="F12" s="8">
        <v>29632.639999999999</v>
      </c>
      <c r="G12" s="8">
        <v>29632.639999999999</v>
      </c>
      <c r="H12" s="8">
        <v>17352.87</v>
      </c>
      <c r="I12" s="8">
        <v>29632.639999999999</v>
      </c>
      <c r="J12" s="24">
        <f t="shared" si="0"/>
        <v>1</v>
      </c>
      <c r="K12" s="29"/>
      <c r="L12" t="s">
        <v>132</v>
      </c>
      <c r="M12" t="s">
        <v>71</v>
      </c>
      <c r="N12" t="s">
        <v>72</v>
      </c>
      <c r="O12" s="8"/>
      <c r="P12" s="8"/>
      <c r="Q12" s="8"/>
      <c r="R12" s="8"/>
      <c r="S12" s="8"/>
      <c r="T12" s="8"/>
      <c r="U12" s="8">
        <v>29632.639999999999</v>
      </c>
      <c r="W12">
        <v>29632.639999999999</v>
      </c>
    </row>
    <row r="13" spans="1:23" x14ac:dyDescent="0.3">
      <c r="A13" t="s">
        <v>132</v>
      </c>
      <c r="B13" t="s">
        <v>608</v>
      </c>
      <c r="C13" t="s">
        <v>609</v>
      </c>
      <c r="D13" s="8">
        <v>286526.92</v>
      </c>
      <c r="E13" s="8">
        <v>206464.84999999998</v>
      </c>
      <c r="F13" s="8">
        <v>6734.940249291667</v>
      </c>
      <c r="G13" s="8">
        <v>238635.87</v>
      </c>
      <c r="H13" s="8">
        <v>29495.42</v>
      </c>
      <c r="I13" s="8">
        <v>49403.38</v>
      </c>
      <c r="J13" s="24">
        <f t="shared" si="0"/>
        <v>2.8222665139535256E-2</v>
      </c>
      <c r="K13" s="29"/>
      <c r="L13" t="s">
        <v>132</v>
      </c>
      <c r="M13" t="s">
        <v>608</v>
      </c>
      <c r="N13" t="s">
        <v>609</v>
      </c>
      <c r="O13" s="8">
        <v>0</v>
      </c>
      <c r="P13" s="8"/>
      <c r="Q13" s="8"/>
      <c r="R13" s="8">
        <v>49403.38</v>
      </c>
      <c r="S13" s="8"/>
      <c r="T13" s="8"/>
      <c r="U13" s="8"/>
      <c r="W13">
        <v>49403.38</v>
      </c>
    </row>
    <row r="14" spans="1:23" x14ac:dyDescent="0.3">
      <c r="A14" t="s">
        <v>132</v>
      </c>
      <c r="B14" t="s">
        <v>154</v>
      </c>
      <c r="C14" t="s">
        <v>155</v>
      </c>
      <c r="D14" s="8">
        <v>344464.36</v>
      </c>
      <c r="E14" s="8">
        <v>153040.04</v>
      </c>
      <c r="F14" s="8">
        <v>181575.8795198499</v>
      </c>
      <c r="G14" s="8">
        <v>264332.53000000003</v>
      </c>
      <c r="H14" s="8">
        <v>153040.04</v>
      </c>
      <c r="I14" s="8">
        <v>264332.53000000003</v>
      </c>
      <c r="J14" s="24">
        <f t="shared" si="0"/>
        <v>0.68692218668602723</v>
      </c>
      <c r="K14" s="29"/>
      <c r="L14" t="s">
        <v>132</v>
      </c>
      <c r="M14" t="s">
        <v>154</v>
      </c>
      <c r="N14" t="s">
        <v>155</v>
      </c>
      <c r="O14" s="8"/>
      <c r="P14" s="8"/>
      <c r="Q14" s="8">
        <v>37792.720000000001</v>
      </c>
      <c r="R14" s="8"/>
      <c r="S14" s="8">
        <v>22958.11</v>
      </c>
      <c r="T14" s="8">
        <v>52847.1</v>
      </c>
      <c r="U14" s="8">
        <v>150734.60000000003</v>
      </c>
      <c r="W14">
        <v>264332.53000000003</v>
      </c>
    </row>
    <row r="15" spans="1:23" x14ac:dyDescent="0.3">
      <c r="A15" t="s">
        <v>104</v>
      </c>
      <c r="B15" t="s">
        <v>71</v>
      </c>
      <c r="C15" t="s">
        <v>72</v>
      </c>
      <c r="D15" s="8">
        <v>151943.01</v>
      </c>
      <c r="E15" s="8">
        <v>54682.01</v>
      </c>
      <c r="F15" s="8">
        <v>61882.239999999998</v>
      </c>
      <c r="G15" s="8">
        <v>60203.92</v>
      </c>
      <c r="H15" s="8">
        <v>54682.01</v>
      </c>
      <c r="I15" s="8">
        <v>60203.92</v>
      </c>
      <c r="J15" s="24">
        <f t="shared" si="0"/>
        <v>1.027877254504358</v>
      </c>
      <c r="K15" s="29"/>
      <c r="L15" t="s">
        <v>104</v>
      </c>
      <c r="M15" t="s">
        <v>71</v>
      </c>
      <c r="N15" t="s">
        <v>72</v>
      </c>
      <c r="O15" s="8"/>
      <c r="P15" s="8"/>
      <c r="Q15" s="8"/>
      <c r="R15" s="8"/>
      <c r="S15" s="8"/>
      <c r="T15" s="8"/>
      <c r="U15" s="8">
        <v>60203.92</v>
      </c>
      <c r="W15">
        <v>60203.92</v>
      </c>
    </row>
    <row r="16" spans="1:23" x14ac:dyDescent="0.3">
      <c r="A16" t="s">
        <v>104</v>
      </c>
      <c r="B16" t="s">
        <v>190</v>
      </c>
      <c r="C16" t="s">
        <v>191</v>
      </c>
      <c r="D16" s="8">
        <v>108846.95</v>
      </c>
      <c r="E16" s="8">
        <v>61142.19</v>
      </c>
      <c r="F16" s="8">
        <v>13168.68</v>
      </c>
      <c r="G16" s="8">
        <v>63991.939999999995</v>
      </c>
      <c r="H16" s="8">
        <v>36146.86</v>
      </c>
      <c r="I16" s="8">
        <v>38997.449999999997</v>
      </c>
      <c r="J16" s="24">
        <f t="shared" si="0"/>
        <v>0.20578654124253776</v>
      </c>
      <c r="K16" s="29"/>
      <c r="L16" t="s">
        <v>104</v>
      </c>
      <c r="M16" t="s">
        <v>190</v>
      </c>
      <c r="N16" t="s">
        <v>191</v>
      </c>
      <c r="O16" s="8">
        <v>0</v>
      </c>
      <c r="P16" s="8">
        <v>19191.649999999998</v>
      </c>
      <c r="Q16" s="8"/>
      <c r="R16" s="8">
        <v>5604.63</v>
      </c>
      <c r="S16" s="8"/>
      <c r="T16" s="8"/>
      <c r="U16" s="8">
        <v>14201.17</v>
      </c>
      <c r="W16">
        <v>38997.449999999997</v>
      </c>
    </row>
    <row r="17" spans="1:23" x14ac:dyDescent="0.3">
      <c r="A17" t="s">
        <v>104</v>
      </c>
      <c r="B17" t="s">
        <v>608</v>
      </c>
      <c r="C17" t="s">
        <v>609</v>
      </c>
      <c r="D17" s="8">
        <v>1555324.0300000005</v>
      </c>
      <c r="E17" s="8">
        <v>1313553.0899999999</v>
      </c>
      <c r="F17" s="8">
        <v>429743.39444728894</v>
      </c>
      <c r="G17" s="8">
        <v>1610953.3100000003</v>
      </c>
      <c r="H17" s="8">
        <v>403613.19</v>
      </c>
      <c r="I17" s="8">
        <v>494304.67</v>
      </c>
      <c r="J17" s="24">
        <f t="shared" si="0"/>
        <v>0.26676340759204803</v>
      </c>
      <c r="K17" s="29"/>
      <c r="L17" t="s">
        <v>104</v>
      </c>
      <c r="M17" t="s">
        <v>608</v>
      </c>
      <c r="N17" t="s">
        <v>609</v>
      </c>
      <c r="O17" s="8">
        <v>0</v>
      </c>
      <c r="P17" s="8">
        <v>56558.84</v>
      </c>
      <c r="Q17" s="8">
        <v>21127.38</v>
      </c>
      <c r="R17" s="8">
        <v>126360.76</v>
      </c>
      <c r="S17" s="8">
        <v>12448.69</v>
      </c>
      <c r="T17" s="8"/>
      <c r="U17" s="8">
        <v>277809</v>
      </c>
      <c r="W17">
        <v>494304.67</v>
      </c>
    </row>
    <row r="18" spans="1:23" x14ac:dyDescent="0.3">
      <c r="A18" t="s">
        <v>104</v>
      </c>
      <c r="B18" t="s">
        <v>424</v>
      </c>
      <c r="C18" t="s">
        <v>425</v>
      </c>
      <c r="D18" s="8">
        <v>202254.31</v>
      </c>
      <c r="E18" s="8">
        <v>94774.559999999983</v>
      </c>
      <c r="F18" s="8">
        <v>100513.02464266667</v>
      </c>
      <c r="G18" s="8">
        <v>182747.03000000003</v>
      </c>
      <c r="H18" s="8">
        <v>78973.449999999983</v>
      </c>
      <c r="I18" s="8">
        <v>153143.15000000002</v>
      </c>
      <c r="J18" s="24">
        <f t="shared" si="0"/>
        <v>0.55001180945412165</v>
      </c>
      <c r="K18" s="29"/>
      <c r="L18" t="s">
        <v>104</v>
      </c>
      <c r="M18" t="s">
        <v>424</v>
      </c>
      <c r="N18" t="s">
        <v>425</v>
      </c>
      <c r="O18" s="8">
        <v>0</v>
      </c>
      <c r="P18" s="8">
        <v>17084.599999999999</v>
      </c>
      <c r="Q18" s="8">
        <v>3162.64</v>
      </c>
      <c r="R18" s="8"/>
      <c r="S18" s="8">
        <v>34127</v>
      </c>
      <c r="T18" s="8">
        <v>46786.75</v>
      </c>
      <c r="U18" s="8">
        <v>51982.16</v>
      </c>
      <c r="W18">
        <v>153143.15</v>
      </c>
    </row>
    <row r="19" spans="1:23" x14ac:dyDescent="0.3">
      <c r="A19" t="s">
        <v>189</v>
      </c>
      <c r="B19" t="s">
        <v>608</v>
      </c>
      <c r="C19" t="s">
        <v>609</v>
      </c>
      <c r="D19" s="8">
        <v>303381.45</v>
      </c>
      <c r="E19" s="8">
        <v>168370.01</v>
      </c>
      <c r="F19" s="8">
        <v>13252.577844977779</v>
      </c>
      <c r="G19" s="8">
        <v>281804.76</v>
      </c>
      <c r="H19" s="8">
        <v>12289.76</v>
      </c>
      <c r="I19" s="8">
        <v>18897.54</v>
      </c>
      <c r="J19" s="24">
        <f t="shared" si="0"/>
        <v>4.7027515947487115E-2</v>
      </c>
      <c r="K19" s="29"/>
      <c r="L19" t="s">
        <v>189</v>
      </c>
      <c r="M19" t="s">
        <v>608</v>
      </c>
      <c r="N19" t="s">
        <v>609</v>
      </c>
      <c r="O19" s="8">
        <v>0</v>
      </c>
      <c r="P19" s="8"/>
      <c r="Q19" s="8">
        <v>15735.37</v>
      </c>
      <c r="R19" s="8">
        <v>3162.17</v>
      </c>
      <c r="S19" s="8"/>
      <c r="T19" s="8"/>
      <c r="U19" s="8"/>
      <c r="W19">
        <v>18897.54</v>
      </c>
    </row>
    <row r="20" spans="1:23" x14ac:dyDescent="0.3">
      <c r="A20" t="s">
        <v>189</v>
      </c>
      <c r="B20" t="s">
        <v>192</v>
      </c>
      <c r="C20" t="s">
        <v>193</v>
      </c>
      <c r="D20" s="8">
        <v>581481.13</v>
      </c>
      <c r="E20" s="8">
        <v>425992.51999999996</v>
      </c>
      <c r="F20" s="8">
        <v>422910.01051274437</v>
      </c>
      <c r="G20" s="8">
        <v>834955.71000000008</v>
      </c>
      <c r="H20" s="8">
        <v>311346.63999999996</v>
      </c>
      <c r="I20" s="8">
        <v>624208.79000000015</v>
      </c>
      <c r="J20" s="24">
        <f t="shared" si="0"/>
        <v>0.50650592055085697</v>
      </c>
      <c r="K20" s="29"/>
      <c r="L20" t="s">
        <v>189</v>
      </c>
      <c r="M20" t="s">
        <v>192</v>
      </c>
      <c r="N20" t="s">
        <v>193</v>
      </c>
      <c r="O20" s="8">
        <v>0</v>
      </c>
      <c r="P20" s="8">
        <v>4842.01</v>
      </c>
      <c r="Q20" s="8">
        <v>14290.54</v>
      </c>
      <c r="R20" s="8">
        <v>15432.3</v>
      </c>
      <c r="S20" s="8">
        <v>119764.40999999999</v>
      </c>
      <c r="T20" s="8">
        <v>44066.76</v>
      </c>
      <c r="U20" s="8">
        <v>425812.77</v>
      </c>
      <c r="W20">
        <v>624208.79</v>
      </c>
    </row>
    <row r="21" spans="1:23" x14ac:dyDescent="0.3">
      <c r="A21" t="s">
        <v>189</v>
      </c>
      <c r="B21" t="s">
        <v>1277</v>
      </c>
      <c r="C21" t="s">
        <v>1278</v>
      </c>
      <c r="D21" s="8">
        <v>12640.89</v>
      </c>
      <c r="E21" s="8">
        <v>11587.48</v>
      </c>
      <c r="F21" s="8">
        <v>0</v>
      </c>
      <c r="G21" s="8">
        <v>21709.55</v>
      </c>
      <c r="H21" s="8">
        <v>0</v>
      </c>
      <c r="I21" s="8">
        <v>0</v>
      </c>
      <c r="J21" s="24">
        <f t="shared" si="0"/>
        <v>0</v>
      </c>
      <c r="K21" s="29"/>
      <c r="L21" t="s">
        <v>189</v>
      </c>
      <c r="M21" t="s">
        <v>1277</v>
      </c>
      <c r="N21" t="s">
        <v>1278</v>
      </c>
      <c r="O21" s="8">
        <v>0</v>
      </c>
      <c r="P21" s="8"/>
      <c r="Q21" s="8"/>
      <c r="R21" s="8"/>
      <c r="S21" s="8"/>
      <c r="T21" s="8"/>
      <c r="U21" s="8"/>
      <c r="W21">
        <v>0</v>
      </c>
    </row>
    <row r="22" spans="1:23" x14ac:dyDescent="0.3">
      <c r="A22" t="s">
        <v>68</v>
      </c>
      <c r="B22" t="s">
        <v>71</v>
      </c>
      <c r="C22" t="s">
        <v>72</v>
      </c>
      <c r="D22" s="8">
        <v>131675.97999999998</v>
      </c>
      <c r="E22" s="8">
        <v>72506.52</v>
      </c>
      <c r="F22" s="8">
        <v>115600.01999999999</v>
      </c>
      <c r="G22" s="8">
        <v>115600.02</v>
      </c>
      <c r="H22" s="8">
        <v>72506.52</v>
      </c>
      <c r="I22" s="8">
        <v>115600.02</v>
      </c>
      <c r="J22" s="24">
        <f t="shared" si="0"/>
        <v>0.99999999999999989</v>
      </c>
      <c r="K22" s="29"/>
      <c r="L22" t="s">
        <v>68</v>
      </c>
      <c r="M22" t="s">
        <v>71</v>
      </c>
      <c r="N22" t="s">
        <v>72</v>
      </c>
      <c r="O22" s="8"/>
      <c r="P22" s="8"/>
      <c r="Q22" s="8"/>
      <c r="R22" s="8"/>
      <c r="S22" s="8"/>
      <c r="T22" s="8"/>
      <c r="U22" s="8">
        <v>115600.02</v>
      </c>
      <c r="W22">
        <v>115600.02</v>
      </c>
    </row>
    <row r="23" spans="1:23" x14ac:dyDescent="0.3">
      <c r="A23" t="s">
        <v>68</v>
      </c>
      <c r="B23" t="s">
        <v>608</v>
      </c>
      <c r="C23" t="s">
        <v>609</v>
      </c>
      <c r="D23" s="8">
        <v>278099.67999999993</v>
      </c>
      <c r="E23" s="8">
        <v>161977.90000000002</v>
      </c>
      <c r="F23" s="8">
        <v>4094.1856386666668</v>
      </c>
      <c r="G23" s="8">
        <v>263855.82</v>
      </c>
      <c r="H23" s="8">
        <v>0</v>
      </c>
      <c r="I23" s="8">
        <v>0</v>
      </c>
      <c r="J23" s="24">
        <f t="shared" si="0"/>
        <v>1.5516753197510166E-2</v>
      </c>
      <c r="K23" s="29"/>
      <c r="L23" t="s">
        <v>68</v>
      </c>
      <c r="M23" t="s">
        <v>608</v>
      </c>
      <c r="N23" t="s">
        <v>609</v>
      </c>
      <c r="O23" s="8">
        <v>0</v>
      </c>
      <c r="P23" s="8"/>
      <c r="Q23" s="8"/>
      <c r="R23" s="8"/>
      <c r="S23" s="8"/>
      <c r="T23" s="8"/>
      <c r="U23" s="8"/>
      <c r="W23">
        <v>0</v>
      </c>
    </row>
    <row r="24" spans="1:23" x14ac:dyDescent="0.3">
      <c r="A24" t="s">
        <v>68</v>
      </c>
      <c r="B24" t="s">
        <v>173</v>
      </c>
      <c r="C24" t="s">
        <v>174</v>
      </c>
      <c r="D24" s="8">
        <v>564626.55999999994</v>
      </c>
      <c r="E24" s="8">
        <v>295675.59000000003</v>
      </c>
      <c r="F24" s="8">
        <v>287788.62351294456</v>
      </c>
      <c r="G24" s="8">
        <v>528574.00999999989</v>
      </c>
      <c r="H24" s="8">
        <v>295675.59000000003</v>
      </c>
      <c r="I24" s="8">
        <v>528574.00999999989</v>
      </c>
      <c r="J24" s="24">
        <f>IFERROR(F24/G24,0)</f>
        <v>0.54446230436669529</v>
      </c>
      <c r="K24" s="29"/>
      <c r="L24" t="s">
        <v>68</v>
      </c>
      <c r="M24" t="s">
        <v>173</v>
      </c>
      <c r="N24" t="s">
        <v>174</v>
      </c>
      <c r="O24" s="8"/>
      <c r="P24" s="8"/>
      <c r="Q24" s="8">
        <v>41104.43</v>
      </c>
      <c r="R24" s="8">
        <v>35269</v>
      </c>
      <c r="S24" s="8">
        <v>73547.469999999987</v>
      </c>
      <c r="T24" s="8">
        <v>103365.05</v>
      </c>
      <c r="U24" s="8">
        <v>275288.06</v>
      </c>
      <c r="W24">
        <v>528574.01</v>
      </c>
    </row>
    <row r="25" spans="1:23" ht="15" customHeight="1" thickBot="1" x14ac:dyDescent="0.35">
      <c r="A25" s="31" t="s">
        <v>2720</v>
      </c>
      <c r="B25" s="31" t="s">
        <v>2720</v>
      </c>
      <c r="C25" s="31" t="s">
        <v>2720</v>
      </c>
      <c r="K25" s="29"/>
      <c r="L25" t="s">
        <v>2720</v>
      </c>
      <c r="M25" t="s">
        <v>2720</v>
      </c>
      <c r="N25" t="s">
        <v>2720</v>
      </c>
    </row>
    <row r="26" spans="1:23" ht="15" thickBot="1" x14ac:dyDescent="0.35">
      <c r="A26" s="35" t="s">
        <v>2907</v>
      </c>
      <c r="B26" s="35"/>
      <c r="C26" s="35"/>
      <c r="D26" s="35">
        <v>4791991.08</v>
      </c>
      <c r="E26" s="35">
        <v>3209848.5199999996</v>
      </c>
      <c r="F26" s="35">
        <v>1743734.1597391195</v>
      </c>
      <c r="G26" s="35">
        <v>4787932.9799999995</v>
      </c>
      <c r="H26" s="35">
        <v>1575524.57</v>
      </c>
      <c r="I26" s="35">
        <v>2572867.42</v>
      </c>
      <c r="J26" s="32">
        <f>IFERROR(F26/G26,0)</f>
        <v>0.36419351879464268</v>
      </c>
      <c r="K26" s="29"/>
      <c r="L26" t="s">
        <v>2721</v>
      </c>
      <c r="O26" s="36">
        <v>0</v>
      </c>
      <c r="P26" s="35">
        <v>97677.099999999991</v>
      </c>
      <c r="Q26" s="35">
        <v>156708.68</v>
      </c>
      <c r="R26" s="35">
        <v>265473.83999999997</v>
      </c>
      <c r="S26" s="35">
        <v>355245.47999999992</v>
      </c>
      <c r="T26" s="35">
        <v>260559.38</v>
      </c>
      <c r="U26" s="35">
        <v>1437202.94</v>
      </c>
      <c r="V26" s="8"/>
      <c r="W26" s="8">
        <v>2572867.42</v>
      </c>
    </row>
  </sheetData>
  <mergeCells count="1">
    <mergeCell ref="O4:U4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53E-D668-4A62-8277-55B9D4630709}">
  <sheetPr codeName="Hoja4">
    <tabColor rgb="FFFFFF00"/>
  </sheetPr>
  <dimension ref="A1:CV65"/>
  <sheetViews>
    <sheetView workbookViewId="0">
      <selection activeCell="A3" sqref="A3"/>
    </sheetView>
  </sheetViews>
  <sheetFormatPr defaultColWidth="11.5546875" defaultRowHeight="14.4" x14ac:dyDescent="0.3"/>
  <cols>
    <col min="1" max="1" width="18.5546875" customWidth="1"/>
    <col min="2" max="2" width="15" customWidth="1"/>
    <col min="4" max="4" width="40.21875" bestFit="1" customWidth="1"/>
    <col min="8" max="8" width="11.77734375" customWidth="1"/>
    <col min="11" max="11" width="15.44140625" customWidth="1"/>
    <col min="12" max="12" width="29.77734375" customWidth="1"/>
    <col min="13" max="13" width="16" customWidth="1"/>
    <col min="14" max="14" width="19.77734375" customWidth="1"/>
    <col min="15" max="15" width="16.5546875" customWidth="1"/>
    <col min="16" max="16" width="14.21875" customWidth="1"/>
    <col min="22" max="22" width="20.6640625" customWidth="1"/>
    <col min="23" max="23" width="21.44140625" customWidth="1"/>
    <col min="24" max="24" width="18.6640625" customWidth="1"/>
    <col min="25" max="25" width="19.44140625" customWidth="1"/>
    <col min="27" max="27" width="12.33203125" customWidth="1"/>
    <col min="28" max="28" width="32.21875" customWidth="1"/>
    <col min="29" max="29" width="33" customWidth="1"/>
    <col min="30" max="30" width="16.6640625" customWidth="1"/>
    <col min="32" max="32" width="12.5546875" customWidth="1"/>
    <col min="34" max="34" width="18.21875" customWidth="1"/>
    <col min="35" max="35" width="14.109375" customWidth="1"/>
    <col min="36" max="36" width="20.77734375" customWidth="1"/>
    <col min="37" max="37" width="16.77734375" customWidth="1"/>
    <col min="38" max="38" width="14.44140625" customWidth="1"/>
    <col min="40" max="40" width="19.77734375" customWidth="1"/>
    <col min="41" max="41" width="15.44140625" customWidth="1"/>
    <col min="42" max="42" width="20.88671875" customWidth="1"/>
    <col min="43" max="43" width="16.5546875" customWidth="1"/>
    <col min="44" max="44" width="12.33203125" customWidth="1"/>
    <col min="48" max="48" width="12.88671875" customWidth="1"/>
    <col min="49" max="49" width="15" customWidth="1"/>
    <col min="51" max="51" width="15.5546875" customWidth="1"/>
    <col min="52" max="52" width="24.109375" customWidth="1"/>
    <col min="53" max="53" width="20.109375" customWidth="1"/>
    <col min="54" max="54" width="16.21875" customWidth="1"/>
    <col min="55" max="55" width="11.6640625" customWidth="1"/>
    <col min="57" max="57" width="12.33203125" customWidth="1"/>
    <col min="58" max="58" width="18" customWidth="1"/>
    <col min="59" max="59" width="13.6640625" customWidth="1"/>
    <col min="60" max="60" width="17.109375" customWidth="1"/>
    <col min="61" max="61" width="27.6640625" customWidth="1"/>
    <col min="62" max="62" width="33.6640625" customWidth="1"/>
    <col min="63" max="63" width="23.88671875" customWidth="1"/>
    <col min="64" max="64" width="29.88671875" customWidth="1"/>
    <col min="69" max="69" width="15.33203125" customWidth="1"/>
    <col min="70" max="70" width="22.88671875" customWidth="1"/>
    <col min="71" max="71" width="21.21875" customWidth="1"/>
    <col min="72" max="72" width="16.6640625" customWidth="1"/>
    <col min="74" max="74" width="13.33203125" customWidth="1"/>
    <col min="75" max="75" width="26.21875" customWidth="1"/>
    <col min="85" max="174" width="12.44140625" customWidth="1"/>
    <col min="175" max="1074" width="13.44140625" customWidth="1"/>
    <col min="1075" max="10074" width="14.44140625" customWidth="1"/>
    <col min="10075" max="16384" width="15.44140625" customWidth="1"/>
  </cols>
  <sheetData>
    <row r="1" spans="1:100" ht="25.2" x14ac:dyDescent="0.45">
      <c r="A1" s="14"/>
      <c r="D1" s="12" t="s">
        <v>2729</v>
      </c>
      <c r="K1" s="12"/>
      <c r="L1" s="15"/>
      <c r="M1" s="16"/>
    </row>
    <row r="2" spans="1:100" x14ac:dyDescent="0.3">
      <c r="D2" s="17" t="s">
        <v>2730</v>
      </c>
    </row>
    <row r="3" spans="1:100" x14ac:dyDescent="0.3">
      <c r="A3" s="15" t="s">
        <v>2731</v>
      </c>
      <c r="B3" s="15" t="s">
        <v>2732</v>
      </c>
      <c r="C3" s="12" t="s">
        <v>2733</v>
      </c>
      <c r="D3" s="12" t="s">
        <v>2734</v>
      </c>
      <c r="E3" s="12" t="s">
        <v>7</v>
      </c>
      <c r="F3" s="12" t="s">
        <v>2735</v>
      </c>
      <c r="G3" s="12" t="s">
        <v>2736</v>
      </c>
      <c r="H3" s="12" t="s">
        <v>2737</v>
      </c>
      <c r="I3" s="12" t="s">
        <v>2738</v>
      </c>
      <c r="J3" s="12" t="s">
        <v>2739</v>
      </c>
      <c r="K3" s="12" t="s">
        <v>2740</v>
      </c>
      <c r="L3" s="12" t="s">
        <v>2741</v>
      </c>
      <c r="M3" s="12" t="s">
        <v>2742</v>
      </c>
      <c r="N3" s="12" t="s">
        <v>2743</v>
      </c>
      <c r="O3" s="12" t="s">
        <v>2744</v>
      </c>
      <c r="P3" s="12" t="s">
        <v>2745</v>
      </c>
      <c r="Q3" s="18" t="s">
        <v>2746</v>
      </c>
      <c r="R3" s="19" t="s">
        <v>2747</v>
      </c>
      <c r="S3" s="19" t="s">
        <v>2748</v>
      </c>
      <c r="T3" s="19" t="s">
        <v>2749</v>
      </c>
      <c r="U3" s="19" t="s">
        <v>2750</v>
      </c>
      <c r="V3" s="19" t="s">
        <v>2751</v>
      </c>
      <c r="W3" s="19" t="s">
        <v>2752</v>
      </c>
      <c r="X3" s="19" t="s">
        <v>2753</v>
      </c>
      <c r="Y3" s="19" t="s">
        <v>2754</v>
      </c>
      <c r="Z3" s="19" t="s">
        <v>2755</v>
      </c>
      <c r="AA3" s="19" t="s">
        <v>2756</v>
      </c>
      <c r="AB3" s="19" t="s">
        <v>2757</v>
      </c>
      <c r="AC3" s="19" t="s">
        <v>2758</v>
      </c>
      <c r="AD3" s="19" t="s">
        <v>2759</v>
      </c>
      <c r="AE3" s="19" t="s">
        <v>2760</v>
      </c>
      <c r="AF3" s="12" t="s">
        <v>2761</v>
      </c>
      <c r="AG3" s="12" t="s">
        <v>2762</v>
      </c>
      <c r="AH3" s="12" t="s">
        <v>2763</v>
      </c>
      <c r="AI3" s="12" t="s">
        <v>2</v>
      </c>
      <c r="AJ3" s="12" t="s">
        <v>2764</v>
      </c>
      <c r="AK3" s="12" t="s">
        <v>2765</v>
      </c>
      <c r="AL3" s="12" t="s">
        <v>2766</v>
      </c>
      <c r="AM3" s="12" t="s">
        <v>2767</v>
      </c>
      <c r="AN3" s="12" t="s">
        <v>2768</v>
      </c>
      <c r="AO3" s="12" t="s">
        <v>2769</v>
      </c>
      <c r="AP3" s="12" t="s">
        <v>2770</v>
      </c>
      <c r="AQ3" s="12" t="s">
        <v>2771</v>
      </c>
      <c r="AR3" s="12" t="s">
        <v>2772</v>
      </c>
      <c r="AS3" s="12" t="s">
        <v>2773</v>
      </c>
      <c r="AT3" s="12" t="s">
        <v>2774</v>
      </c>
      <c r="AU3" s="12" t="s">
        <v>2775</v>
      </c>
      <c r="AV3" s="12" t="s">
        <v>2776</v>
      </c>
      <c r="AW3" s="20" t="s">
        <v>2777</v>
      </c>
      <c r="AX3" s="12" t="s">
        <v>57</v>
      </c>
      <c r="AY3" s="12" t="s">
        <v>2778</v>
      </c>
      <c r="AZ3" s="12" t="s">
        <v>2779</v>
      </c>
      <c r="BA3" s="12" t="s">
        <v>2780</v>
      </c>
      <c r="BB3" s="12" t="s">
        <v>2781</v>
      </c>
      <c r="BC3" s="12" t="s">
        <v>2782</v>
      </c>
      <c r="BD3" s="12" t="s">
        <v>2783</v>
      </c>
      <c r="BE3" s="12" t="s">
        <v>2784</v>
      </c>
      <c r="BF3" s="12" t="s">
        <v>2785</v>
      </c>
      <c r="BG3" s="20" t="s">
        <v>2786</v>
      </c>
      <c r="BH3" s="15" t="s">
        <v>2787</v>
      </c>
      <c r="BI3" s="12" t="s">
        <v>2788</v>
      </c>
      <c r="BJ3" s="12" t="s">
        <v>2789</v>
      </c>
      <c r="BK3" s="12" t="s">
        <v>2790</v>
      </c>
      <c r="BL3" s="12" t="s">
        <v>2791</v>
      </c>
      <c r="BM3" s="12" t="s">
        <v>2792</v>
      </c>
      <c r="BN3" s="12" t="s">
        <v>2793</v>
      </c>
      <c r="BO3" s="12" t="s">
        <v>2794</v>
      </c>
      <c r="BP3" s="12" t="s">
        <v>2795</v>
      </c>
      <c r="BQ3" s="12" t="s">
        <v>2796</v>
      </c>
      <c r="BR3" s="12" t="s">
        <v>2797</v>
      </c>
      <c r="BS3" s="12" t="s">
        <v>2798</v>
      </c>
      <c r="BT3" s="15" t="s">
        <v>2799</v>
      </c>
      <c r="BU3" s="12" t="s">
        <v>2800</v>
      </c>
      <c r="BV3" s="12" t="s">
        <v>16</v>
      </c>
      <c r="BW3" s="12" t="s">
        <v>2801</v>
      </c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</row>
    <row r="4" spans="1:100" x14ac:dyDescent="0.3">
      <c r="A4" s="16">
        <v>46010</v>
      </c>
      <c r="B4" s="16">
        <v>46010</v>
      </c>
      <c r="C4" s="3" t="s">
        <v>2057</v>
      </c>
      <c r="D4" s="3" t="s">
        <v>2058</v>
      </c>
      <c r="E4" s="3" t="s">
        <v>73</v>
      </c>
      <c r="F4" s="3" t="s">
        <v>2802</v>
      </c>
      <c r="G4" s="3" t="s">
        <v>2821</v>
      </c>
      <c r="H4" s="3" t="s">
        <v>2070</v>
      </c>
      <c r="I4" s="3" t="s">
        <v>2803</v>
      </c>
      <c r="J4" s="3" t="s">
        <v>2804</v>
      </c>
      <c r="K4" s="3" t="s">
        <v>101</v>
      </c>
      <c r="L4" s="3" t="s">
        <v>73</v>
      </c>
      <c r="M4" s="3" t="s">
        <v>73</v>
      </c>
      <c r="N4" s="3" t="s">
        <v>2827</v>
      </c>
      <c r="O4" s="3" t="s">
        <v>2828</v>
      </c>
      <c r="Q4" s="13">
        <v>40</v>
      </c>
      <c r="R4" s="13">
        <v>0</v>
      </c>
      <c r="S4" s="13">
        <v>0</v>
      </c>
      <c r="T4" s="13">
        <v>40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3" t="s">
        <v>2802</v>
      </c>
      <c r="AG4" s="3" t="s">
        <v>67</v>
      </c>
      <c r="AH4" s="3" t="s">
        <v>2816</v>
      </c>
      <c r="AI4" s="3" t="s">
        <v>189</v>
      </c>
      <c r="AV4" s="3" t="s">
        <v>2817</v>
      </c>
      <c r="AW4" s="3" t="s">
        <v>2808</v>
      </c>
      <c r="AX4" s="3" t="s">
        <v>260</v>
      </c>
      <c r="AY4" s="3" t="s">
        <v>2809</v>
      </c>
      <c r="AZ4" s="3" t="s">
        <v>2810</v>
      </c>
      <c r="BA4" s="3" t="s">
        <v>2802</v>
      </c>
      <c r="BB4" s="3" t="s">
        <v>2811</v>
      </c>
      <c r="BC4" s="3" t="s">
        <v>2812</v>
      </c>
      <c r="BD4" s="3" t="s">
        <v>2813</v>
      </c>
      <c r="BF4" s="3" t="s">
        <v>192</v>
      </c>
      <c r="BG4" s="3" t="s">
        <v>193</v>
      </c>
      <c r="BH4" s="16">
        <v>46010</v>
      </c>
      <c r="BI4" s="3" t="s">
        <v>2818</v>
      </c>
      <c r="BJ4" s="3" t="s">
        <v>2819</v>
      </c>
      <c r="BK4" s="3" t="s">
        <v>73</v>
      </c>
      <c r="BL4" s="3" t="s">
        <v>204</v>
      </c>
      <c r="BP4" s="3" t="s">
        <v>2980</v>
      </c>
      <c r="BR4" s="3" t="s">
        <v>2981</v>
      </c>
      <c r="BT4" s="16" t="s">
        <v>2815</v>
      </c>
      <c r="BU4" s="3" t="s">
        <v>2825</v>
      </c>
      <c r="BV4" s="3" t="s">
        <v>75</v>
      </c>
      <c r="BW4" s="3" t="s">
        <v>2965</v>
      </c>
    </row>
    <row r="5" spans="1:100" x14ac:dyDescent="0.3">
      <c r="A5" s="16">
        <v>46010</v>
      </c>
      <c r="B5" s="16">
        <v>46010</v>
      </c>
      <c r="C5" s="3" t="s">
        <v>567</v>
      </c>
      <c r="D5" s="3" t="s">
        <v>570</v>
      </c>
      <c r="E5" s="3" t="s">
        <v>73</v>
      </c>
      <c r="F5" s="3" t="s">
        <v>2802</v>
      </c>
      <c r="G5" s="3" t="s">
        <v>2820</v>
      </c>
      <c r="H5" s="3" t="s">
        <v>581</v>
      </c>
      <c r="I5" s="3" t="s">
        <v>2803</v>
      </c>
      <c r="J5" s="3" t="s">
        <v>2804</v>
      </c>
      <c r="K5" s="3" t="s">
        <v>101</v>
      </c>
      <c r="L5" s="3" t="s">
        <v>73</v>
      </c>
      <c r="M5" s="3" t="s">
        <v>73</v>
      </c>
      <c r="N5" s="3" t="s">
        <v>2827</v>
      </c>
      <c r="O5" s="3" t="s">
        <v>2828</v>
      </c>
      <c r="Q5" s="13">
        <v>500</v>
      </c>
      <c r="R5" s="13">
        <v>500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3" t="s">
        <v>2802</v>
      </c>
      <c r="AG5" s="3" t="s">
        <v>67</v>
      </c>
      <c r="AH5" s="3" t="s">
        <v>2822</v>
      </c>
      <c r="AI5" s="3" t="s">
        <v>536</v>
      </c>
      <c r="AV5" s="3" t="s">
        <v>2817</v>
      </c>
      <c r="AW5" s="3" t="s">
        <v>2808</v>
      </c>
      <c r="AX5" s="3" t="s">
        <v>580</v>
      </c>
      <c r="BC5" s="3" t="s">
        <v>2812</v>
      </c>
      <c r="BD5" s="3" t="s">
        <v>2813</v>
      </c>
      <c r="BF5" s="3" t="s">
        <v>154</v>
      </c>
      <c r="BG5" s="3" t="s">
        <v>155</v>
      </c>
      <c r="BH5" s="16">
        <v>46010</v>
      </c>
      <c r="BI5" s="3" t="s">
        <v>2818</v>
      </c>
      <c r="BJ5" s="3" t="s">
        <v>2819</v>
      </c>
      <c r="BK5" s="3" t="s">
        <v>73</v>
      </c>
      <c r="BL5" s="3" t="s">
        <v>204</v>
      </c>
      <c r="BP5" s="3" t="s">
        <v>2835</v>
      </c>
      <c r="BR5" s="3" t="s">
        <v>2836</v>
      </c>
      <c r="BT5" s="16" t="s">
        <v>2815</v>
      </c>
      <c r="BU5" s="3" t="s">
        <v>2820</v>
      </c>
      <c r="BV5" s="3" t="s">
        <v>75</v>
      </c>
      <c r="BW5" s="3" t="s">
        <v>2965</v>
      </c>
    </row>
    <row r="6" spans="1:100" x14ac:dyDescent="0.3">
      <c r="A6" s="16">
        <v>46010</v>
      </c>
      <c r="B6" s="16">
        <v>46010</v>
      </c>
      <c r="C6" s="3" t="s">
        <v>2005</v>
      </c>
      <c r="D6" s="3" t="s">
        <v>2006</v>
      </c>
      <c r="E6" s="3" t="s">
        <v>73</v>
      </c>
      <c r="F6" s="3" t="s">
        <v>2802</v>
      </c>
      <c r="G6" s="3" t="s">
        <v>2983</v>
      </c>
      <c r="H6" s="3" t="s">
        <v>2018</v>
      </c>
      <c r="I6" s="3" t="s">
        <v>2803</v>
      </c>
      <c r="J6" s="3" t="s">
        <v>2804</v>
      </c>
      <c r="K6" s="3" t="s">
        <v>101</v>
      </c>
      <c r="L6" s="3" t="s">
        <v>73</v>
      </c>
      <c r="M6" s="3" t="s">
        <v>73</v>
      </c>
      <c r="N6" s="3" t="s">
        <v>2827</v>
      </c>
      <c r="O6" s="3" t="s">
        <v>2828</v>
      </c>
      <c r="Q6" s="13">
        <v>673.4</v>
      </c>
      <c r="R6" s="13">
        <v>438.92</v>
      </c>
      <c r="S6" s="13">
        <v>176.48</v>
      </c>
      <c r="T6" s="13">
        <v>0</v>
      </c>
      <c r="U6" s="13">
        <v>58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3" t="s">
        <v>2802</v>
      </c>
      <c r="AG6" s="3" t="s">
        <v>67</v>
      </c>
      <c r="AH6" s="3" t="s">
        <v>2802</v>
      </c>
      <c r="AI6" s="3" t="s">
        <v>68</v>
      </c>
      <c r="AV6" s="3" t="s">
        <v>2817</v>
      </c>
      <c r="AW6" s="3" t="s">
        <v>2808</v>
      </c>
      <c r="AX6" s="3" t="s">
        <v>82</v>
      </c>
      <c r="AY6" s="3" t="s">
        <v>2809</v>
      </c>
      <c r="AZ6" s="3" t="s">
        <v>2810</v>
      </c>
      <c r="BA6" s="3" t="s">
        <v>2802</v>
      </c>
      <c r="BB6" s="3" t="s">
        <v>2811</v>
      </c>
      <c r="BC6" s="3" t="s">
        <v>2812</v>
      </c>
      <c r="BD6" s="3" t="s">
        <v>2813</v>
      </c>
      <c r="BF6" s="3" t="s">
        <v>608</v>
      </c>
      <c r="BG6" s="3" t="s">
        <v>609</v>
      </c>
      <c r="BH6" s="16">
        <v>46010</v>
      </c>
      <c r="BI6" s="3" t="s">
        <v>2818</v>
      </c>
      <c r="BJ6" s="3" t="s">
        <v>2819</v>
      </c>
      <c r="BK6" s="3" t="s">
        <v>73</v>
      </c>
      <c r="BL6" s="3" t="s">
        <v>204</v>
      </c>
      <c r="BP6" s="3" t="s">
        <v>2837</v>
      </c>
      <c r="BR6" s="3" t="s">
        <v>2838</v>
      </c>
      <c r="BT6" s="16" t="s">
        <v>2815</v>
      </c>
      <c r="BU6" s="3" t="s">
        <v>2825</v>
      </c>
      <c r="BV6" s="3" t="s">
        <v>2831</v>
      </c>
      <c r="BW6" s="3" t="s">
        <v>2965</v>
      </c>
    </row>
    <row r="7" spans="1:100" x14ac:dyDescent="0.3">
      <c r="A7" s="16">
        <v>46010</v>
      </c>
      <c r="B7" s="16">
        <v>46010</v>
      </c>
      <c r="C7" s="3" t="s">
        <v>890</v>
      </c>
      <c r="D7" s="3" t="s">
        <v>893</v>
      </c>
      <c r="E7" s="3" t="s">
        <v>73</v>
      </c>
      <c r="F7" s="3" t="s">
        <v>2802</v>
      </c>
      <c r="G7" s="3" t="s">
        <v>2820</v>
      </c>
      <c r="H7" s="3" t="s">
        <v>903</v>
      </c>
      <c r="I7" s="3" t="s">
        <v>2803</v>
      </c>
      <c r="J7" s="3" t="s">
        <v>2804</v>
      </c>
      <c r="K7" s="3" t="s">
        <v>101</v>
      </c>
      <c r="L7" s="3" t="s">
        <v>73</v>
      </c>
      <c r="M7" s="3" t="s">
        <v>73</v>
      </c>
      <c r="N7" s="3" t="s">
        <v>2827</v>
      </c>
      <c r="O7" s="3" t="s">
        <v>2828</v>
      </c>
      <c r="Q7" s="13">
        <v>1000</v>
      </c>
      <c r="R7" s="13">
        <v>604.15</v>
      </c>
      <c r="S7" s="13">
        <v>0</v>
      </c>
      <c r="T7" s="13">
        <v>337.85</v>
      </c>
      <c r="U7" s="13">
        <v>58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3" t="s">
        <v>2802</v>
      </c>
      <c r="AG7" s="3" t="s">
        <v>67</v>
      </c>
      <c r="AH7" s="3" t="s">
        <v>2822</v>
      </c>
      <c r="AI7" s="3" t="s">
        <v>536</v>
      </c>
      <c r="AV7" s="3" t="s">
        <v>2817</v>
      </c>
      <c r="AW7" s="3" t="s">
        <v>2808</v>
      </c>
      <c r="AX7" s="3" t="s">
        <v>536</v>
      </c>
      <c r="BC7" s="3" t="s">
        <v>2812</v>
      </c>
      <c r="BD7" s="3" t="s">
        <v>2813</v>
      </c>
      <c r="BF7" s="3" t="s">
        <v>154</v>
      </c>
      <c r="BG7" s="3" t="s">
        <v>155</v>
      </c>
      <c r="BH7" s="16">
        <v>46010</v>
      </c>
      <c r="BI7" s="3" t="s">
        <v>2818</v>
      </c>
      <c r="BJ7" s="3" t="s">
        <v>2819</v>
      </c>
      <c r="BK7" s="3" t="s">
        <v>73</v>
      </c>
      <c r="BL7" s="3" t="s">
        <v>204</v>
      </c>
      <c r="BP7" s="3" t="s">
        <v>2948</v>
      </c>
      <c r="BR7" s="3" t="s">
        <v>2949</v>
      </c>
      <c r="BT7" s="16" t="s">
        <v>2815</v>
      </c>
      <c r="BU7" s="3" t="s">
        <v>2825</v>
      </c>
      <c r="BV7" s="3" t="s">
        <v>75</v>
      </c>
      <c r="BW7" s="3" t="s">
        <v>2965</v>
      </c>
    </row>
    <row r="8" spans="1:100" x14ac:dyDescent="0.3">
      <c r="A8" s="16">
        <v>46010</v>
      </c>
      <c r="B8" s="16">
        <v>46010</v>
      </c>
      <c r="C8" s="3" t="s">
        <v>916</v>
      </c>
      <c r="D8" s="3" t="s">
        <v>919</v>
      </c>
      <c r="E8" s="3" t="s">
        <v>73</v>
      </c>
      <c r="F8" s="3" t="s">
        <v>2802</v>
      </c>
      <c r="G8" s="3" t="s">
        <v>2830</v>
      </c>
      <c r="H8" s="3" t="s">
        <v>932</v>
      </c>
      <c r="I8" s="3" t="s">
        <v>2803</v>
      </c>
      <c r="J8" s="3" t="s">
        <v>2804</v>
      </c>
      <c r="K8" s="3" t="s">
        <v>101</v>
      </c>
      <c r="L8" s="3" t="s">
        <v>73</v>
      </c>
      <c r="M8" s="3" t="s">
        <v>175</v>
      </c>
      <c r="N8" s="3" t="s">
        <v>2805</v>
      </c>
      <c r="O8" s="3" t="s">
        <v>2806</v>
      </c>
      <c r="Q8" s="13">
        <v>1000</v>
      </c>
      <c r="R8" s="13">
        <v>1000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3" t="s">
        <v>2802</v>
      </c>
      <c r="AG8" s="3" t="s">
        <v>67</v>
      </c>
      <c r="AH8" s="3" t="s">
        <v>2822</v>
      </c>
      <c r="AI8" s="3" t="s">
        <v>536</v>
      </c>
      <c r="AV8" s="3" t="s">
        <v>2817</v>
      </c>
      <c r="AW8" s="3" t="s">
        <v>2808</v>
      </c>
      <c r="AX8" s="3" t="s">
        <v>536</v>
      </c>
      <c r="AY8" s="3" t="s">
        <v>2809</v>
      </c>
      <c r="AZ8" s="3" t="s">
        <v>2810</v>
      </c>
      <c r="BA8" s="3" t="s">
        <v>2802</v>
      </c>
      <c r="BB8" s="3" t="s">
        <v>2811</v>
      </c>
      <c r="BC8" s="3" t="s">
        <v>2812</v>
      </c>
      <c r="BD8" s="3" t="s">
        <v>2813</v>
      </c>
      <c r="BF8" s="3" t="s">
        <v>154</v>
      </c>
      <c r="BG8" s="3" t="s">
        <v>155</v>
      </c>
      <c r="BH8" s="16">
        <v>46013</v>
      </c>
      <c r="BI8" s="3" t="s">
        <v>2818</v>
      </c>
      <c r="BJ8" s="3" t="s">
        <v>2819</v>
      </c>
      <c r="BK8" s="3" t="s">
        <v>73</v>
      </c>
      <c r="BL8" s="3" t="s">
        <v>204</v>
      </c>
      <c r="BP8" s="3" t="s">
        <v>2823</v>
      </c>
      <c r="BR8" s="3" t="s">
        <v>2824</v>
      </c>
      <c r="BT8" s="16" t="s">
        <v>2815</v>
      </c>
      <c r="BU8" s="3" t="s">
        <v>2820</v>
      </c>
      <c r="BV8" s="3" t="s">
        <v>75</v>
      </c>
      <c r="BW8" s="3" t="s">
        <v>2988</v>
      </c>
    </row>
    <row r="9" spans="1:100" x14ac:dyDescent="0.3">
      <c r="A9" s="16">
        <v>46010</v>
      </c>
      <c r="B9" s="16">
        <v>46010</v>
      </c>
      <c r="C9" s="3" t="s">
        <v>1276</v>
      </c>
      <c r="D9" s="3" t="s">
        <v>1279</v>
      </c>
      <c r="E9" s="3" t="s">
        <v>175</v>
      </c>
      <c r="F9" s="3" t="s">
        <v>2829</v>
      </c>
      <c r="G9" s="3" t="s">
        <v>1513</v>
      </c>
      <c r="H9" s="3" t="s">
        <v>1291</v>
      </c>
      <c r="I9" s="3" t="s">
        <v>2803</v>
      </c>
      <c r="J9" s="3" t="s">
        <v>2804</v>
      </c>
      <c r="K9" s="3" t="s">
        <v>101</v>
      </c>
      <c r="L9" s="3" t="s">
        <v>73</v>
      </c>
      <c r="M9" s="3" t="s">
        <v>175</v>
      </c>
      <c r="N9" s="3" t="s">
        <v>2805</v>
      </c>
      <c r="O9" s="3" t="s">
        <v>2806</v>
      </c>
      <c r="Q9" s="13">
        <v>1000</v>
      </c>
      <c r="R9" s="13">
        <v>114.92</v>
      </c>
      <c r="S9" s="13">
        <v>247.08</v>
      </c>
      <c r="T9" s="13">
        <v>580</v>
      </c>
      <c r="U9" s="13">
        <v>58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3" t="s">
        <v>2802</v>
      </c>
      <c r="AG9" s="3" t="s">
        <v>67</v>
      </c>
      <c r="AH9" s="3" t="s">
        <v>2802</v>
      </c>
      <c r="AI9" s="3" t="s">
        <v>68</v>
      </c>
      <c r="AV9" s="3" t="s">
        <v>2817</v>
      </c>
      <c r="AW9" s="3" t="s">
        <v>2808</v>
      </c>
      <c r="AX9" s="3" t="s">
        <v>273</v>
      </c>
      <c r="AY9" s="3" t="s">
        <v>2809</v>
      </c>
      <c r="AZ9" s="3" t="s">
        <v>2810</v>
      </c>
      <c r="BA9" s="3" t="s">
        <v>2802</v>
      </c>
      <c r="BB9" s="3" t="s">
        <v>2811</v>
      </c>
      <c r="BC9" s="3" t="s">
        <v>2812</v>
      </c>
      <c r="BD9" s="3" t="s">
        <v>2813</v>
      </c>
      <c r="BF9" s="3" t="s">
        <v>173</v>
      </c>
      <c r="BG9" s="3" t="s">
        <v>174</v>
      </c>
      <c r="BH9" s="16">
        <v>46013</v>
      </c>
      <c r="BI9" s="3" t="s">
        <v>2818</v>
      </c>
      <c r="BJ9" s="3" t="s">
        <v>2819</v>
      </c>
      <c r="BK9" s="3" t="s">
        <v>73</v>
      </c>
      <c r="BL9" s="3" t="s">
        <v>204</v>
      </c>
      <c r="BP9" s="3" t="s">
        <v>2954</v>
      </c>
      <c r="BR9" s="3" t="s">
        <v>2955</v>
      </c>
      <c r="BT9" s="16" t="s">
        <v>2815</v>
      </c>
      <c r="BU9" s="3" t="s">
        <v>2825</v>
      </c>
      <c r="BV9" s="3" t="s">
        <v>2831</v>
      </c>
      <c r="BW9" s="3" t="s">
        <v>2988</v>
      </c>
    </row>
    <row r="10" spans="1:100" x14ac:dyDescent="0.3">
      <c r="A10" s="16">
        <v>46010</v>
      </c>
      <c r="B10" s="16">
        <v>46010</v>
      </c>
      <c r="C10" s="3" t="s">
        <v>2212</v>
      </c>
      <c r="D10" s="3" t="s">
        <v>2213</v>
      </c>
      <c r="E10" s="3" t="s">
        <v>175</v>
      </c>
      <c r="F10" s="3" t="s">
        <v>2829</v>
      </c>
      <c r="G10" s="3" t="s">
        <v>2820</v>
      </c>
      <c r="H10" s="3" t="s">
        <v>2223</v>
      </c>
      <c r="I10" s="3" t="s">
        <v>2803</v>
      </c>
      <c r="J10" s="3" t="s">
        <v>2804</v>
      </c>
      <c r="K10" s="3" t="s">
        <v>101</v>
      </c>
      <c r="L10" s="3" t="s">
        <v>73</v>
      </c>
      <c r="M10" s="3" t="s">
        <v>73</v>
      </c>
      <c r="N10" s="3" t="s">
        <v>2827</v>
      </c>
      <c r="O10" s="3" t="s">
        <v>2828</v>
      </c>
      <c r="Q10" s="13">
        <v>1300</v>
      </c>
      <c r="R10" s="13">
        <v>877.84</v>
      </c>
      <c r="S10" s="13">
        <v>352.96</v>
      </c>
      <c r="T10" s="13">
        <v>0</v>
      </c>
      <c r="U10" s="13">
        <v>69.2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3" t="s">
        <v>2802</v>
      </c>
      <c r="AG10" s="3" t="s">
        <v>67</v>
      </c>
      <c r="AH10" s="3" t="s">
        <v>2816</v>
      </c>
      <c r="AI10" s="3" t="s">
        <v>189</v>
      </c>
      <c r="AV10" s="3" t="s">
        <v>2817</v>
      </c>
      <c r="AW10" s="3" t="s">
        <v>2808</v>
      </c>
      <c r="AX10" s="3" t="s">
        <v>189</v>
      </c>
      <c r="AY10" s="3" t="s">
        <v>2809</v>
      </c>
      <c r="AZ10" s="3" t="s">
        <v>2810</v>
      </c>
      <c r="BA10" s="3" t="s">
        <v>2802</v>
      </c>
      <c r="BB10" s="3" t="s">
        <v>2811</v>
      </c>
      <c r="BC10" s="3" t="s">
        <v>2812</v>
      </c>
      <c r="BD10" s="3" t="s">
        <v>2813</v>
      </c>
      <c r="BF10" s="3" t="s">
        <v>608</v>
      </c>
      <c r="BG10" s="3" t="s">
        <v>609</v>
      </c>
      <c r="BH10" s="16">
        <v>46013</v>
      </c>
      <c r="BI10" s="3" t="s">
        <v>2818</v>
      </c>
      <c r="BJ10" s="3" t="s">
        <v>2819</v>
      </c>
      <c r="BK10" s="3" t="s">
        <v>73</v>
      </c>
      <c r="BL10" s="3" t="s">
        <v>204</v>
      </c>
      <c r="BP10" s="3" t="s">
        <v>2950</v>
      </c>
      <c r="BR10" s="3" t="s">
        <v>2951</v>
      </c>
      <c r="BT10" s="16" t="s">
        <v>2815</v>
      </c>
      <c r="BU10" s="3" t="s">
        <v>2825</v>
      </c>
      <c r="BV10" s="3" t="s">
        <v>2831</v>
      </c>
      <c r="BW10" s="3" t="s">
        <v>2965</v>
      </c>
    </row>
    <row r="11" spans="1:100" x14ac:dyDescent="0.3">
      <c r="A11" s="16">
        <v>46010</v>
      </c>
      <c r="B11" s="16">
        <v>46010</v>
      </c>
      <c r="C11" s="3" t="s">
        <v>1734</v>
      </c>
      <c r="D11" s="3" t="s">
        <v>1735</v>
      </c>
      <c r="E11" s="3" t="s">
        <v>73</v>
      </c>
      <c r="F11" s="3" t="s">
        <v>2802</v>
      </c>
      <c r="G11" s="3" t="s">
        <v>2820</v>
      </c>
      <c r="H11" s="3" t="s">
        <v>1748</v>
      </c>
      <c r="I11" s="3" t="s">
        <v>2803</v>
      </c>
      <c r="J11" s="3" t="s">
        <v>2804</v>
      </c>
      <c r="K11" s="3" t="s">
        <v>2964</v>
      </c>
      <c r="L11" s="3" t="s">
        <v>73</v>
      </c>
      <c r="M11" s="3" t="s">
        <v>175</v>
      </c>
      <c r="N11" s="3" t="s">
        <v>2805</v>
      </c>
      <c r="O11" s="3" t="s">
        <v>2806</v>
      </c>
      <c r="Q11" s="13">
        <v>1703</v>
      </c>
      <c r="R11" s="13">
        <v>877.84</v>
      </c>
      <c r="S11" s="13">
        <v>766.85</v>
      </c>
      <c r="T11" s="13">
        <v>0</v>
      </c>
      <c r="U11" s="13">
        <v>58.31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3" t="s">
        <v>2802</v>
      </c>
      <c r="AG11" s="3" t="s">
        <v>67</v>
      </c>
      <c r="AH11" s="3" t="s">
        <v>2802</v>
      </c>
      <c r="AI11" s="3" t="s">
        <v>68</v>
      </c>
      <c r="AV11" s="3" t="s">
        <v>2817</v>
      </c>
      <c r="AW11" s="3" t="s">
        <v>2808</v>
      </c>
      <c r="AX11" s="3" t="s">
        <v>82</v>
      </c>
      <c r="AY11" s="3" t="s">
        <v>2809</v>
      </c>
      <c r="AZ11" s="3" t="s">
        <v>2810</v>
      </c>
      <c r="BA11" s="3" t="s">
        <v>2802</v>
      </c>
      <c r="BB11" s="3" t="s">
        <v>2811</v>
      </c>
      <c r="BC11" s="3" t="s">
        <v>2812</v>
      </c>
      <c r="BD11" s="3" t="s">
        <v>2813</v>
      </c>
      <c r="BF11" s="3" t="s">
        <v>608</v>
      </c>
      <c r="BG11" s="3" t="s">
        <v>609</v>
      </c>
      <c r="BH11" s="16">
        <v>46010</v>
      </c>
      <c r="BI11" s="3" t="s">
        <v>2818</v>
      </c>
      <c r="BJ11" s="3" t="s">
        <v>2819</v>
      </c>
      <c r="BK11" s="3" t="s">
        <v>73</v>
      </c>
      <c r="BL11" s="3" t="s">
        <v>204</v>
      </c>
      <c r="BP11" s="3" t="s">
        <v>2984</v>
      </c>
      <c r="BR11" s="3" t="s">
        <v>2985</v>
      </c>
      <c r="BT11" s="16" t="s">
        <v>2815</v>
      </c>
      <c r="BU11" s="3" t="s">
        <v>2825</v>
      </c>
      <c r="BV11" s="3" t="s">
        <v>75</v>
      </c>
      <c r="BW11" s="3" t="s">
        <v>2979</v>
      </c>
    </row>
    <row r="12" spans="1:100" x14ac:dyDescent="0.3">
      <c r="A12" s="16">
        <v>46010</v>
      </c>
      <c r="B12" s="16">
        <v>46010</v>
      </c>
      <c r="C12" s="3" t="s">
        <v>2690</v>
      </c>
      <c r="D12" s="3" t="s">
        <v>2691</v>
      </c>
      <c r="E12" s="3" t="s">
        <v>73</v>
      </c>
      <c r="F12" s="3" t="s">
        <v>2802</v>
      </c>
      <c r="G12" s="3" t="s">
        <v>2830</v>
      </c>
      <c r="H12" s="3" t="s">
        <v>2704</v>
      </c>
      <c r="I12" s="3" t="s">
        <v>2803</v>
      </c>
      <c r="J12" s="3" t="s">
        <v>2804</v>
      </c>
      <c r="K12" s="3" t="s">
        <v>101</v>
      </c>
      <c r="L12" s="3" t="s">
        <v>73</v>
      </c>
      <c r="M12" s="3" t="s">
        <v>73</v>
      </c>
      <c r="N12" s="3" t="s">
        <v>2827</v>
      </c>
      <c r="O12" s="3" t="s">
        <v>2828</v>
      </c>
      <c r="Q12" s="13">
        <v>2000</v>
      </c>
      <c r="R12" s="13">
        <v>0</v>
      </c>
      <c r="S12" s="13">
        <v>1387.8500000000001</v>
      </c>
      <c r="T12" s="13">
        <v>580</v>
      </c>
      <c r="U12" s="13">
        <v>32.15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3" t="s">
        <v>2802</v>
      </c>
      <c r="AG12" s="3" t="s">
        <v>67</v>
      </c>
      <c r="AH12" s="3" t="s">
        <v>2822</v>
      </c>
      <c r="AI12" s="3" t="s">
        <v>536</v>
      </c>
      <c r="AV12" s="3" t="s">
        <v>2817</v>
      </c>
      <c r="AW12" s="3" t="s">
        <v>2808</v>
      </c>
      <c r="AX12" s="3" t="s">
        <v>536</v>
      </c>
      <c r="AY12" s="3" t="s">
        <v>2809</v>
      </c>
      <c r="AZ12" s="3" t="s">
        <v>2810</v>
      </c>
      <c r="BA12" s="3" t="s">
        <v>2802</v>
      </c>
      <c r="BB12" s="3" t="s">
        <v>2811</v>
      </c>
      <c r="BC12" s="3" t="s">
        <v>2812</v>
      </c>
      <c r="BD12" s="3" t="s">
        <v>2813</v>
      </c>
      <c r="BF12" s="3" t="s">
        <v>154</v>
      </c>
      <c r="BG12" s="3" t="s">
        <v>155</v>
      </c>
      <c r="BH12" s="16">
        <v>46010</v>
      </c>
      <c r="BI12" s="3" t="s">
        <v>2818</v>
      </c>
      <c r="BJ12" s="3" t="s">
        <v>2819</v>
      </c>
      <c r="BK12" s="3" t="s">
        <v>73</v>
      </c>
      <c r="BL12" s="3" t="s">
        <v>204</v>
      </c>
      <c r="BP12" s="3" t="s">
        <v>2986</v>
      </c>
      <c r="BR12" s="3" t="s">
        <v>2987</v>
      </c>
      <c r="BT12" s="16" t="s">
        <v>2815</v>
      </c>
      <c r="BU12" s="3" t="s">
        <v>2825</v>
      </c>
      <c r="BV12" s="3" t="s">
        <v>75</v>
      </c>
      <c r="BW12" s="3" t="s">
        <v>2979</v>
      </c>
    </row>
    <row r="13" spans="1:100" x14ac:dyDescent="0.3">
      <c r="A13" s="16">
        <v>46010</v>
      </c>
      <c r="B13" s="16">
        <v>46010</v>
      </c>
      <c r="C13" s="3" t="s">
        <v>1952</v>
      </c>
      <c r="D13" s="3" t="s">
        <v>1953</v>
      </c>
      <c r="E13" s="3" t="s">
        <v>73</v>
      </c>
      <c r="F13" s="3" t="s">
        <v>2802</v>
      </c>
      <c r="G13" s="3" t="s">
        <v>2826</v>
      </c>
      <c r="H13" s="3" t="s">
        <v>1968</v>
      </c>
      <c r="I13" s="3" t="s">
        <v>2803</v>
      </c>
      <c r="J13" s="3" t="s">
        <v>2804</v>
      </c>
      <c r="K13" s="3" t="s">
        <v>101</v>
      </c>
      <c r="L13" s="3" t="s">
        <v>73</v>
      </c>
      <c r="M13" s="3" t="s">
        <v>73</v>
      </c>
      <c r="N13" s="3" t="s">
        <v>2827</v>
      </c>
      <c r="O13" s="3" t="s">
        <v>2828</v>
      </c>
      <c r="Q13" s="13">
        <v>3016</v>
      </c>
      <c r="R13" s="13">
        <v>2277.09</v>
      </c>
      <c r="S13" s="13">
        <v>679.93000000000006</v>
      </c>
      <c r="T13" s="13">
        <v>0</v>
      </c>
      <c r="U13" s="13">
        <v>58.980000000000004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3" t="s">
        <v>2802</v>
      </c>
      <c r="AG13" s="3" t="s">
        <v>67</v>
      </c>
      <c r="AH13" s="3" t="s">
        <v>2802</v>
      </c>
      <c r="AI13" s="3" t="s">
        <v>68</v>
      </c>
      <c r="AV13" s="3" t="s">
        <v>2817</v>
      </c>
      <c r="AW13" s="3" t="s">
        <v>2808</v>
      </c>
      <c r="AX13" s="3" t="s">
        <v>82</v>
      </c>
      <c r="BC13" s="3" t="s">
        <v>2812</v>
      </c>
      <c r="BD13" s="3" t="s">
        <v>2813</v>
      </c>
      <c r="BF13" s="3" t="s">
        <v>608</v>
      </c>
      <c r="BG13" s="3" t="s">
        <v>609</v>
      </c>
      <c r="BH13" s="16">
        <v>46013</v>
      </c>
      <c r="BI13" s="3" t="s">
        <v>73</v>
      </c>
      <c r="BJ13" s="3" t="s">
        <v>2833</v>
      </c>
      <c r="BK13" s="3" t="s">
        <v>2814</v>
      </c>
      <c r="BL13" s="3" t="s">
        <v>1130</v>
      </c>
      <c r="BP13" s="3" t="s">
        <v>2989</v>
      </c>
      <c r="BR13" s="3" t="s">
        <v>2990</v>
      </c>
      <c r="BT13" s="16" t="s">
        <v>2815</v>
      </c>
      <c r="BU13" s="3" t="s">
        <v>2825</v>
      </c>
      <c r="BV13" s="3" t="s">
        <v>75</v>
      </c>
      <c r="BW13" s="3" t="s">
        <v>2982</v>
      </c>
    </row>
    <row r="14" spans="1:100" x14ac:dyDescent="0.3">
      <c r="A14" s="16">
        <v>46011</v>
      </c>
      <c r="B14" s="16">
        <v>46011</v>
      </c>
      <c r="C14" s="3" t="s">
        <v>837</v>
      </c>
      <c r="D14" s="3" t="s">
        <v>838</v>
      </c>
      <c r="E14" s="3" t="s">
        <v>73</v>
      </c>
      <c r="F14" s="3" t="s">
        <v>2802</v>
      </c>
      <c r="G14" s="3" t="s">
        <v>1513</v>
      </c>
      <c r="H14" s="3" t="s">
        <v>849</v>
      </c>
      <c r="I14" s="3" t="s">
        <v>2803</v>
      </c>
      <c r="J14" s="3" t="s">
        <v>2804</v>
      </c>
      <c r="K14" s="3" t="s">
        <v>101</v>
      </c>
      <c r="L14" s="3" t="s">
        <v>73</v>
      </c>
      <c r="M14" s="3" t="s">
        <v>73</v>
      </c>
      <c r="N14" s="3" t="s">
        <v>2827</v>
      </c>
      <c r="O14" s="3" t="s">
        <v>2828</v>
      </c>
      <c r="Q14" s="13">
        <v>2000</v>
      </c>
      <c r="R14" s="13">
        <v>681.54</v>
      </c>
      <c r="S14" s="13">
        <v>1150.28</v>
      </c>
      <c r="T14" s="13">
        <v>168.18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3" t="s">
        <v>2802</v>
      </c>
      <c r="AG14" s="3" t="s">
        <v>67</v>
      </c>
      <c r="AH14" s="3" t="s">
        <v>2807</v>
      </c>
      <c r="AI14" s="3" t="s">
        <v>104</v>
      </c>
      <c r="AV14" s="3" t="s">
        <v>2817</v>
      </c>
      <c r="AW14" s="3" t="s">
        <v>2808</v>
      </c>
      <c r="AX14" s="3" t="s">
        <v>848</v>
      </c>
      <c r="BC14" s="3" t="s">
        <v>2812</v>
      </c>
      <c r="BD14" s="3" t="s">
        <v>2813</v>
      </c>
      <c r="BF14" s="3" t="s">
        <v>424</v>
      </c>
      <c r="BG14" s="3" t="s">
        <v>425</v>
      </c>
      <c r="BH14" s="16">
        <v>46013</v>
      </c>
      <c r="BI14" s="3" t="s">
        <v>2818</v>
      </c>
      <c r="BJ14" s="3" t="s">
        <v>2819</v>
      </c>
      <c r="BK14" s="3" t="s">
        <v>73</v>
      </c>
      <c r="BL14" s="3" t="s">
        <v>204</v>
      </c>
      <c r="BP14" s="3" t="s">
        <v>2991</v>
      </c>
      <c r="BR14" s="3" t="s">
        <v>2992</v>
      </c>
      <c r="BT14" s="16" t="s">
        <v>2815</v>
      </c>
      <c r="BU14" s="3" t="s">
        <v>2825</v>
      </c>
      <c r="BV14" s="3" t="s">
        <v>75</v>
      </c>
      <c r="BW14" s="3" t="s">
        <v>2965</v>
      </c>
    </row>
    <row r="15" spans="1:100" x14ac:dyDescent="0.3">
      <c r="A15" s="16">
        <v>46011</v>
      </c>
      <c r="B15" s="16">
        <v>46011</v>
      </c>
      <c r="C15" s="3" t="s">
        <v>1150</v>
      </c>
      <c r="D15" s="3" t="s">
        <v>1151</v>
      </c>
      <c r="E15" s="3" t="s">
        <v>73</v>
      </c>
      <c r="F15" s="3" t="s">
        <v>2802</v>
      </c>
      <c r="G15" s="3" t="s">
        <v>2820</v>
      </c>
      <c r="H15" s="3" t="s">
        <v>1163</v>
      </c>
      <c r="I15" s="3" t="s">
        <v>2803</v>
      </c>
      <c r="J15" s="3" t="s">
        <v>2804</v>
      </c>
      <c r="K15" s="3" t="s">
        <v>101</v>
      </c>
      <c r="L15" s="3" t="s">
        <v>73</v>
      </c>
      <c r="M15" s="3" t="s">
        <v>175</v>
      </c>
      <c r="N15" s="3" t="s">
        <v>2805</v>
      </c>
      <c r="O15" s="3" t="s">
        <v>2806</v>
      </c>
      <c r="Q15" s="13">
        <v>3162.63</v>
      </c>
      <c r="R15" s="13">
        <v>1755.68</v>
      </c>
      <c r="S15" s="13">
        <v>768.96</v>
      </c>
      <c r="T15" s="13">
        <v>579.99</v>
      </c>
      <c r="U15" s="13">
        <v>58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3" t="s">
        <v>2802</v>
      </c>
      <c r="AG15" s="3" t="s">
        <v>67</v>
      </c>
      <c r="AH15" s="3" t="s">
        <v>2807</v>
      </c>
      <c r="AI15" s="3" t="s">
        <v>104</v>
      </c>
      <c r="AV15" s="3" t="s">
        <v>2817</v>
      </c>
      <c r="AW15" s="3" t="s">
        <v>2808</v>
      </c>
      <c r="AX15" s="3" t="s">
        <v>104</v>
      </c>
      <c r="AY15" s="3" t="s">
        <v>2809</v>
      </c>
      <c r="AZ15" s="3" t="s">
        <v>2810</v>
      </c>
      <c r="BA15" s="3" t="s">
        <v>2802</v>
      </c>
      <c r="BB15" s="3" t="s">
        <v>2811</v>
      </c>
      <c r="BC15" s="3" t="s">
        <v>2812</v>
      </c>
      <c r="BD15" s="3" t="s">
        <v>2813</v>
      </c>
      <c r="BF15" s="3" t="s">
        <v>424</v>
      </c>
      <c r="BG15" s="3" t="s">
        <v>425</v>
      </c>
      <c r="BH15" s="16">
        <v>46013</v>
      </c>
      <c r="BI15" s="3" t="s">
        <v>2818</v>
      </c>
      <c r="BJ15" s="3" t="s">
        <v>2819</v>
      </c>
      <c r="BK15" s="3" t="s">
        <v>73</v>
      </c>
      <c r="BL15" s="3" t="s">
        <v>204</v>
      </c>
      <c r="BP15" s="3" t="s">
        <v>2993</v>
      </c>
      <c r="BR15" s="3" t="s">
        <v>2994</v>
      </c>
      <c r="BT15" s="16" t="s">
        <v>2815</v>
      </c>
      <c r="BU15" s="3" t="s">
        <v>2820</v>
      </c>
      <c r="BV15" s="3" t="s">
        <v>75</v>
      </c>
      <c r="BW15" s="3" t="s">
        <v>2988</v>
      </c>
    </row>
    <row r="16" spans="1:100" x14ac:dyDescent="0.3">
      <c r="A16" s="16">
        <v>46012</v>
      </c>
      <c r="B16" s="16">
        <v>46012</v>
      </c>
      <c r="C16" s="3" t="s">
        <v>1698</v>
      </c>
      <c r="D16" s="3" t="s">
        <v>1699</v>
      </c>
      <c r="E16" s="3" t="s">
        <v>73</v>
      </c>
      <c r="F16" s="3" t="s">
        <v>2802</v>
      </c>
      <c r="G16" s="3" t="s">
        <v>2834</v>
      </c>
      <c r="H16" s="3" t="s">
        <v>1710</v>
      </c>
      <c r="I16" s="3" t="s">
        <v>2803</v>
      </c>
      <c r="J16" s="3" t="s">
        <v>2804</v>
      </c>
      <c r="K16" s="3" t="s">
        <v>101</v>
      </c>
      <c r="L16" s="3" t="s">
        <v>73</v>
      </c>
      <c r="M16" s="3" t="s">
        <v>73</v>
      </c>
      <c r="N16" s="3" t="s">
        <v>2827</v>
      </c>
      <c r="O16" s="3" t="s">
        <v>2828</v>
      </c>
      <c r="Q16" s="13">
        <v>2979</v>
      </c>
      <c r="R16" s="13">
        <v>1755.68</v>
      </c>
      <c r="S16" s="13">
        <v>1163.05</v>
      </c>
      <c r="T16" s="13">
        <v>0</v>
      </c>
      <c r="U16" s="13">
        <v>60.27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3" t="s">
        <v>2802</v>
      </c>
      <c r="AG16" s="3" t="s">
        <v>67</v>
      </c>
      <c r="AH16" s="3" t="s">
        <v>2802</v>
      </c>
      <c r="AI16" s="3" t="s">
        <v>68</v>
      </c>
      <c r="AV16" s="3" t="s">
        <v>2817</v>
      </c>
      <c r="AW16" s="3" t="s">
        <v>2808</v>
      </c>
      <c r="AX16" s="3" t="s">
        <v>273</v>
      </c>
      <c r="BC16" s="3" t="s">
        <v>2812</v>
      </c>
      <c r="BD16" s="3" t="s">
        <v>2813</v>
      </c>
      <c r="BF16" s="3" t="s">
        <v>608</v>
      </c>
      <c r="BG16" s="3" t="s">
        <v>609</v>
      </c>
      <c r="BH16" s="16">
        <v>46013</v>
      </c>
      <c r="BI16" s="3" t="s">
        <v>2818</v>
      </c>
      <c r="BJ16" s="3" t="s">
        <v>2819</v>
      </c>
      <c r="BK16" s="3" t="s">
        <v>73</v>
      </c>
      <c r="BL16" s="3" t="s">
        <v>204</v>
      </c>
      <c r="BP16" s="3" t="s">
        <v>2995</v>
      </c>
      <c r="BR16" s="3" t="s">
        <v>2996</v>
      </c>
      <c r="BT16" s="16" t="s">
        <v>2815</v>
      </c>
      <c r="BU16" s="3" t="s">
        <v>2825</v>
      </c>
      <c r="BV16" s="3" t="s">
        <v>75</v>
      </c>
      <c r="BW16" s="3" t="s">
        <v>2965</v>
      </c>
    </row>
    <row r="17" spans="1:75" x14ac:dyDescent="0.3">
      <c r="A17" s="16">
        <v>46013</v>
      </c>
      <c r="B17" s="16">
        <v>46013</v>
      </c>
      <c r="C17" s="3" t="s">
        <v>1440</v>
      </c>
      <c r="D17" s="3" t="s">
        <v>1441</v>
      </c>
      <c r="E17" s="3" t="s">
        <v>73</v>
      </c>
      <c r="F17" s="3" t="s">
        <v>2802</v>
      </c>
      <c r="G17" s="3" t="s">
        <v>2820</v>
      </c>
      <c r="H17" s="3" t="s">
        <v>1452</v>
      </c>
      <c r="I17" s="3" t="s">
        <v>2803</v>
      </c>
      <c r="J17" s="3" t="s">
        <v>2804</v>
      </c>
      <c r="K17" s="3" t="s">
        <v>101</v>
      </c>
      <c r="L17" s="3" t="s">
        <v>73</v>
      </c>
      <c r="M17" s="3" t="s">
        <v>73</v>
      </c>
      <c r="N17" s="3" t="s">
        <v>2827</v>
      </c>
      <c r="O17" s="3" t="s">
        <v>2828</v>
      </c>
      <c r="Q17" s="13">
        <v>580</v>
      </c>
      <c r="R17" s="13">
        <v>580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3" t="s">
        <v>2802</v>
      </c>
      <c r="AG17" s="3" t="s">
        <v>67</v>
      </c>
      <c r="AH17" s="3" t="s">
        <v>2802</v>
      </c>
      <c r="AI17" s="3" t="s">
        <v>68</v>
      </c>
      <c r="AV17" s="3" t="s">
        <v>2817</v>
      </c>
      <c r="AW17" s="3" t="s">
        <v>2808</v>
      </c>
      <c r="AX17" s="3" t="s">
        <v>82</v>
      </c>
      <c r="BC17" s="3" t="s">
        <v>2812</v>
      </c>
      <c r="BD17" s="3" t="s">
        <v>2813</v>
      </c>
      <c r="BF17" s="3" t="s">
        <v>608</v>
      </c>
      <c r="BG17" s="3" t="s">
        <v>609</v>
      </c>
      <c r="BH17" s="16">
        <v>46013</v>
      </c>
      <c r="BI17" s="3" t="s">
        <v>2818</v>
      </c>
      <c r="BJ17" s="3" t="s">
        <v>2819</v>
      </c>
      <c r="BK17" s="3" t="s">
        <v>73</v>
      </c>
      <c r="BL17" s="3" t="s">
        <v>204</v>
      </c>
      <c r="BP17" s="3" t="s">
        <v>2962</v>
      </c>
      <c r="BR17" s="3" t="s">
        <v>2963</v>
      </c>
      <c r="BT17" s="16" t="s">
        <v>2815</v>
      </c>
      <c r="BU17" s="3" t="s">
        <v>2820</v>
      </c>
      <c r="BV17" s="3" t="s">
        <v>75</v>
      </c>
      <c r="BW17" s="3" t="s">
        <v>2982</v>
      </c>
    </row>
    <row r="18" spans="1:75" x14ac:dyDescent="0.3">
      <c r="A18" s="16">
        <v>46013</v>
      </c>
      <c r="B18" s="16">
        <v>46013</v>
      </c>
      <c r="C18" s="3" t="s">
        <v>1882</v>
      </c>
      <c r="D18" s="3" t="s">
        <v>1883</v>
      </c>
      <c r="E18" s="3" t="s">
        <v>175</v>
      </c>
      <c r="F18" s="3" t="s">
        <v>2829</v>
      </c>
      <c r="G18" s="3" t="s">
        <v>2820</v>
      </c>
      <c r="H18" s="3" t="s">
        <v>1894</v>
      </c>
      <c r="I18" s="3" t="s">
        <v>2803</v>
      </c>
      <c r="J18" s="3" t="s">
        <v>2804</v>
      </c>
      <c r="K18" s="3" t="s">
        <v>101</v>
      </c>
      <c r="L18" s="3" t="s">
        <v>73</v>
      </c>
      <c r="M18" s="3" t="s">
        <v>175</v>
      </c>
      <c r="N18" s="3" t="s">
        <v>2805</v>
      </c>
      <c r="O18" s="3" t="s">
        <v>2806</v>
      </c>
      <c r="Q18" s="13">
        <v>797</v>
      </c>
      <c r="R18" s="13">
        <v>526.70000000000005</v>
      </c>
      <c r="S18" s="13">
        <v>50.7</v>
      </c>
      <c r="T18" s="13">
        <v>161.59</v>
      </c>
      <c r="U18" s="13">
        <v>58.01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3" t="s">
        <v>2802</v>
      </c>
      <c r="AG18" s="3" t="s">
        <v>67</v>
      </c>
      <c r="AH18" s="3" t="s">
        <v>2816</v>
      </c>
      <c r="AI18" s="3" t="s">
        <v>189</v>
      </c>
      <c r="AV18" s="3" t="s">
        <v>2817</v>
      </c>
      <c r="AW18" s="3" t="s">
        <v>2808</v>
      </c>
      <c r="AX18" s="3" t="s">
        <v>260</v>
      </c>
      <c r="AY18" s="3" t="s">
        <v>2809</v>
      </c>
      <c r="AZ18" s="3" t="s">
        <v>2810</v>
      </c>
      <c r="BA18" s="3" t="s">
        <v>2802</v>
      </c>
      <c r="BB18" s="3" t="s">
        <v>2811</v>
      </c>
      <c r="BC18" s="3" t="s">
        <v>2812</v>
      </c>
      <c r="BD18" s="3" t="s">
        <v>2813</v>
      </c>
      <c r="BF18" s="3" t="s">
        <v>192</v>
      </c>
      <c r="BG18" s="3" t="s">
        <v>193</v>
      </c>
      <c r="BH18" s="16">
        <v>46017</v>
      </c>
      <c r="BI18" s="3" t="s">
        <v>2818</v>
      </c>
      <c r="BJ18" s="3" t="s">
        <v>2819</v>
      </c>
      <c r="BK18" s="3" t="s">
        <v>73</v>
      </c>
      <c r="BL18" s="3" t="s">
        <v>204</v>
      </c>
      <c r="BP18" s="3" t="s">
        <v>3022</v>
      </c>
      <c r="BR18" s="3" t="s">
        <v>3023</v>
      </c>
      <c r="BT18" s="16" t="s">
        <v>2815</v>
      </c>
      <c r="BU18" s="3" t="s">
        <v>3024</v>
      </c>
      <c r="BV18" s="3" t="s">
        <v>279</v>
      </c>
      <c r="BW18" s="3" t="s">
        <v>3012</v>
      </c>
    </row>
    <row r="19" spans="1:75" x14ac:dyDescent="0.3">
      <c r="A19" s="16">
        <v>46013</v>
      </c>
      <c r="B19" s="16">
        <v>46013</v>
      </c>
      <c r="C19" s="3" t="s">
        <v>2663</v>
      </c>
      <c r="D19" s="3" t="s">
        <v>2664</v>
      </c>
      <c r="E19" s="3" t="s">
        <v>175</v>
      </c>
      <c r="F19" s="3" t="s">
        <v>2829</v>
      </c>
      <c r="G19" s="3" t="s">
        <v>2821</v>
      </c>
      <c r="H19" s="3" t="s">
        <v>2674</v>
      </c>
      <c r="I19" s="3" t="s">
        <v>2803</v>
      </c>
      <c r="J19" s="3" t="s">
        <v>2804</v>
      </c>
      <c r="K19" s="3" t="s">
        <v>101</v>
      </c>
      <c r="L19" s="3" t="s">
        <v>73</v>
      </c>
      <c r="M19" s="3" t="s">
        <v>73</v>
      </c>
      <c r="N19" s="3" t="s">
        <v>2827</v>
      </c>
      <c r="O19" s="3" t="s">
        <v>2828</v>
      </c>
      <c r="Q19" s="13">
        <v>919.56000000000006</v>
      </c>
      <c r="R19" s="13">
        <v>614.48</v>
      </c>
      <c r="S19" s="13">
        <v>247.08</v>
      </c>
      <c r="T19" s="13">
        <v>0</v>
      </c>
      <c r="U19" s="13">
        <v>58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3" t="s">
        <v>2802</v>
      </c>
      <c r="AG19" s="3" t="s">
        <v>67</v>
      </c>
      <c r="AH19" s="3" t="s">
        <v>2822</v>
      </c>
      <c r="AI19" s="3" t="s">
        <v>536</v>
      </c>
      <c r="AV19" s="3" t="s">
        <v>2817</v>
      </c>
      <c r="AW19" s="3" t="s">
        <v>2808</v>
      </c>
      <c r="AX19" s="3" t="s">
        <v>536</v>
      </c>
      <c r="AY19" s="3" t="s">
        <v>2809</v>
      </c>
      <c r="AZ19" s="3" t="s">
        <v>2810</v>
      </c>
      <c r="BA19" s="3" t="s">
        <v>2802</v>
      </c>
      <c r="BB19" s="3" t="s">
        <v>2811</v>
      </c>
      <c r="BC19" s="3" t="s">
        <v>2812</v>
      </c>
      <c r="BD19" s="3" t="s">
        <v>2813</v>
      </c>
      <c r="BF19" s="3" t="s">
        <v>608</v>
      </c>
      <c r="BG19" s="3" t="s">
        <v>609</v>
      </c>
      <c r="BH19" s="16">
        <v>46013</v>
      </c>
      <c r="BI19" s="3" t="s">
        <v>2818</v>
      </c>
      <c r="BJ19" s="3" t="s">
        <v>2819</v>
      </c>
      <c r="BK19" s="3" t="s">
        <v>73</v>
      </c>
      <c r="BL19" s="3" t="s">
        <v>204</v>
      </c>
      <c r="BP19" s="3" t="s">
        <v>2952</v>
      </c>
      <c r="BR19" s="3" t="s">
        <v>2953</v>
      </c>
      <c r="BT19" s="16" t="s">
        <v>2815</v>
      </c>
      <c r="BU19" s="3" t="s">
        <v>2825</v>
      </c>
      <c r="BV19" s="3" t="s">
        <v>2831</v>
      </c>
      <c r="BW19" s="3" t="s">
        <v>2982</v>
      </c>
    </row>
    <row r="20" spans="1:75" x14ac:dyDescent="0.3">
      <c r="A20" s="16">
        <v>46013</v>
      </c>
      <c r="B20" s="16">
        <v>46013</v>
      </c>
      <c r="C20" s="3" t="s">
        <v>945</v>
      </c>
      <c r="D20" s="3" t="s">
        <v>946</v>
      </c>
      <c r="E20" s="3" t="s">
        <v>73</v>
      </c>
      <c r="F20" s="3" t="s">
        <v>2802</v>
      </c>
      <c r="G20" s="3" t="s">
        <v>2830</v>
      </c>
      <c r="H20" s="3" t="s">
        <v>959</v>
      </c>
      <c r="I20" s="3" t="s">
        <v>2803</v>
      </c>
      <c r="J20" s="3" t="s">
        <v>2804</v>
      </c>
      <c r="K20" s="3" t="s">
        <v>101</v>
      </c>
      <c r="L20" s="3" t="s">
        <v>73</v>
      </c>
      <c r="M20" s="3" t="s">
        <v>73</v>
      </c>
      <c r="N20" s="3" t="s">
        <v>2827</v>
      </c>
      <c r="O20" s="3" t="s">
        <v>2828</v>
      </c>
      <c r="Q20" s="13">
        <v>1000</v>
      </c>
      <c r="R20" s="13">
        <v>723.55000000000007</v>
      </c>
      <c r="S20" s="13">
        <v>0</v>
      </c>
      <c r="T20" s="13">
        <v>218.45000000000002</v>
      </c>
      <c r="U20" s="13">
        <v>58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3" t="s">
        <v>2802</v>
      </c>
      <c r="AG20" s="3" t="s">
        <v>67</v>
      </c>
      <c r="AH20" s="3" t="s">
        <v>2802</v>
      </c>
      <c r="AI20" s="3" t="s">
        <v>68</v>
      </c>
      <c r="AV20" s="3" t="s">
        <v>2817</v>
      </c>
      <c r="AW20" s="3" t="s">
        <v>2808</v>
      </c>
      <c r="AX20" s="3" t="s">
        <v>273</v>
      </c>
      <c r="AY20" s="3" t="s">
        <v>2809</v>
      </c>
      <c r="AZ20" s="3" t="s">
        <v>2810</v>
      </c>
      <c r="BA20" s="3" t="s">
        <v>2802</v>
      </c>
      <c r="BB20" s="3" t="s">
        <v>2811</v>
      </c>
      <c r="BC20" s="3" t="s">
        <v>2812</v>
      </c>
      <c r="BD20" s="3" t="s">
        <v>2813</v>
      </c>
      <c r="BF20" s="3" t="s">
        <v>173</v>
      </c>
      <c r="BG20" s="3" t="s">
        <v>174</v>
      </c>
      <c r="BH20" s="16">
        <v>46013</v>
      </c>
      <c r="BI20" s="3" t="s">
        <v>2818</v>
      </c>
      <c r="BJ20" s="3" t="s">
        <v>2819</v>
      </c>
      <c r="BK20" s="3" t="s">
        <v>73</v>
      </c>
      <c r="BL20" s="3" t="s">
        <v>204</v>
      </c>
      <c r="BP20" s="3" t="s">
        <v>2997</v>
      </c>
      <c r="BR20" s="3" t="s">
        <v>2998</v>
      </c>
      <c r="BT20" s="16" t="s">
        <v>2815</v>
      </c>
      <c r="BU20" s="3" t="s">
        <v>2820</v>
      </c>
      <c r="BV20" s="3" t="s">
        <v>75</v>
      </c>
      <c r="BW20" s="3" t="s">
        <v>2982</v>
      </c>
    </row>
    <row r="21" spans="1:75" x14ac:dyDescent="0.3">
      <c r="A21" s="16">
        <v>46013</v>
      </c>
      <c r="B21" s="16">
        <v>46013</v>
      </c>
      <c r="C21" s="3" t="s">
        <v>2371</v>
      </c>
      <c r="D21" s="3" t="s">
        <v>2372</v>
      </c>
      <c r="E21" s="3" t="s">
        <v>175</v>
      </c>
      <c r="F21" s="3" t="s">
        <v>2829</v>
      </c>
      <c r="G21" s="3" t="s">
        <v>3009</v>
      </c>
      <c r="H21" s="3" t="s">
        <v>2944</v>
      </c>
      <c r="I21" s="3" t="s">
        <v>2803</v>
      </c>
      <c r="J21" s="3" t="s">
        <v>2804</v>
      </c>
      <c r="K21" s="3" t="s">
        <v>101</v>
      </c>
      <c r="L21" s="3" t="s">
        <v>73</v>
      </c>
      <c r="M21" s="3" t="s">
        <v>73</v>
      </c>
      <c r="N21" s="3" t="s">
        <v>2827</v>
      </c>
      <c r="O21" s="3" t="s">
        <v>2828</v>
      </c>
      <c r="Q21" s="13">
        <v>1043</v>
      </c>
      <c r="R21" s="13">
        <v>702.27</v>
      </c>
      <c r="S21" s="13">
        <v>282.37</v>
      </c>
      <c r="T21" s="13">
        <v>0</v>
      </c>
      <c r="U21" s="13">
        <v>58.36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3" t="s">
        <v>2802</v>
      </c>
      <c r="AG21" s="3" t="s">
        <v>67</v>
      </c>
      <c r="AH21" s="3" t="s">
        <v>2807</v>
      </c>
      <c r="AI21" s="3" t="s">
        <v>104</v>
      </c>
      <c r="AV21" s="3" t="s">
        <v>2817</v>
      </c>
      <c r="AW21" s="3" t="s">
        <v>2808</v>
      </c>
      <c r="AX21" s="3" t="s">
        <v>648</v>
      </c>
      <c r="AY21" s="3" t="s">
        <v>2809</v>
      </c>
      <c r="AZ21" s="3" t="s">
        <v>2810</v>
      </c>
      <c r="BA21" s="3" t="s">
        <v>2802</v>
      </c>
      <c r="BB21" s="3" t="s">
        <v>2811</v>
      </c>
      <c r="BC21" s="3" t="s">
        <v>2812</v>
      </c>
      <c r="BD21" s="3" t="s">
        <v>2813</v>
      </c>
      <c r="BF21" s="3" t="s">
        <v>608</v>
      </c>
      <c r="BG21" s="3" t="s">
        <v>609</v>
      </c>
      <c r="BH21" s="16">
        <v>46014</v>
      </c>
      <c r="BI21" s="3" t="s">
        <v>2818</v>
      </c>
      <c r="BJ21" s="3" t="s">
        <v>2819</v>
      </c>
      <c r="BK21" s="3" t="s">
        <v>73</v>
      </c>
      <c r="BL21" s="3" t="s">
        <v>204</v>
      </c>
      <c r="BP21" s="3" t="s">
        <v>3010</v>
      </c>
      <c r="BR21" s="3" t="s">
        <v>3011</v>
      </c>
      <c r="BT21" s="16" t="s">
        <v>2815</v>
      </c>
      <c r="BU21" s="3" t="s">
        <v>2825</v>
      </c>
      <c r="BV21" s="3" t="s">
        <v>2831</v>
      </c>
      <c r="BW21" s="3" t="s">
        <v>3012</v>
      </c>
    </row>
    <row r="22" spans="1:75" x14ac:dyDescent="0.3">
      <c r="A22" s="16">
        <v>46013</v>
      </c>
      <c r="B22" s="16">
        <v>46013</v>
      </c>
      <c r="C22" s="3" t="s">
        <v>2046</v>
      </c>
      <c r="D22" s="3" t="s">
        <v>2047</v>
      </c>
      <c r="E22" s="3" t="s">
        <v>175</v>
      </c>
      <c r="F22" s="3" t="s">
        <v>2829</v>
      </c>
      <c r="G22" s="3" t="s">
        <v>1513</v>
      </c>
      <c r="H22" s="3" t="s">
        <v>2056</v>
      </c>
      <c r="I22" s="3" t="s">
        <v>2803</v>
      </c>
      <c r="J22" s="3" t="s">
        <v>2804</v>
      </c>
      <c r="K22" s="3" t="s">
        <v>101</v>
      </c>
      <c r="L22" s="3" t="s">
        <v>73</v>
      </c>
      <c r="M22" s="3" t="s">
        <v>73</v>
      </c>
      <c r="N22" s="3" t="s">
        <v>2827</v>
      </c>
      <c r="O22" s="3" t="s">
        <v>2828</v>
      </c>
      <c r="Q22" s="13">
        <v>1289</v>
      </c>
      <c r="R22" s="13">
        <v>877.84</v>
      </c>
      <c r="S22" s="13">
        <v>352.96</v>
      </c>
      <c r="T22" s="13">
        <v>0</v>
      </c>
      <c r="U22" s="13">
        <v>58.2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3" t="s">
        <v>2802</v>
      </c>
      <c r="AG22" s="3" t="s">
        <v>67</v>
      </c>
      <c r="AH22" s="3" t="s">
        <v>2816</v>
      </c>
      <c r="AI22" s="3" t="s">
        <v>189</v>
      </c>
      <c r="AV22" s="3" t="s">
        <v>2817</v>
      </c>
      <c r="AW22" s="3" t="s">
        <v>2808</v>
      </c>
      <c r="AX22" s="3" t="s">
        <v>189</v>
      </c>
      <c r="AY22" s="3" t="s">
        <v>2809</v>
      </c>
      <c r="AZ22" s="3" t="s">
        <v>2810</v>
      </c>
      <c r="BA22" s="3" t="s">
        <v>2802</v>
      </c>
      <c r="BB22" s="3" t="s">
        <v>2811</v>
      </c>
      <c r="BC22" s="3" t="s">
        <v>2812</v>
      </c>
      <c r="BD22" s="3" t="s">
        <v>2813</v>
      </c>
      <c r="BF22" s="3" t="s">
        <v>608</v>
      </c>
      <c r="BG22" s="3" t="s">
        <v>609</v>
      </c>
      <c r="BH22" s="16">
        <v>46014</v>
      </c>
      <c r="BI22" s="3" t="s">
        <v>2818</v>
      </c>
      <c r="BJ22" s="3" t="s">
        <v>2819</v>
      </c>
      <c r="BK22" s="3" t="s">
        <v>73</v>
      </c>
      <c r="BL22" s="3" t="s">
        <v>204</v>
      </c>
      <c r="BP22" s="3" t="s">
        <v>2046</v>
      </c>
      <c r="BR22" s="3" t="s">
        <v>3013</v>
      </c>
      <c r="BT22" s="16" t="s">
        <v>2815</v>
      </c>
      <c r="BU22" s="3" t="s">
        <v>2825</v>
      </c>
      <c r="BV22" s="3" t="s">
        <v>2831</v>
      </c>
      <c r="BW22" s="3" t="s">
        <v>3012</v>
      </c>
    </row>
    <row r="23" spans="1:75" x14ac:dyDescent="0.3">
      <c r="A23" s="16">
        <v>46013</v>
      </c>
      <c r="B23" s="16">
        <v>46013</v>
      </c>
      <c r="C23" s="3" t="s">
        <v>2458</v>
      </c>
      <c r="D23" s="3" t="s">
        <v>2459</v>
      </c>
      <c r="E23" s="3" t="s">
        <v>73</v>
      </c>
      <c r="F23" s="3" t="s">
        <v>2802</v>
      </c>
      <c r="G23" s="3" t="s">
        <v>2830</v>
      </c>
      <c r="H23" s="3" t="s">
        <v>2470</v>
      </c>
      <c r="I23" s="3" t="s">
        <v>2803</v>
      </c>
      <c r="J23" s="3" t="s">
        <v>2804</v>
      </c>
      <c r="K23" s="3" t="s">
        <v>101</v>
      </c>
      <c r="L23" s="3" t="s">
        <v>73</v>
      </c>
      <c r="M23" s="3" t="s">
        <v>73</v>
      </c>
      <c r="N23" s="3" t="s">
        <v>2827</v>
      </c>
      <c r="O23" s="3" t="s">
        <v>2828</v>
      </c>
      <c r="Q23" s="13">
        <v>1323</v>
      </c>
      <c r="R23" s="13">
        <v>877.84</v>
      </c>
      <c r="S23" s="13">
        <v>386.58</v>
      </c>
      <c r="T23" s="13">
        <v>0</v>
      </c>
      <c r="U23" s="13">
        <v>58.58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3" t="s">
        <v>2802</v>
      </c>
      <c r="AG23" s="3" t="s">
        <v>67</v>
      </c>
      <c r="AH23" s="3" t="s">
        <v>2807</v>
      </c>
      <c r="AI23" s="3" t="s">
        <v>104</v>
      </c>
      <c r="AV23" s="3" t="s">
        <v>2817</v>
      </c>
      <c r="AW23" s="3" t="s">
        <v>2808</v>
      </c>
      <c r="AX23" s="3" t="s">
        <v>648</v>
      </c>
      <c r="AY23" s="3" t="s">
        <v>2809</v>
      </c>
      <c r="AZ23" s="3" t="s">
        <v>2810</v>
      </c>
      <c r="BA23" s="3" t="s">
        <v>2802</v>
      </c>
      <c r="BB23" s="3" t="s">
        <v>2811</v>
      </c>
      <c r="BC23" s="3" t="s">
        <v>2812</v>
      </c>
      <c r="BD23" s="3" t="s">
        <v>2813</v>
      </c>
      <c r="BF23" s="3" t="s">
        <v>608</v>
      </c>
      <c r="BG23" s="3" t="s">
        <v>609</v>
      </c>
      <c r="BH23" s="16">
        <v>46014</v>
      </c>
      <c r="BI23" s="3" t="s">
        <v>2818</v>
      </c>
      <c r="BJ23" s="3" t="s">
        <v>2819</v>
      </c>
      <c r="BK23" s="3" t="s">
        <v>73</v>
      </c>
      <c r="BL23" s="3" t="s">
        <v>204</v>
      </c>
      <c r="BP23" s="3" t="s">
        <v>3014</v>
      </c>
      <c r="BR23" s="3" t="s">
        <v>3015</v>
      </c>
      <c r="BT23" s="16" t="s">
        <v>2815</v>
      </c>
      <c r="BU23" s="3" t="s">
        <v>2820</v>
      </c>
      <c r="BV23" s="3" t="s">
        <v>75</v>
      </c>
      <c r="BW23" s="3" t="s">
        <v>3012</v>
      </c>
    </row>
    <row r="24" spans="1:75" x14ac:dyDescent="0.3">
      <c r="A24" s="16">
        <v>46013</v>
      </c>
      <c r="B24" s="16">
        <v>46013</v>
      </c>
      <c r="C24" s="3" t="s">
        <v>1602</v>
      </c>
      <c r="D24" s="3" t="s">
        <v>1603</v>
      </c>
      <c r="E24" s="3" t="s">
        <v>175</v>
      </c>
      <c r="F24" s="3" t="s">
        <v>2829</v>
      </c>
      <c r="G24" s="3" t="s">
        <v>2821</v>
      </c>
      <c r="H24" s="3" t="s">
        <v>1613</v>
      </c>
      <c r="I24" s="3" t="s">
        <v>2803</v>
      </c>
      <c r="J24" s="3" t="s">
        <v>2804</v>
      </c>
      <c r="K24" s="3" t="s">
        <v>101</v>
      </c>
      <c r="L24" s="3" t="s">
        <v>73</v>
      </c>
      <c r="M24" s="3" t="s">
        <v>73</v>
      </c>
      <c r="N24" s="3" t="s">
        <v>2827</v>
      </c>
      <c r="O24" s="3" t="s">
        <v>2828</v>
      </c>
      <c r="Q24" s="13">
        <v>1534.96</v>
      </c>
      <c r="R24" s="13">
        <v>1053.4100000000001</v>
      </c>
      <c r="S24" s="13">
        <v>423.56</v>
      </c>
      <c r="T24" s="13">
        <v>0</v>
      </c>
      <c r="U24" s="13">
        <v>57.99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3" t="s">
        <v>2802</v>
      </c>
      <c r="AG24" s="3" t="s">
        <v>67</v>
      </c>
      <c r="AH24" s="3" t="s">
        <v>2816</v>
      </c>
      <c r="AI24" s="3" t="s">
        <v>189</v>
      </c>
      <c r="AV24" s="3" t="s">
        <v>2817</v>
      </c>
      <c r="AW24" s="3" t="s">
        <v>2808</v>
      </c>
      <c r="AX24" s="3" t="s">
        <v>189</v>
      </c>
      <c r="AY24" s="3" t="s">
        <v>2809</v>
      </c>
      <c r="AZ24" s="3" t="s">
        <v>2810</v>
      </c>
      <c r="BA24" s="3" t="s">
        <v>2802</v>
      </c>
      <c r="BB24" s="3" t="s">
        <v>2811</v>
      </c>
      <c r="BC24" s="3" t="s">
        <v>2812</v>
      </c>
      <c r="BD24" s="3" t="s">
        <v>2813</v>
      </c>
      <c r="BF24" s="3" t="s">
        <v>192</v>
      </c>
      <c r="BG24" s="3" t="s">
        <v>193</v>
      </c>
      <c r="BH24" s="16">
        <v>46014</v>
      </c>
      <c r="BI24" s="3" t="s">
        <v>2818</v>
      </c>
      <c r="BJ24" s="3" t="s">
        <v>2819</v>
      </c>
      <c r="BK24" s="3" t="s">
        <v>73</v>
      </c>
      <c r="BL24" s="3" t="s">
        <v>204</v>
      </c>
      <c r="BP24" s="3" t="s">
        <v>3016</v>
      </c>
      <c r="BR24" s="3" t="s">
        <v>3017</v>
      </c>
      <c r="BT24" s="16" t="s">
        <v>2815</v>
      </c>
      <c r="BU24" s="3" t="s">
        <v>2825</v>
      </c>
      <c r="BV24" s="3" t="s">
        <v>2831</v>
      </c>
      <c r="BW24" s="3" t="s">
        <v>3012</v>
      </c>
    </row>
    <row r="25" spans="1:75" x14ac:dyDescent="0.3">
      <c r="A25" s="16">
        <v>46013</v>
      </c>
      <c r="B25" s="16">
        <v>46013</v>
      </c>
      <c r="C25" s="3" t="s">
        <v>2087</v>
      </c>
      <c r="D25" s="3" t="s">
        <v>2088</v>
      </c>
      <c r="E25" s="3" t="s">
        <v>73</v>
      </c>
      <c r="F25" s="3" t="s">
        <v>2802</v>
      </c>
      <c r="G25" s="3" t="s">
        <v>2821</v>
      </c>
      <c r="H25" s="3" t="s">
        <v>2100</v>
      </c>
      <c r="I25" s="3" t="s">
        <v>2803</v>
      </c>
      <c r="J25" s="3" t="s">
        <v>2804</v>
      </c>
      <c r="K25" s="3" t="s">
        <v>101</v>
      </c>
      <c r="L25" s="3" t="s">
        <v>73</v>
      </c>
      <c r="M25" s="3" t="s">
        <v>73</v>
      </c>
      <c r="N25" s="3" t="s">
        <v>2827</v>
      </c>
      <c r="O25" s="3" t="s">
        <v>2828</v>
      </c>
      <c r="Q25" s="13">
        <v>2081</v>
      </c>
      <c r="R25" s="13">
        <v>1404.49</v>
      </c>
      <c r="S25" s="13">
        <v>618.52</v>
      </c>
      <c r="T25" s="13">
        <v>0</v>
      </c>
      <c r="U25" s="13">
        <v>57.99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3" t="s">
        <v>2802</v>
      </c>
      <c r="AG25" s="3" t="s">
        <v>67</v>
      </c>
      <c r="AH25" s="3" t="s">
        <v>2816</v>
      </c>
      <c r="AI25" s="3" t="s">
        <v>189</v>
      </c>
      <c r="AV25" s="3" t="s">
        <v>2817</v>
      </c>
      <c r="AW25" s="3" t="s">
        <v>2808</v>
      </c>
      <c r="AX25" s="3" t="s">
        <v>260</v>
      </c>
      <c r="AY25" s="3" t="s">
        <v>2809</v>
      </c>
      <c r="AZ25" s="3" t="s">
        <v>2810</v>
      </c>
      <c r="BA25" s="3" t="s">
        <v>2802</v>
      </c>
      <c r="BB25" s="3" t="s">
        <v>2811</v>
      </c>
      <c r="BC25" s="3" t="s">
        <v>2812</v>
      </c>
      <c r="BD25" s="3" t="s">
        <v>2813</v>
      </c>
      <c r="BF25" s="3" t="s">
        <v>608</v>
      </c>
      <c r="BG25" s="3" t="s">
        <v>609</v>
      </c>
      <c r="BH25" s="16">
        <v>46013</v>
      </c>
      <c r="BI25" s="3" t="s">
        <v>2818</v>
      </c>
      <c r="BJ25" s="3" t="s">
        <v>2819</v>
      </c>
      <c r="BK25" s="3" t="s">
        <v>73</v>
      </c>
      <c r="BL25" s="3" t="s">
        <v>204</v>
      </c>
      <c r="BP25" s="3" t="s">
        <v>2999</v>
      </c>
      <c r="BR25" s="3" t="s">
        <v>3000</v>
      </c>
      <c r="BT25" s="16" t="s">
        <v>2815</v>
      </c>
      <c r="BU25" s="3" t="s">
        <v>2820</v>
      </c>
      <c r="BV25" s="3" t="s">
        <v>75</v>
      </c>
      <c r="BW25" s="3" t="s">
        <v>2982</v>
      </c>
    </row>
    <row r="26" spans="1:75" x14ac:dyDescent="0.3">
      <c r="A26" s="16">
        <v>46013</v>
      </c>
      <c r="B26" s="16">
        <v>46013</v>
      </c>
      <c r="C26" s="3" t="s">
        <v>1909</v>
      </c>
      <c r="D26" s="3" t="s">
        <v>1910</v>
      </c>
      <c r="E26" s="3" t="s">
        <v>73</v>
      </c>
      <c r="F26" s="3" t="s">
        <v>2802</v>
      </c>
      <c r="G26" s="3" t="s">
        <v>2830</v>
      </c>
      <c r="H26" s="3" t="s">
        <v>1921</v>
      </c>
      <c r="I26" s="3" t="s">
        <v>2803</v>
      </c>
      <c r="J26" s="3" t="s">
        <v>2804</v>
      </c>
      <c r="K26" s="3" t="s">
        <v>101</v>
      </c>
      <c r="L26" s="3" t="s">
        <v>73</v>
      </c>
      <c r="M26" s="3" t="s">
        <v>175</v>
      </c>
      <c r="N26" s="3" t="s">
        <v>2805</v>
      </c>
      <c r="O26" s="3" t="s">
        <v>2806</v>
      </c>
      <c r="Q26" s="13">
        <v>2610</v>
      </c>
      <c r="R26" s="13">
        <v>1053.26</v>
      </c>
      <c r="S26" s="13">
        <v>920.22</v>
      </c>
      <c r="T26" s="13">
        <v>580</v>
      </c>
      <c r="U26" s="13">
        <v>56.52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3" t="s">
        <v>2802</v>
      </c>
      <c r="AG26" s="3" t="s">
        <v>67</v>
      </c>
      <c r="AH26" s="3" t="s">
        <v>2816</v>
      </c>
      <c r="AI26" s="3" t="s">
        <v>189</v>
      </c>
      <c r="AV26" s="3" t="s">
        <v>2817</v>
      </c>
      <c r="AW26" s="3" t="s">
        <v>2808</v>
      </c>
      <c r="AX26" s="3" t="s">
        <v>260</v>
      </c>
      <c r="AY26" s="3" t="s">
        <v>2809</v>
      </c>
      <c r="AZ26" s="3" t="s">
        <v>2810</v>
      </c>
      <c r="BA26" s="3" t="s">
        <v>2802</v>
      </c>
      <c r="BB26" s="3" t="s">
        <v>2811</v>
      </c>
      <c r="BC26" s="3" t="s">
        <v>2812</v>
      </c>
      <c r="BD26" s="3" t="s">
        <v>2813</v>
      </c>
      <c r="BF26" s="3" t="s">
        <v>608</v>
      </c>
      <c r="BG26" s="3" t="s">
        <v>609</v>
      </c>
      <c r="BH26" s="16">
        <v>46013</v>
      </c>
      <c r="BI26" s="3" t="s">
        <v>2818</v>
      </c>
      <c r="BJ26" s="3" t="s">
        <v>2819</v>
      </c>
      <c r="BK26" s="3" t="s">
        <v>73</v>
      </c>
      <c r="BL26" s="3" t="s">
        <v>204</v>
      </c>
      <c r="BP26" s="3" t="s">
        <v>3001</v>
      </c>
      <c r="BR26" s="3" t="s">
        <v>3002</v>
      </c>
      <c r="BT26" s="16" t="s">
        <v>2815</v>
      </c>
      <c r="BU26" s="3" t="s">
        <v>2825</v>
      </c>
      <c r="BV26" s="3" t="s">
        <v>75</v>
      </c>
      <c r="BW26" s="3" t="s">
        <v>2988</v>
      </c>
    </row>
    <row r="27" spans="1:75" x14ac:dyDescent="0.3">
      <c r="A27" s="16">
        <v>46013</v>
      </c>
      <c r="B27" s="16">
        <v>46013</v>
      </c>
      <c r="C27" s="3" t="s">
        <v>1250</v>
      </c>
      <c r="D27" s="3" t="s">
        <v>1251</v>
      </c>
      <c r="E27" s="3" t="s">
        <v>73</v>
      </c>
      <c r="F27" s="3" t="s">
        <v>2802</v>
      </c>
      <c r="G27" s="3" t="s">
        <v>1513</v>
      </c>
      <c r="H27" s="3" t="s">
        <v>1261</v>
      </c>
      <c r="I27" s="3" t="s">
        <v>2803</v>
      </c>
      <c r="J27" s="3" t="s">
        <v>2804</v>
      </c>
      <c r="K27" s="3" t="s">
        <v>101</v>
      </c>
      <c r="L27" s="3" t="s">
        <v>73</v>
      </c>
      <c r="M27" s="3" t="s">
        <v>73</v>
      </c>
      <c r="N27" s="3" t="s">
        <v>2827</v>
      </c>
      <c r="O27" s="3" t="s">
        <v>2828</v>
      </c>
      <c r="Q27" s="13">
        <v>3000</v>
      </c>
      <c r="R27" s="13">
        <v>877.84</v>
      </c>
      <c r="S27" s="13">
        <v>1426.7</v>
      </c>
      <c r="T27" s="13">
        <v>637.46</v>
      </c>
      <c r="U27" s="13">
        <v>58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3" t="s">
        <v>2802</v>
      </c>
      <c r="AG27" s="3" t="s">
        <v>67</v>
      </c>
      <c r="AH27" s="3" t="s">
        <v>2816</v>
      </c>
      <c r="AI27" s="3" t="s">
        <v>189</v>
      </c>
      <c r="AV27" s="3" t="s">
        <v>2817</v>
      </c>
      <c r="AW27" s="3" t="s">
        <v>2808</v>
      </c>
      <c r="AX27" s="3" t="s">
        <v>289</v>
      </c>
      <c r="BC27" s="3" t="s">
        <v>2812</v>
      </c>
      <c r="BD27" s="3" t="s">
        <v>2813</v>
      </c>
      <c r="BF27" s="3" t="s">
        <v>192</v>
      </c>
      <c r="BG27" s="3" t="s">
        <v>193</v>
      </c>
      <c r="BH27" s="16">
        <v>46013</v>
      </c>
      <c r="BI27" s="3" t="s">
        <v>2818</v>
      </c>
      <c r="BJ27" s="3" t="s">
        <v>2819</v>
      </c>
      <c r="BK27" s="3" t="s">
        <v>73</v>
      </c>
      <c r="BL27" s="3" t="s">
        <v>204</v>
      </c>
      <c r="BP27" s="3" t="s">
        <v>3003</v>
      </c>
      <c r="BR27" s="3" t="s">
        <v>3004</v>
      </c>
      <c r="BT27" s="16" t="s">
        <v>2815</v>
      </c>
      <c r="BU27" s="3" t="s">
        <v>2825</v>
      </c>
      <c r="BV27" s="3" t="s">
        <v>75</v>
      </c>
      <c r="BW27" s="3" t="s">
        <v>2982</v>
      </c>
    </row>
    <row r="28" spans="1:75" x14ac:dyDescent="0.3">
      <c r="A28" s="16">
        <v>46013</v>
      </c>
      <c r="B28" s="16">
        <v>46013</v>
      </c>
      <c r="C28" s="3" t="s">
        <v>1222</v>
      </c>
      <c r="D28" s="3" t="s">
        <v>1223</v>
      </c>
      <c r="E28" s="3" t="s">
        <v>73</v>
      </c>
      <c r="F28" s="3" t="s">
        <v>2802</v>
      </c>
      <c r="G28" s="3" t="s">
        <v>2983</v>
      </c>
      <c r="H28" s="3" t="s">
        <v>1237</v>
      </c>
      <c r="I28" s="3" t="s">
        <v>2803</v>
      </c>
      <c r="J28" s="3" t="s">
        <v>2804</v>
      </c>
      <c r="K28" s="3" t="s">
        <v>101</v>
      </c>
      <c r="L28" s="3" t="s">
        <v>73</v>
      </c>
      <c r="M28" s="3" t="s">
        <v>73</v>
      </c>
      <c r="N28" s="3" t="s">
        <v>2827</v>
      </c>
      <c r="O28" s="3" t="s">
        <v>2828</v>
      </c>
      <c r="Q28" s="13">
        <v>3020</v>
      </c>
      <c r="R28" s="13">
        <v>2489.2800000000002</v>
      </c>
      <c r="S28" s="13">
        <v>472.72</v>
      </c>
      <c r="T28" s="13">
        <v>0</v>
      </c>
      <c r="U28" s="13">
        <v>58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3" t="s">
        <v>2802</v>
      </c>
      <c r="AG28" s="3" t="s">
        <v>67</v>
      </c>
      <c r="AH28" s="3" t="s">
        <v>2802</v>
      </c>
      <c r="AI28" s="3" t="s">
        <v>68</v>
      </c>
      <c r="AV28" s="3" t="s">
        <v>2817</v>
      </c>
      <c r="AW28" s="3" t="s">
        <v>2808</v>
      </c>
      <c r="AX28" s="3" t="s">
        <v>82</v>
      </c>
      <c r="BC28" s="3" t="s">
        <v>2812</v>
      </c>
      <c r="BD28" s="3" t="s">
        <v>2813</v>
      </c>
      <c r="BF28" s="3" t="s">
        <v>173</v>
      </c>
      <c r="BG28" s="3" t="s">
        <v>174</v>
      </c>
      <c r="BH28" s="16">
        <v>46013</v>
      </c>
      <c r="BI28" s="3" t="s">
        <v>73</v>
      </c>
      <c r="BJ28" s="3" t="s">
        <v>2833</v>
      </c>
      <c r="BK28" s="3" t="s">
        <v>2814</v>
      </c>
      <c r="BL28" s="3" t="s">
        <v>1130</v>
      </c>
      <c r="BP28" s="3" t="s">
        <v>3005</v>
      </c>
      <c r="BR28" s="3" t="s">
        <v>3006</v>
      </c>
      <c r="BS28" s="3" t="s">
        <v>2832</v>
      </c>
      <c r="BT28" s="16" t="s">
        <v>2815</v>
      </c>
      <c r="BU28" s="3" t="s">
        <v>2825</v>
      </c>
      <c r="BV28" s="3" t="s">
        <v>75</v>
      </c>
      <c r="BW28" s="3" t="s">
        <v>2982</v>
      </c>
    </row>
    <row r="29" spans="1:75" x14ac:dyDescent="0.3">
      <c r="A29" s="16">
        <v>46013</v>
      </c>
      <c r="B29" s="16">
        <v>46013</v>
      </c>
      <c r="C29" s="3" t="s">
        <v>2675</v>
      </c>
      <c r="D29" s="3" t="s">
        <v>2676</v>
      </c>
      <c r="E29" s="3" t="s">
        <v>175</v>
      </c>
      <c r="F29" s="3" t="s">
        <v>2829</v>
      </c>
      <c r="G29" s="3" t="s">
        <v>2832</v>
      </c>
      <c r="H29" s="3" t="s">
        <v>2947</v>
      </c>
      <c r="I29" s="3" t="s">
        <v>2803</v>
      </c>
      <c r="J29" s="3" t="s">
        <v>2804</v>
      </c>
      <c r="K29" s="3" t="s">
        <v>101</v>
      </c>
      <c r="L29" s="3" t="s">
        <v>73</v>
      </c>
      <c r="M29" s="3" t="s">
        <v>73</v>
      </c>
      <c r="N29" s="3" t="s">
        <v>2827</v>
      </c>
      <c r="O29" s="3" t="s">
        <v>2828</v>
      </c>
      <c r="Q29" s="13">
        <v>10123</v>
      </c>
      <c r="R29" s="13">
        <v>7022.72</v>
      </c>
      <c r="S29" s="13">
        <v>3042.19</v>
      </c>
      <c r="T29" s="13">
        <v>0</v>
      </c>
      <c r="U29" s="13">
        <v>58.09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3" t="s">
        <v>2802</v>
      </c>
      <c r="AG29" s="3" t="s">
        <v>67</v>
      </c>
      <c r="AH29" s="3" t="s">
        <v>2822</v>
      </c>
      <c r="AI29" s="3" t="s">
        <v>536</v>
      </c>
      <c r="AV29" s="3" t="s">
        <v>2817</v>
      </c>
      <c r="AW29" s="3" t="s">
        <v>2808</v>
      </c>
      <c r="AX29" s="3" t="s">
        <v>1191</v>
      </c>
      <c r="AY29" s="3" t="s">
        <v>2809</v>
      </c>
      <c r="AZ29" s="3" t="s">
        <v>2810</v>
      </c>
      <c r="BA29" s="3" t="s">
        <v>2802</v>
      </c>
      <c r="BB29" s="3" t="s">
        <v>2811</v>
      </c>
      <c r="BC29" s="3" t="s">
        <v>2812</v>
      </c>
      <c r="BD29" s="3" t="s">
        <v>2813</v>
      </c>
      <c r="BF29" s="3" t="s">
        <v>608</v>
      </c>
      <c r="BG29" s="3" t="s">
        <v>609</v>
      </c>
      <c r="BH29" s="16">
        <v>46013</v>
      </c>
      <c r="BI29" s="3" t="s">
        <v>2818</v>
      </c>
      <c r="BJ29" s="3" t="s">
        <v>2819</v>
      </c>
      <c r="BK29" s="3" t="s">
        <v>73</v>
      </c>
      <c r="BL29" s="3" t="s">
        <v>204</v>
      </c>
      <c r="BP29" s="3" t="s">
        <v>3007</v>
      </c>
      <c r="BR29" s="3" t="s">
        <v>3008</v>
      </c>
      <c r="BT29" s="16" t="s">
        <v>2815</v>
      </c>
      <c r="BU29" s="3" t="s">
        <v>2820</v>
      </c>
      <c r="BV29" s="3" t="s">
        <v>75</v>
      </c>
      <c r="BW29" s="3" t="s">
        <v>2982</v>
      </c>
    </row>
    <row r="30" spans="1:75" x14ac:dyDescent="0.3">
      <c r="A30" s="16">
        <v>46014</v>
      </c>
      <c r="B30" s="16">
        <v>46014</v>
      </c>
      <c r="C30" s="3" t="s">
        <v>1262</v>
      </c>
      <c r="D30" s="3" t="s">
        <v>1263</v>
      </c>
      <c r="E30" s="3" t="s">
        <v>73</v>
      </c>
      <c r="F30" s="3" t="s">
        <v>2802</v>
      </c>
      <c r="G30" s="3" t="s">
        <v>2834</v>
      </c>
      <c r="H30" s="3" t="s">
        <v>1275</v>
      </c>
      <c r="I30" s="3" t="s">
        <v>2803</v>
      </c>
      <c r="J30" s="3" t="s">
        <v>2804</v>
      </c>
      <c r="K30" s="3" t="s">
        <v>101</v>
      </c>
      <c r="L30" s="3" t="s">
        <v>73</v>
      </c>
      <c r="M30" s="3" t="s">
        <v>73</v>
      </c>
      <c r="N30" s="3" t="s">
        <v>2827</v>
      </c>
      <c r="O30" s="3" t="s">
        <v>2828</v>
      </c>
      <c r="Q30" s="13">
        <v>282</v>
      </c>
      <c r="R30" s="13">
        <v>281.72000000000003</v>
      </c>
      <c r="S30" s="13">
        <v>0.28000000000000003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3" t="s">
        <v>2802</v>
      </c>
      <c r="AG30" s="3" t="s">
        <v>67</v>
      </c>
      <c r="AH30" s="3" t="s">
        <v>2802</v>
      </c>
      <c r="AI30" s="3" t="s">
        <v>68</v>
      </c>
      <c r="AV30" s="3" t="s">
        <v>2817</v>
      </c>
      <c r="AW30" s="3" t="s">
        <v>2808</v>
      </c>
      <c r="AX30" s="3" t="s">
        <v>82</v>
      </c>
      <c r="BC30" s="3" t="s">
        <v>2812</v>
      </c>
      <c r="BD30" s="3" t="s">
        <v>2813</v>
      </c>
      <c r="BF30" s="3" t="s">
        <v>173</v>
      </c>
      <c r="BG30" s="3" t="s">
        <v>174</v>
      </c>
      <c r="BH30" s="16">
        <v>46020</v>
      </c>
      <c r="BI30" s="3" t="s">
        <v>2818</v>
      </c>
      <c r="BJ30" s="3" t="s">
        <v>2819</v>
      </c>
      <c r="BK30" s="3" t="s">
        <v>73</v>
      </c>
      <c r="BL30" s="3" t="s">
        <v>204</v>
      </c>
      <c r="BP30" s="3" t="s">
        <v>3025</v>
      </c>
      <c r="BR30" s="3" t="s">
        <v>3026</v>
      </c>
      <c r="BT30" s="16" t="s">
        <v>2815</v>
      </c>
      <c r="BU30" s="3" t="s">
        <v>2825</v>
      </c>
      <c r="BV30" s="3" t="s">
        <v>75</v>
      </c>
      <c r="BW30" s="3" t="s">
        <v>3027</v>
      </c>
    </row>
    <row r="31" spans="1:75" x14ac:dyDescent="0.3">
      <c r="A31" s="16">
        <v>46014</v>
      </c>
      <c r="B31" s="16">
        <v>46014</v>
      </c>
      <c r="C31" s="3" t="s">
        <v>837</v>
      </c>
      <c r="D31" s="3" t="s">
        <v>838</v>
      </c>
      <c r="E31" s="3" t="s">
        <v>73</v>
      </c>
      <c r="F31" s="3" t="s">
        <v>2802</v>
      </c>
      <c r="G31" s="3" t="s">
        <v>2834</v>
      </c>
      <c r="H31" s="3" t="s">
        <v>849</v>
      </c>
      <c r="I31" s="3" t="s">
        <v>2803</v>
      </c>
      <c r="J31" s="3" t="s">
        <v>2804</v>
      </c>
      <c r="K31" s="3" t="s">
        <v>101</v>
      </c>
      <c r="L31" s="3" t="s">
        <v>73</v>
      </c>
      <c r="M31" s="3" t="s">
        <v>73</v>
      </c>
      <c r="N31" s="3" t="s">
        <v>2827</v>
      </c>
      <c r="O31" s="3" t="s">
        <v>2828</v>
      </c>
      <c r="Q31" s="13">
        <v>1000</v>
      </c>
      <c r="R31" s="13">
        <v>635.22</v>
      </c>
      <c r="S31" s="13">
        <v>0</v>
      </c>
      <c r="T31" s="13">
        <v>306.78000000000003</v>
      </c>
      <c r="U31" s="13">
        <v>58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3" t="s">
        <v>2802</v>
      </c>
      <c r="AG31" s="3" t="s">
        <v>67</v>
      </c>
      <c r="AH31" s="3" t="s">
        <v>2807</v>
      </c>
      <c r="AI31" s="3" t="s">
        <v>104</v>
      </c>
      <c r="AV31" s="3" t="s">
        <v>2817</v>
      </c>
      <c r="AW31" s="3" t="s">
        <v>2808</v>
      </c>
      <c r="AX31" s="3" t="s">
        <v>848</v>
      </c>
      <c r="BC31" s="3" t="s">
        <v>2812</v>
      </c>
      <c r="BD31" s="3" t="s">
        <v>2813</v>
      </c>
      <c r="BF31" s="3" t="s">
        <v>424</v>
      </c>
      <c r="BG31" s="3" t="s">
        <v>425</v>
      </c>
      <c r="BH31" s="16">
        <v>46014</v>
      </c>
      <c r="BI31" s="3" t="s">
        <v>2818</v>
      </c>
      <c r="BJ31" s="3" t="s">
        <v>2819</v>
      </c>
      <c r="BK31" s="3" t="s">
        <v>73</v>
      </c>
      <c r="BL31" s="3" t="s">
        <v>204</v>
      </c>
      <c r="BP31" s="3" t="s">
        <v>2991</v>
      </c>
      <c r="BR31" s="3" t="s">
        <v>2992</v>
      </c>
      <c r="BT31" s="16" t="s">
        <v>2815</v>
      </c>
      <c r="BU31" s="3" t="s">
        <v>2825</v>
      </c>
      <c r="BV31" s="3" t="s">
        <v>75</v>
      </c>
      <c r="BW31" s="3" t="s">
        <v>3012</v>
      </c>
    </row>
    <row r="32" spans="1:75" x14ac:dyDescent="0.3">
      <c r="A32" s="16">
        <v>46014</v>
      </c>
      <c r="B32" s="16">
        <v>46014</v>
      </c>
      <c r="C32" s="3" t="s">
        <v>1870</v>
      </c>
      <c r="D32" s="3" t="s">
        <v>1871</v>
      </c>
      <c r="E32" s="3" t="s">
        <v>73</v>
      </c>
      <c r="F32" s="3" t="s">
        <v>2802</v>
      </c>
      <c r="G32" s="3" t="s">
        <v>2830</v>
      </c>
      <c r="H32" s="3" t="s">
        <v>1881</v>
      </c>
      <c r="I32" s="3" t="s">
        <v>2803</v>
      </c>
      <c r="J32" s="3" t="s">
        <v>2804</v>
      </c>
      <c r="K32" s="3" t="s">
        <v>101</v>
      </c>
      <c r="L32" s="3" t="s">
        <v>73</v>
      </c>
      <c r="M32" s="3" t="s">
        <v>175</v>
      </c>
      <c r="N32" s="3" t="s">
        <v>2805</v>
      </c>
      <c r="O32" s="3" t="s">
        <v>2806</v>
      </c>
      <c r="Q32" s="13">
        <v>1702.69</v>
      </c>
      <c r="R32" s="13">
        <v>877.84</v>
      </c>
      <c r="S32" s="13">
        <v>766.85</v>
      </c>
      <c r="T32" s="13">
        <v>0</v>
      </c>
      <c r="U32" s="13">
        <v>58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3" t="s">
        <v>2802</v>
      </c>
      <c r="AG32" s="3" t="s">
        <v>67</v>
      </c>
      <c r="AH32" s="3" t="s">
        <v>2816</v>
      </c>
      <c r="AI32" s="3" t="s">
        <v>189</v>
      </c>
      <c r="AV32" s="3" t="s">
        <v>2817</v>
      </c>
      <c r="AW32" s="3" t="s">
        <v>2808</v>
      </c>
      <c r="AX32" s="3" t="s">
        <v>189</v>
      </c>
      <c r="AY32" s="3" t="s">
        <v>2809</v>
      </c>
      <c r="AZ32" s="3" t="s">
        <v>2810</v>
      </c>
      <c r="BA32" s="3" t="s">
        <v>2802</v>
      </c>
      <c r="BB32" s="3" t="s">
        <v>2811</v>
      </c>
      <c r="BC32" s="3" t="s">
        <v>2812</v>
      </c>
      <c r="BD32" s="3" t="s">
        <v>2813</v>
      </c>
      <c r="BF32" s="3" t="s">
        <v>608</v>
      </c>
      <c r="BG32" s="3" t="s">
        <v>609</v>
      </c>
      <c r="BH32" s="16">
        <v>46017</v>
      </c>
      <c r="BI32" s="3" t="s">
        <v>2818</v>
      </c>
      <c r="BJ32" s="3" t="s">
        <v>2819</v>
      </c>
      <c r="BK32" s="3" t="s">
        <v>73</v>
      </c>
      <c r="BL32" s="3" t="s">
        <v>204</v>
      </c>
      <c r="BP32" s="3" t="s">
        <v>3028</v>
      </c>
      <c r="BR32" s="3" t="s">
        <v>3029</v>
      </c>
      <c r="BT32" s="16" t="s">
        <v>2815</v>
      </c>
      <c r="BU32" s="3" t="s">
        <v>2825</v>
      </c>
      <c r="BV32" s="3" t="s">
        <v>75</v>
      </c>
      <c r="BW32" s="3" t="s">
        <v>3027</v>
      </c>
    </row>
    <row r="33" spans="1:75" x14ac:dyDescent="0.3">
      <c r="A33" s="16">
        <v>46014</v>
      </c>
      <c r="B33" s="16">
        <v>46014</v>
      </c>
      <c r="C33" s="3" t="s">
        <v>2034</v>
      </c>
      <c r="D33" s="3" t="s">
        <v>2035</v>
      </c>
      <c r="E33" s="3" t="s">
        <v>73</v>
      </c>
      <c r="F33" s="3" t="s">
        <v>2802</v>
      </c>
      <c r="G33" s="3" t="s">
        <v>1513</v>
      </c>
      <c r="H33" s="3" t="s">
        <v>2045</v>
      </c>
      <c r="I33" s="3" t="s">
        <v>2803</v>
      </c>
      <c r="J33" s="3" t="s">
        <v>2804</v>
      </c>
      <c r="K33" s="3" t="s">
        <v>101</v>
      </c>
      <c r="L33" s="3" t="s">
        <v>73</v>
      </c>
      <c r="M33" s="3" t="s">
        <v>73</v>
      </c>
      <c r="N33" s="3" t="s">
        <v>2827</v>
      </c>
      <c r="O33" s="3" t="s">
        <v>2828</v>
      </c>
      <c r="Q33" s="13">
        <v>1702.69</v>
      </c>
      <c r="R33" s="13">
        <v>877.84</v>
      </c>
      <c r="S33" s="13">
        <v>766.85</v>
      </c>
      <c r="T33" s="13">
        <v>0</v>
      </c>
      <c r="U33" s="13">
        <v>58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3" t="s">
        <v>2802</v>
      </c>
      <c r="AG33" s="3" t="s">
        <v>67</v>
      </c>
      <c r="AH33" s="3" t="s">
        <v>2802</v>
      </c>
      <c r="AI33" s="3" t="s">
        <v>68</v>
      </c>
      <c r="AV33" s="3" t="s">
        <v>2817</v>
      </c>
      <c r="AW33" s="3" t="s">
        <v>2808</v>
      </c>
      <c r="AX33" s="3" t="s">
        <v>82</v>
      </c>
      <c r="BC33" s="3" t="s">
        <v>2812</v>
      </c>
      <c r="BD33" s="3" t="s">
        <v>2813</v>
      </c>
      <c r="BF33" s="3" t="s">
        <v>608</v>
      </c>
      <c r="BG33" s="3" t="s">
        <v>609</v>
      </c>
      <c r="BH33" s="16">
        <v>46014</v>
      </c>
      <c r="BI33" s="3" t="s">
        <v>2818</v>
      </c>
      <c r="BJ33" s="3" t="s">
        <v>2819</v>
      </c>
      <c r="BK33" s="3" t="s">
        <v>73</v>
      </c>
      <c r="BL33" s="3" t="s">
        <v>204</v>
      </c>
      <c r="BP33" s="3" t="s">
        <v>3018</v>
      </c>
      <c r="BR33" s="3" t="s">
        <v>3019</v>
      </c>
      <c r="BT33" s="16" t="s">
        <v>2815</v>
      </c>
      <c r="BU33" s="3" t="s">
        <v>2825</v>
      </c>
      <c r="BV33" s="3" t="s">
        <v>75</v>
      </c>
      <c r="BW33" s="3" t="s">
        <v>3012</v>
      </c>
    </row>
    <row r="34" spans="1:75" x14ac:dyDescent="0.3">
      <c r="A34" s="16">
        <v>46014</v>
      </c>
      <c r="B34" s="16">
        <v>46014</v>
      </c>
      <c r="C34" s="3" t="s">
        <v>1194</v>
      </c>
      <c r="D34" s="3" t="s">
        <v>1195</v>
      </c>
      <c r="E34" s="3" t="s">
        <v>73</v>
      </c>
      <c r="F34" s="3" t="s">
        <v>2802</v>
      </c>
      <c r="G34" s="3" t="s">
        <v>1513</v>
      </c>
      <c r="H34" s="3" t="s">
        <v>1204</v>
      </c>
      <c r="I34" s="3" t="s">
        <v>2803</v>
      </c>
      <c r="J34" s="3" t="s">
        <v>2804</v>
      </c>
      <c r="K34" s="3" t="s">
        <v>101</v>
      </c>
      <c r="L34" s="3" t="s">
        <v>73</v>
      </c>
      <c r="M34" s="3" t="s">
        <v>73</v>
      </c>
      <c r="N34" s="3" t="s">
        <v>2827</v>
      </c>
      <c r="O34" s="3" t="s">
        <v>2828</v>
      </c>
      <c r="Q34" s="13">
        <v>1703</v>
      </c>
      <c r="R34" s="13">
        <v>607.91999999999996</v>
      </c>
      <c r="S34" s="13">
        <v>1037.08</v>
      </c>
      <c r="T34" s="13">
        <v>0</v>
      </c>
      <c r="U34" s="13">
        <v>58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3" t="s">
        <v>2802</v>
      </c>
      <c r="AG34" s="3" t="s">
        <v>67</v>
      </c>
      <c r="AH34" s="3" t="s">
        <v>2802</v>
      </c>
      <c r="AI34" s="3" t="s">
        <v>68</v>
      </c>
      <c r="AV34" s="3" t="s">
        <v>2817</v>
      </c>
      <c r="AW34" s="3" t="s">
        <v>2808</v>
      </c>
      <c r="AX34" s="3" t="s">
        <v>273</v>
      </c>
      <c r="BC34" s="3" t="s">
        <v>2812</v>
      </c>
      <c r="BD34" s="3" t="s">
        <v>2813</v>
      </c>
      <c r="BF34" s="3" t="s">
        <v>173</v>
      </c>
      <c r="BG34" s="3" t="s">
        <v>174</v>
      </c>
      <c r="BH34" s="16">
        <v>46014</v>
      </c>
      <c r="BI34" s="3" t="s">
        <v>2818</v>
      </c>
      <c r="BJ34" s="3" t="s">
        <v>2819</v>
      </c>
      <c r="BK34" s="3" t="s">
        <v>73</v>
      </c>
      <c r="BL34" s="3" t="s">
        <v>204</v>
      </c>
      <c r="BP34" s="3" t="s">
        <v>3020</v>
      </c>
      <c r="BR34" s="3" t="s">
        <v>3021</v>
      </c>
      <c r="BT34" s="16" t="s">
        <v>2815</v>
      </c>
      <c r="BU34" s="3" t="s">
        <v>2825</v>
      </c>
      <c r="BV34" s="3" t="s">
        <v>75</v>
      </c>
      <c r="BW34" s="3" t="s">
        <v>3012</v>
      </c>
    </row>
    <row r="35" spans="1:75" x14ac:dyDescent="0.3">
      <c r="A35" s="16">
        <v>46014</v>
      </c>
      <c r="B35" s="16">
        <v>46014</v>
      </c>
      <c r="C35" s="3" t="s">
        <v>2419</v>
      </c>
      <c r="D35" s="3" t="s">
        <v>2420</v>
      </c>
      <c r="E35" s="3" t="s">
        <v>73</v>
      </c>
      <c r="F35" s="3" t="s">
        <v>2802</v>
      </c>
      <c r="G35" s="3" t="s">
        <v>2834</v>
      </c>
      <c r="H35" s="3" t="s">
        <v>2433</v>
      </c>
      <c r="I35" s="3" t="s">
        <v>2803</v>
      </c>
      <c r="J35" s="3" t="s">
        <v>2804</v>
      </c>
      <c r="K35" s="3" t="s">
        <v>101</v>
      </c>
      <c r="L35" s="3" t="s">
        <v>73</v>
      </c>
      <c r="M35" s="3" t="s">
        <v>175</v>
      </c>
      <c r="N35" s="3" t="s">
        <v>2805</v>
      </c>
      <c r="O35" s="3" t="s">
        <v>2806</v>
      </c>
      <c r="Q35" s="13">
        <v>3687</v>
      </c>
      <c r="R35" s="13">
        <v>2194.6</v>
      </c>
      <c r="S35" s="13">
        <v>1433.84</v>
      </c>
      <c r="T35" s="13">
        <v>0</v>
      </c>
      <c r="U35" s="13">
        <v>58.56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3" t="s">
        <v>2802</v>
      </c>
      <c r="AG35" s="3" t="s">
        <v>67</v>
      </c>
      <c r="AH35" s="3" t="s">
        <v>2807</v>
      </c>
      <c r="AI35" s="3" t="s">
        <v>104</v>
      </c>
      <c r="AV35" s="3" t="s">
        <v>2817</v>
      </c>
      <c r="AW35" s="3" t="s">
        <v>2808</v>
      </c>
      <c r="AX35" s="3" t="s">
        <v>2432</v>
      </c>
      <c r="BC35" s="3" t="s">
        <v>2812</v>
      </c>
      <c r="BD35" s="3" t="s">
        <v>2813</v>
      </c>
      <c r="BF35" s="3" t="s">
        <v>608</v>
      </c>
      <c r="BG35" s="3" t="s">
        <v>609</v>
      </c>
      <c r="BH35" s="16">
        <v>46017</v>
      </c>
      <c r="BI35" s="3" t="s">
        <v>2818</v>
      </c>
      <c r="BJ35" s="3" t="s">
        <v>2819</v>
      </c>
      <c r="BK35" s="3" t="s">
        <v>73</v>
      </c>
      <c r="BL35" s="3" t="s">
        <v>204</v>
      </c>
      <c r="BP35" s="3" t="s">
        <v>3030</v>
      </c>
      <c r="BR35" s="3" t="s">
        <v>2990</v>
      </c>
      <c r="BT35" s="16" t="s">
        <v>2815</v>
      </c>
      <c r="BU35" s="3" t="s">
        <v>2825</v>
      </c>
      <c r="BV35" s="3" t="s">
        <v>75</v>
      </c>
      <c r="BW35" s="3" t="s">
        <v>3012</v>
      </c>
    </row>
    <row r="36" spans="1:75" x14ac:dyDescent="0.3">
      <c r="A36" s="16">
        <v>46014</v>
      </c>
      <c r="B36" s="16">
        <v>46014</v>
      </c>
      <c r="C36" s="3" t="s">
        <v>2224</v>
      </c>
      <c r="D36" s="3" t="s">
        <v>2227</v>
      </c>
      <c r="E36" s="3" t="s">
        <v>175</v>
      </c>
      <c r="F36" s="3" t="s">
        <v>2829</v>
      </c>
      <c r="G36" s="3" t="s">
        <v>3009</v>
      </c>
      <c r="H36" s="3" t="s">
        <v>2237</v>
      </c>
      <c r="I36" s="3" t="s">
        <v>2803</v>
      </c>
      <c r="J36" s="3" t="s">
        <v>2804</v>
      </c>
      <c r="K36" s="3" t="s">
        <v>101</v>
      </c>
      <c r="L36" s="3" t="s">
        <v>73</v>
      </c>
      <c r="M36" s="3" t="s">
        <v>73</v>
      </c>
      <c r="N36" s="3" t="s">
        <v>2827</v>
      </c>
      <c r="O36" s="3" t="s">
        <v>2828</v>
      </c>
      <c r="Q36" s="13">
        <v>4170</v>
      </c>
      <c r="R36" s="13">
        <v>2194.6</v>
      </c>
      <c r="S36" s="13">
        <v>1917.13</v>
      </c>
      <c r="T36" s="13">
        <v>0</v>
      </c>
      <c r="U36" s="13">
        <v>58.27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3" t="s">
        <v>2802</v>
      </c>
      <c r="AG36" s="3" t="s">
        <v>67</v>
      </c>
      <c r="AH36" s="3" t="s">
        <v>2816</v>
      </c>
      <c r="AI36" s="3" t="s">
        <v>189</v>
      </c>
      <c r="AV36" s="3" t="s">
        <v>2817</v>
      </c>
      <c r="AW36" s="3" t="s">
        <v>2808</v>
      </c>
      <c r="AX36" s="3" t="s">
        <v>189</v>
      </c>
      <c r="AY36" s="3" t="s">
        <v>2809</v>
      </c>
      <c r="AZ36" s="3" t="s">
        <v>2810</v>
      </c>
      <c r="BA36" s="3" t="s">
        <v>2802</v>
      </c>
      <c r="BB36" s="3" t="s">
        <v>2811</v>
      </c>
      <c r="BC36" s="3" t="s">
        <v>2812</v>
      </c>
      <c r="BD36" s="3" t="s">
        <v>2813</v>
      </c>
      <c r="BF36" s="3" t="s">
        <v>192</v>
      </c>
      <c r="BG36" s="3" t="s">
        <v>193</v>
      </c>
      <c r="BH36" s="16">
        <v>46017</v>
      </c>
      <c r="BI36" s="3" t="s">
        <v>2818</v>
      </c>
      <c r="BJ36" s="3" t="s">
        <v>2819</v>
      </c>
      <c r="BK36" s="3" t="s">
        <v>73</v>
      </c>
      <c r="BL36" s="3" t="s">
        <v>204</v>
      </c>
      <c r="BP36" s="3" t="s">
        <v>3031</v>
      </c>
      <c r="BR36" s="3" t="s">
        <v>3032</v>
      </c>
      <c r="BT36" s="16" t="s">
        <v>2815</v>
      </c>
      <c r="BU36" s="3" t="s">
        <v>2825</v>
      </c>
      <c r="BV36" s="3" t="s">
        <v>75</v>
      </c>
      <c r="BW36" s="3" t="s">
        <v>2979</v>
      </c>
    </row>
    <row r="37" spans="1:75" x14ac:dyDescent="0.3">
      <c r="A37" s="16">
        <v>46014</v>
      </c>
      <c r="B37" s="16">
        <v>46014</v>
      </c>
      <c r="C37" s="3" t="s">
        <v>1262</v>
      </c>
      <c r="D37" s="3" t="s">
        <v>1263</v>
      </c>
      <c r="E37" s="3" t="s">
        <v>73</v>
      </c>
      <c r="F37" s="3" t="s">
        <v>2802</v>
      </c>
      <c r="G37" s="3" t="s">
        <v>2834</v>
      </c>
      <c r="H37" s="3" t="s">
        <v>1275</v>
      </c>
      <c r="I37" s="3" t="s">
        <v>2803</v>
      </c>
      <c r="J37" s="3" t="s">
        <v>2804</v>
      </c>
      <c r="K37" s="3" t="s">
        <v>101</v>
      </c>
      <c r="L37" s="3" t="s">
        <v>73</v>
      </c>
      <c r="M37" s="3" t="s">
        <v>73</v>
      </c>
      <c r="N37" s="3" t="s">
        <v>2827</v>
      </c>
      <c r="O37" s="3" t="s">
        <v>2828</v>
      </c>
      <c r="Q37" s="13">
        <v>18500</v>
      </c>
      <c r="R37" s="13">
        <v>14362.78</v>
      </c>
      <c r="S37" s="13">
        <v>3441.2200000000003</v>
      </c>
      <c r="T37" s="13">
        <v>580</v>
      </c>
      <c r="U37" s="13">
        <v>116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3" t="s">
        <v>2802</v>
      </c>
      <c r="AG37" s="3" t="s">
        <v>67</v>
      </c>
      <c r="AH37" s="3" t="s">
        <v>2802</v>
      </c>
      <c r="AI37" s="3" t="s">
        <v>68</v>
      </c>
      <c r="AV37" s="3" t="s">
        <v>2817</v>
      </c>
      <c r="AW37" s="3" t="s">
        <v>2808</v>
      </c>
      <c r="AX37" s="3" t="s">
        <v>82</v>
      </c>
      <c r="BC37" s="3" t="s">
        <v>2812</v>
      </c>
      <c r="BD37" s="3" t="s">
        <v>2813</v>
      </c>
      <c r="BF37" s="3" t="s">
        <v>173</v>
      </c>
      <c r="BG37" s="3" t="s">
        <v>174</v>
      </c>
      <c r="BH37" s="16">
        <v>46020</v>
      </c>
      <c r="BI37" s="3" t="s">
        <v>2818</v>
      </c>
      <c r="BJ37" s="3" t="s">
        <v>2819</v>
      </c>
      <c r="BK37" s="3" t="s">
        <v>73</v>
      </c>
      <c r="BL37" s="3" t="s">
        <v>204</v>
      </c>
      <c r="BP37" s="3" t="s">
        <v>3025</v>
      </c>
      <c r="BR37" s="3" t="s">
        <v>3026</v>
      </c>
      <c r="BT37" s="16" t="s">
        <v>2815</v>
      </c>
      <c r="BU37" s="3" t="s">
        <v>2825</v>
      </c>
      <c r="BV37" s="3" t="s">
        <v>75</v>
      </c>
      <c r="BW37" s="3" t="s">
        <v>3027</v>
      </c>
    </row>
    <row r="38" spans="1:75" x14ac:dyDescent="0.3">
      <c r="A38" s="16">
        <v>46015</v>
      </c>
      <c r="B38" s="16">
        <v>46015</v>
      </c>
      <c r="C38" s="3" t="s">
        <v>1749</v>
      </c>
      <c r="D38" s="3" t="s">
        <v>1752</v>
      </c>
      <c r="E38" s="3" t="s">
        <v>73</v>
      </c>
      <c r="F38" s="3" t="s">
        <v>2802</v>
      </c>
      <c r="G38" s="3" t="s">
        <v>2821</v>
      </c>
      <c r="H38" s="3" t="s">
        <v>1763</v>
      </c>
      <c r="I38" s="3" t="s">
        <v>2803</v>
      </c>
      <c r="J38" s="3" t="s">
        <v>2804</v>
      </c>
      <c r="K38" s="3" t="s">
        <v>2964</v>
      </c>
      <c r="L38" s="3" t="s">
        <v>73</v>
      </c>
      <c r="M38" s="3" t="s">
        <v>73</v>
      </c>
      <c r="N38" s="3" t="s">
        <v>2827</v>
      </c>
      <c r="O38" s="3" t="s">
        <v>2828</v>
      </c>
      <c r="Q38" s="13">
        <v>1720</v>
      </c>
      <c r="R38" s="13">
        <v>877.84</v>
      </c>
      <c r="S38" s="13">
        <v>784.16</v>
      </c>
      <c r="T38" s="13">
        <v>0</v>
      </c>
      <c r="U38" s="13">
        <v>58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3" t="s">
        <v>2802</v>
      </c>
      <c r="AG38" s="3" t="s">
        <v>67</v>
      </c>
      <c r="AH38" s="3" t="s">
        <v>2802</v>
      </c>
      <c r="AI38" s="3" t="s">
        <v>68</v>
      </c>
      <c r="AV38" s="3" t="s">
        <v>2817</v>
      </c>
      <c r="AW38" s="3" t="s">
        <v>2808</v>
      </c>
      <c r="AX38" s="3" t="s">
        <v>82</v>
      </c>
      <c r="AY38" s="3" t="s">
        <v>2809</v>
      </c>
      <c r="AZ38" s="3" t="s">
        <v>2810</v>
      </c>
      <c r="BA38" s="3" t="s">
        <v>2802</v>
      </c>
      <c r="BB38" s="3" t="s">
        <v>2811</v>
      </c>
      <c r="BC38" s="3" t="s">
        <v>2812</v>
      </c>
      <c r="BD38" s="3" t="s">
        <v>2813</v>
      </c>
      <c r="BF38" s="3" t="s">
        <v>608</v>
      </c>
      <c r="BG38" s="3" t="s">
        <v>609</v>
      </c>
      <c r="BH38" s="16">
        <v>46017</v>
      </c>
      <c r="BI38" s="3" t="s">
        <v>2818</v>
      </c>
      <c r="BJ38" s="3" t="s">
        <v>2819</v>
      </c>
      <c r="BK38" s="3" t="s">
        <v>73</v>
      </c>
      <c r="BL38" s="3" t="s">
        <v>204</v>
      </c>
      <c r="BP38" s="3" t="s">
        <v>3033</v>
      </c>
      <c r="BR38" s="3" t="s">
        <v>3034</v>
      </c>
      <c r="BT38" s="16" t="s">
        <v>2815</v>
      </c>
      <c r="BU38" s="3" t="s">
        <v>2825</v>
      </c>
      <c r="BV38" s="3" t="s">
        <v>75</v>
      </c>
      <c r="BW38" s="3" t="s">
        <v>3012</v>
      </c>
    </row>
    <row r="39" spans="1:75" x14ac:dyDescent="0.3">
      <c r="A39" s="16">
        <v>46015</v>
      </c>
      <c r="B39" s="16">
        <v>46015</v>
      </c>
      <c r="C39" s="3" t="s">
        <v>1654</v>
      </c>
      <c r="D39" s="3" t="s">
        <v>1655</v>
      </c>
      <c r="E39" s="3" t="s">
        <v>73</v>
      </c>
      <c r="F39" s="3" t="s">
        <v>2802</v>
      </c>
      <c r="G39" s="3" t="s">
        <v>2820</v>
      </c>
      <c r="H39" s="3" t="s">
        <v>1670</v>
      </c>
      <c r="I39" s="3" t="s">
        <v>2803</v>
      </c>
      <c r="J39" s="3" t="s">
        <v>2804</v>
      </c>
      <c r="K39" s="3" t="s">
        <v>2964</v>
      </c>
      <c r="L39" s="3" t="s">
        <v>73</v>
      </c>
      <c r="M39" s="3" t="s">
        <v>73</v>
      </c>
      <c r="N39" s="3" t="s">
        <v>2827</v>
      </c>
      <c r="O39" s="3" t="s">
        <v>2828</v>
      </c>
      <c r="Q39" s="13">
        <v>2077.71</v>
      </c>
      <c r="R39" s="13">
        <v>1404.54</v>
      </c>
      <c r="S39" s="13">
        <v>646.64</v>
      </c>
      <c r="T39" s="13">
        <v>0</v>
      </c>
      <c r="U39" s="13">
        <v>26.53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3" t="s">
        <v>2802</v>
      </c>
      <c r="AG39" s="3" t="s">
        <v>67</v>
      </c>
      <c r="AH39" s="3" t="s">
        <v>2802</v>
      </c>
      <c r="AI39" s="3" t="s">
        <v>68</v>
      </c>
      <c r="AV39" s="3" t="s">
        <v>2817</v>
      </c>
      <c r="AW39" s="3" t="s">
        <v>2808</v>
      </c>
      <c r="AX39" s="3" t="s">
        <v>273</v>
      </c>
      <c r="AY39" s="3" t="s">
        <v>2809</v>
      </c>
      <c r="AZ39" s="3" t="s">
        <v>2810</v>
      </c>
      <c r="BA39" s="3" t="s">
        <v>2802</v>
      </c>
      <c r="BB39" s="3" t="s">
        <v>2811</v>
      </c>
      <c r="BC39" s="3" t="s">
        <v>2812</v>
      </c>
      <c r="BD39" s="3" t="s">
        <v>2813</v>
      </c>
      <c r="BF39" s="3" t="s">
        <v>608</v>
      </c>
      <c r="BG39" s="3" t="s">
        <v>609</v>
      </c>
      <c r="BH39" s="16">
        <v>46017</v>
      </c>
      <c r="BI39" s="3" t="s">
        <v>2818</v>
      </c>
      <c r="BJ39" s="3" t="s">
        <v>2819</v>
      </c>
      <c r="BK39" s="3" t="s">
        <v>73</v>
      </c>
      <c r="BL39" s="3" t="s">
        <v>204</v>
      </c>
      <c r="BP39" s="3" t="s">
        <v>3035</v>
      </c>
      <c r="BR39" s="3" t="s">
        <v>3036</v>
      </c>
      <c r="BT39" s="16" t="s">
        <v>2815</v>
      </c>
      <c r="BU39" s="3" t="s">
        <v>2820</v>
      </c>
      <c r="BV39" s="3" t="s">
        <v>75</v>
      </c>
      <c r="BW39" s="3" t="s">
        <v>3012</v>
      </c>
    </row>
    <row r="40" spans="1:75" x14ac:dyDescent="0.3">
      <c r="A40" s="16">
        <v>46016</v>
      </c>
      <c r="B40" s="16">
        <v>46016</v>
      </c>
      <c r="C40" s="3" t="s">
        <v>1817</v>
      </c>
      <c r="D40" s="3" t="s">
        <v>1818</v>
      </c>
      <c r="E40" s="3" t="s">
        <v>73</v>
      </c>
      <c r="F40" s="3" t="s">
        <v>2802</v>
      </c>
      <c r="G40" s="3" t="s">
        <v>3037</v>
      </c>
      <c r="H40" s="3" t="s">
        <v>1829</v>
      </c>
      <c r="I40" s="3" t="s">
        <v>2803</v>
      </c>
      <c r="J40" s="3" t="s">
        <v>2804</v>
      </c>
      <c r="K40" s="3" t="s">
        <v>2964</v>
      </c>
      <c r="L40" s="3" t="s">
        <v>73</v>
      </c>
      <c r="M40" s="3" t="s">
        <v>73</v>
      </c>
      <c r="N40" s="3" t="s">
        <v>2827</v>
      </c>
      <c r="O40" s="3" t="s">
        <v>2828</v>
      </c>
      <c r="Q40" s="13">
        <v>1246</v>
      </c>
      <c r="R40" s="13">
        <v>0</v>
      </c>
      <c r="S40" s="13">
        <v>89.44</v>
      </c>
      <c r="T40" s="13">
        <v>1098.56</v>
      </c>
      <c r="U40" s="13">
        <v>58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3" t="s">
        <v>2802</v>
      </c>
      <c r="AG40" s="3" t="s">
        <v>67</v>
      </c>
      <c r="AH40" s="3" t="s">
        <v>2802</v>
      </c>
      <c r="AI40" s="3" t="s">
        <v>68</v>
      </c>
      <c r="AV40" s="3" t="s">
        <v>2817</v>
      </c>
      <c r="AW40" s="3" t="s">
        <v>2808</v>
      </c>
      <c r="AX40" s="3" t="s">
        <v>82</v>
      </c>
      <c r="AY40" s="3" t="s">
        <v>2809</v>
      </c>
      <c r="AZ40" s="3" t="s">
        <v>2810</v>
      </c>
      <c r="BA40" s="3" t="s">
        <v>2802</v>
      </c>
      <c r="BB40" s="3" t="s">
        <v>2811</v>
      </c>
      <c r="BC40" s="3" t="s">
        <v>2812</v>
      </c>
      <c r="BD40" s="3" t="s">
        <v>2813</v>
      </c>
      <c r="BF40" s="3" t="s">
        <v>173</v>
      </c>
      <c r="BG40" s="3" t="s">
        <v>174</v>
      </c>
      <c r="BH40" s="16">
        <v>46017</v>
      </c>
      <c r="BI40" s="3" t="s">
        <v>2818</v>
      </c>
      <c r="BJ40" s="3" t="s">
        <v>2819</v>
      </c>
      <c r="BK40" s="3" t="s">
        <v>73</v>
      </c>
      <c r="BL40" s="3" t="s">
        <v>204</v>
      </c>
      <c r="BP40" s="3" t="s">
        <v>3038</v>
      </c>
      <c r="BR40" s="3" t="s">
        <v>3039</v>
      </c>
      <c r="BT40" s="16" t="s">
        <v>2815</v>
      </c>
      <c r="BU40" s="3" t="s">
        <v>3040</v>
      </c>
      <c r="BV40" s="3" t="s">
        <v>279</v>
      </c>
      <c r="BW40" s="3" t="s">
        <v>3012</v>
      </c>
    </row>
    <row r="41" spans="1:75" x14ac:dyDescent="0.3">
      <c r="A41" s="16">
        <v>46017</v>
      </c>
      <c r="B41" s="16">
        <v>46017</v>
      </c>
      <c r="C41" s="3" t="s">
        <v>567</v>
      </c>
      <c r="D41" s="3" t="s">
        <v>570</v>
      </c>
      <c r="E41" s="3" t="s">
        <v>73</v>
      </c>
      <c r="F41" s="3" t="s">
        <v>2802</v>
      </c>
      <c r="G41" s="3" t="s">
        <v>2820</v>
      </c>
      <c r="H41" s="3" t="s">
        <v>581</v>
      </c>
      <c r="I41" s="3" t="s">
        <v>2803</v>
      </c>
      <c r="J41" s="3" t="s">
        <v>2804</v>
      </c>
      <c r="K41" s="3" t="s">
        <v>101</v>
      </c>
      <c r="L41" s="3" t="s">
        <v>73</v>
      </c>
      <c r="M41" s="3" t="s">
        <v>73</v>
      </c>
      <c r="N41" s="3" t="s">
        <v>2827</v>
      </c>
      <c r="O41" s="3" t="s">
        <v>2828</v>
      </c>
      <c r="Q41" s="13">
        <v>500</v>
      </c>
      <c r="R41" s="13">
        <v>344.55</v>
      </c>
      <c r="S41" s="13">
        <v>0</v>
      </c>
      <c r="T41" s="13">
        <v>97.45</v>
      </c>
      <c r="U41" s="13">
        <v>58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3" t="s">
        <v>2802</v>
      </c>
      <c r="AG41" s="3" t="s">
        <v>67</v>
      </c>
      <c r="AH41" s="3" t="s">
        <v>2822</v>
      </c>
      <c r="AI41" s="3" t="s">
        <v>536</v>
      </c>
      <c r="AV41" s="3" t="s">
        <v>2817</v>
      </c>
      <c r="AW41" s="3" t="s">
        <v>2808</v>
      </c>
      <c r="AX41" s="3" t="s">
        <v>580</v>
      </c>
      <c r="BC41" s="3" t="s">
        <v>2812</v>
      </c>
      <c r="BD41" s="3" t="s">
        <v>2813</v>
      </c>
      <c r="BF41" s="3" t="s">
        <v>154</v>
      </c>
      <c r="BG41" s="3" t="s">
        <v>155</v>
      </c>
      <c r="BH41" s="16">
        <v>46020</v>
      </c>
      <c r="BI41" s="3" t="s">
        <v>2818</v>
      </c>
      <c r="BJ41" s="3" t="s">
        <v>2819</v>
      </c>
      <c r="BK41" s="3" t="s">
        <v>73</v>
      </c>
      <c r="BL41" s="3" t="s">
        <v>204</v>
      </c>
      <c r="BP41" s="3" t="s">
        <v>2835</v>
      </c>
      <c r="BR41" s="3" t="s">
        <v>2836</v>
      </c>
      <c r="BT41" s="16" t="s">
        <v>2815</v>
      </c>
      <c r="BU41" s="3" t="s">
        <v>2820</v>
      </c>
      <c r="BV41" s="3" t="s">
        <v>75</v>
      </c>
      <c r="BW41" s="3" t="s">
        <v>3041</v>
      </c>
    </row>
    <row r="42" spans="1:75" x14ac:dyDescent="0.3">
      <c r="A42" s="16">
        <v>46017</v>
      </c>
      <c r="B42" s="16">
        <v>46017</v>
      </c>
      <c r="C42" s="3" t="s">
        <v>1844</v>
      </c>
      <c r="D42" s="3" t="s">
        <v>1845</v>
      </c>
      <c r="E42" s="3" t="s">
        <v>73</v>
      </c>
      <c r="F42" s="3" t="s">
        <v>2802</v>
      </c>
      <c r="G42" s="3" t="s">
        <v>2830</v>
      </c>
      <c r="H42" s="3" t="s">
        <v>1856</v>
      </c>
      <c r="I42" s="3" t="s">
        <v>2803</v>
      </c>
      <c r="J42" s="3" t="s">
        <v>2804</v>
      </c>
      <c r="K42" s="3" t="s">
        <v>101</v>
      </c>
      <c r="L42" s="3" t="s">
        <v>73</v>
      </c>
      <c r="M42" s="3" t="s">
        <v>73</v>
      </c>
      <c r="N42" s="3" t="s">
        <v>2827</v>
      </c>
      <c r="O42" s="3" t="s">
        <v>2828</v>
      </c>
      <c r="Q42" s="13">
        <v>1000</v>
      </c>
      <c r="R42" s="13">
        <v>169.35</v>
      </c>
      <c r="S42" s="13">
        <v>773.16</v>
      </c>
      <c r="T42" s="13">
        <v>0</v>
      </c>
      <c r="U42" s="13">
        <v>57.49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3" t="s">
        <v>2802</v>
      </c>
      <c r="AG42" s="3" t="s">
        <v>67</v>
      </c>
      <c r="AH42" s="3" t="s">
        <v>2816</v>
      </c>
      <c r="AI42" s="3" t="s">
        <v>189</v>
      </c>
      <c r="AV42" s="3" t="s">
        <v>2817</v>
      </c>
      <c r="AW42" s="3" t="s">
        <v>2808</v>
      </c>
      <c r="AX42" s="3" t="s">
        <v>260</v>
      </c>
      <c r="AY42" s="3" t="s">
        <v>2809</v>
      </c>
      <c r="AZ42" s="3" t="s">
        <v>2810</v>
      </c>
      <c r="BA42" s="3" t="s">
        <v>2802</v>
      </c>
      <c r="BB42" s="3" t="s">
        <v>2811</v>
      </c>
      <c r="BC42" s="3" t="s">
        <v>2812</v>
      </c>
      <c r="BD42" s="3" t="s">
        <v>2813</v>
      </c>
      <c r="BF42" s="3" t="s">
        <v>192</v>
      </c>
      <c r="BG42" s="3" t="s">
        <v>193</v>
      </c>
      <c r="BH42" s="16">
        <v>46021</v>
      </c>
      <c r="BI42" s="3" t="s">
        <v>2818</v>
      </c>
      <c r="BJ42" s="3" t="s">
        <v>2819</v>
      </c>
      <c r="BK42" s="3" t="s">
        <v>73</v>
      </c>
      <c r="BL42" s="3" t="s">
        <v>204</v>
      </c>
      <c r="BP42" s="3" t="s">
        <v>3042</v>
      </c>
      <c r="BR42" s="3" t="s">
        <v>3043</v>
      </c>
      <c r="BT42" s="16" t="s">
        <v>2815</v>
      </c>
      <c r="BU42" s="3" t="s">
        <v>2820</v>
      </c>
      <c r="BV42" s="3" t="s">
        <v>75</v>
      </c>
      <c r="BW42" s="3" t="s">
        <v>3044</v>
      </c>
    </row>
    <row r="43" spans="1:75" x14ac:dyDescent="0.3">
      <c r="A43" s="16">
        <v>46017</v>
      </c>
      <c r="B43" s="16">
        <v>46017</v>
      </c>
      <c r="C43" s="3" t="s">
        <v>2690</v>
      </c>
      <c r="D43" s="3" t="s">
        <v>2691</v>
      </c>
      <c r="E43" s="3" t="s">
        <v>73</v>
      </c>
      <c r="F43" s="3" t="s">
        <v>2802</v>
      </c>
      <c r="G43" s="3" t="s">
        <v>2830</v>
      </c>
      <c r="H43" s="3" t="s">
        <v>2704</v>
      </c>
      <c r="I43" s="3" t="s">
        <v>2803</v>
      </c>
      <c r="J43" s="3" t="s">
        <v>2804</v>
      </c>
      <c r="K43" s="3" t="s">
        <v>101</v>
      </c>
      <c r="L43" s="3" t="s">
        <v>73</v>
      </c>
      <c r="M43" s="3" t="s">
        <v>73</v>
      </c>
      <c r="N43" s="3" t="s">
        <v>2827</v>
      </c>
      <c r="O43" s="3" t="s">
        <v>2828</v>
      </c>
      <c r="Q43" s="13">
        <v>1000</v>
      </c>
      <c r="R43" s="13">
        <v>854.14</v>
      </c>
      <c r="S43" s="13">
        <v>145.86000000000001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3" t="s">
        <v>2802</v>
      </c>
      <c r="AG43" s="3" t="s">
        <v>67</v>
      </c>
      <c r="AH43" s="3" t="s">
        <v>2822</v>
      </c>
      <c r="AI43" s="3" t="s">
        <v>536</v>
      </c>
      <c r="AV43" s="3" t="s">
        <v>2817</v>
      </c>
      <c r="AW43" s="3" t="s">
        <v>2808</v>
      </c>
      <c r="AX43" s="3" t="s">
        <v>536</v>
      </c>
      <c r="AY43" s="3" t="s">
        <v>2809</v>
      </c>
      <c r="AZ43" s="3" t="s">
        <v>2810</v>
      </c>
      <c r="BA43" s="3" t="s">
        <v>2802</v>
      </c>
      <c r="BB43" s="3" t="s">
        <v>2811</v>
      </c>
      <c r="BC43" s="3" t="s">
        <v>2812</v>
      </c>
      <c r="BD43" s="3" t="s">
        <v>2813</v>
      </c>
      <c r="BF43" s="3" t="s">
        <v>154</v>
      </c>
      <c r="BG43" s="3" t="s">
        <v>155</v>
      </c>
      <c r="BH43" s="16">
        <v>46020</v>
      </c>
      <c r="BI43" s="3" t="s">
        <v>2818</v>
      </c>
      <c r="BJ43" s="3" t="s">
        <v>2819</v>
      </c>
      <c r="BK43" s="3" t="s">
        <v>73</v>
      </c>
      <c r="BL43" s="3" t="s">
        <v>204</v>
      </c>
      <c r="BP43" s="3" t="s">
        <v>2986</v>
      </c>
      <c r="BR43" s="3" t="s">
        <v>2987</v>
      </c>
      <c r="BT43" s="16" t="s">
        <v>2815</v>
      </c>
      <c r="BU43" s="3" t="s">
        <v>2825</v>
      </c>
      <c r="BV43" s="3" t="s">
        <v>75</v>
      </c>
      <c r="BW43" s="3" t="s">
        <v>3041</v>
      </c>
    </row>
    <row r="44" spans="1:75" x14ac:dyDescent="0.3">
      <c r="A44" s="16">
        <v>46017</v>
      </c>
      <c r="B44" s="16">
        <v>46017</v>
      </c>
      <c r="C44" s="3" t="s">
        <v>2888</v>
      </c>
      <c r="D44" s="3" t="s">
        <v>2889</v>
      </c>
      <c r="E44" s="3" t="s">
        <v>175</v>
      </c>
      <c r="F44" s="3" t="s">
        <v>2829</v>
      </c>
      <c r="G44" s="3" t="s">
        <v>3045</v>
      </c>
      <c r="H44" s="3" t="s">
        <v>2898</v>
      </c>
      <c r="I44" s="3" t="s">
        <v>2803</v>
      </c>
      <c r="J44" s="3" t="s">
        <v>2804</v>
      </c>
      <c r="K44" s="3" t="s">
        <v>2964</v>
      </c>
      <c r="L44" s="3" t="s">
        <v>73</v>
      </c>
      <c r="M44" s="3" t="s">
        <v>73</v>
      </c>
      <c r="N44" s="3" t="s">
        <v>2827</v>
      </c>
      <c r="O44" s="3" t="s">
        <v>2828</v>
      </c>
      <c r="Q44" s="13">
        <v>1165.72</v>
      </c>
      <c r="R44" s="13">
        <v>790.05000000000007</v>
      </c>
      <c r="S44" s="13">
        <v>317.67</v>
      </c>
      <c r="T44" s="13">
        <v>0</v>
      </c>
      <c r="U44" s="13">
        <v>58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3" t="s">
        <v>2802</v>
      </c>
      <c r="AG44" s="3" t="s">
        <v>67</v>
      </c>
      <c r="AH44" s="3" t="s">
        <v>2807</v>
      </c>
      <c r="AI44" s="3" t="s">
        <v>104</v>
      </c>
      <c r="AV44" s="3" t="s">
        <v>2817</v>
      </c>
      <c r="AW44" s="3" t="s">
        <v>2808</v>
      </c>
      <c r="AX44" s="3" t="s">
        <v>104</v>
      </c>
      <c r="AY44" s="3" t="s">
        <v>2809</v>
      </c>
      <c r="AZ44" s="3" t="s">
        <v>2810</v>
      </c>
      <c r="BA44" s="3" t="s">
        <v>2802</v>
      </c>
      <c r="BB44" s="3" t="s">
        <v>2811</v>
      </c>
      <c r="BC44" s="3" t="s">
        <v>2812</v>
      </c>
      <c r="BD44" s="3" t="s">
        <v>2813</v>
      </c>
      <c r="BF44" s="3" t="s">
        <v>608</v>
      </c>
      <c r="BG44" s="3" t="s">
        <v>609</v>
      </c>
      <c r="BH44" s="16">
        <v>46017</v>
      </c>
      <c r="BI44" s="3" t="s">
        <v>2818</v>
      </c>
      <c r="BJ44" s="3" t="s">
        <v>2819</v>
      </c>
      <c r="BK44" s="3" t="s">
        <v>73</v>
      </c>
      <c r="BL44" s="3" t="s">
        <v>204</v>
      </c>
      <c r="BP44" s="3" t="s">
        <v>3046</v>
      </c>
      <c r="BR44" s="3" t="s">
        <v>3047</v>
      </c>
      <c r="BT44" s="16" t="s">
        <v>2815</v>
      </c>
      <c r="BU44" s="3" t="s">
        <v>2825</v>
      </c>
      <c r="BV44" s="3" t="s">
        <v>2831</v>
      </c>
      <c r="BW44" s="3" t="s">
        <v>3012</v>
      </c>
    </row>
    <row r="45" spans="1:75" x14ac:dyDescent="0.3">
      <c r="A45" s="16">
        <v>46017</v>
      </c>
      <c r="B45" s="16">
        <v>46017</v>
      </c>
      <c r="C45" s="3" t="s">
        <v>2323</v>
      </c>
      <c r="D45" s="3" t="s">
        <v>2324</v>
      </c>
      <c r="E45" s="3" t="s">
        <v>175</v>
      </c>
      <c r="F45" s="3" t="s">
        <v>2829</v>
      </c>
      <c r="G45" s="3" t="s">
        <v>2820</v>
      </c>
      <c r="H45" s="3" t="s">
        <v>2334</v>
      </c>
      <c r="I45" s="3" t="s">
        <v>2803</v>
      </c>
      <c r="J45" s="3" t="s">
        <v>2804</v>
      </c>
      <c r="K45" s="3" t="s">
        <v>101</v>
      </c>
      <c r="L45" s="3" t="s">
        <v>73</v>
      </c>
      <c r="M45" s="3" t="s">
        <v>175</v>
      </c>
      <c r="N45" s="3" t="s">
        <v>2805</v>
      </c>
      <c r="O45" s="3" t="s">
        <v>2806</v>
      </c>
      <c r="Q45" s="13">
        <v>1535</v>
      </c>
      <c r="R45" s="13">
        <v>1053.4100000000001</v>
      </c>
      <c r="S45" s="13">
        <v>423.55</v>
      </c>
      <c r="T45" s="13">
        <v>0</v>
      </c>
      <c r="U45" s="13">
        <v>58.04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3" t="s">
        <v>2802</v>
      </c>
      <c r="AG45" s="3" t="s">
        <v>67</v>
      </c>
      <c r="AH45" s="3" t="s">
        <v>2816</v>
      </c>
      <c r="AI45" s="3" t="s">
        <v>189</v>
      </c>
      <c r="AV45" s="3" t="s">
        <v>2817</v>
      </c>
      <c r="AW45" s="3" t="s">
        <v>2808</v>
      </c>
      <c r="AX45" s="3" t="s">
        <v>260</v>
      </c>
      <c r="AY45" s="3" t="s">
        <v>2809</v>
      </c>
      <c r="AZ45" s="3" t="s">
        <v>2810</v>
      </c>
      <c r="BA45" s="3" t="s">
        <v>2802</v>
      </c>
      <c r="BB45" s="3" t="s">
        <v>2811</v>
      </c>
      <c r="BC45" s="3" t="s">
        <v>2812</v>
      </c>
      <c r="BD45" s="3" t="s">
        <v>2813</v>
      </c>
      <c r="BF45" s="3" t="s">
        <v>608</v>
      </c>
      <c r="BG45" s="3" t="s">
        <v>609</v>
      </c>
      <c r="BH45" s="16">
        <v>46017</v>
      </c>
      <c r="BI45" s="3" t="s">
        <v>2818</v>
      </c>
      <c r="BJ45" s="3" t="s">
        <v>2819</v>
      </c>
      <c r="BK45" s="3" t="s">
        <v>73</v>
      </c>
      <c r="BL45" s="3" t="s">
        <v>204</v>
      </c>
      <c r="BP45" s="3" t="s">
        <v>3048</v>
      </c>
      <c r="BR45" s="3" t="s">
        <v>3049</v>
      </c>
      <c r="BT45" s="16" t="s">
        <v>2815</v>
      </c>
      <c r="BU45" s="3" t="s">
        <v>2825</v>
      </c>
      <c r="BV45" s="3" t="s">
        <v>2831</v>
      </c>
      <c r="BW45" s="3" t="s">
        <v>3050</v>
      </c>
    </row>
    <row r="46" spans="1:75" x14ac:dyDescent="0.3">
      <c r="A46" s="16">
        <v>46017</v>
      </c>
      <c r="B46" s="16">
        <v>46017</v>
      </c>
      <c r="C46" s="3" t="s">
        <v>2258</v>
      </c>
      <c r="D46" s="3" t="s">
        <v>2259</v>
      </c>
      <c r="E46" s="3" t="s">
        <v>73</v>
      </c>
      <c r="F46" s="3" t="s">
        <v>2802</v>
      </c>
      <c r="G46" s="3" t="s">
        <v>2830</v>
      </c>
      <c r="H46" s="3" t="s">
        <v>2267</v>
      </c>
      <c r="I46" s="3" t="s">
        <v>2803</v>
      </c>
      <c r="J46" s="3" t="s">
        <v>2804</v>
      </c>
      <c r="K46" s="3" t="s">
        <v>2964</v>
      </c>
      <c r="L46" s="3" t="s">
        <v>73</v>
      </c>
      <c r="M46" s="3" t="s">
        <v>73</v>
      </c>
      <c r="N46" s="3" t="s">
        <v>2827</v>
      </c>
      <c r="O46" s="3" t="s">
        <v>2828</v>
      </c>
      <c r="Q46" s="13">
        <v>1702</v>
      </c>
      <c r="R46" s="13">
        <v>877.15</v>
      </c>
      <c r="S46" s="13">
        <v>766.85</v>
      </c>
      <c r="T46" s="13">
        <v>0</v>
      </c>
      <c r="U46" s="13">
        <v>58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3" t="s">
        <v>2802</v>
      </c>
      <c r="AG46" s="3" t="s">
        <v>67</v>
      </c>
      <c r="AH46" s="3" t="s">
        <v>3051</v>
      </c>
      <c r="AI46" s="3" t="s">
        <v>132</v>
      </c>
      <c r="AV46" s="3" t="s">
        <v>2817</v>
      </c>
      <c r="AW46" s="3" t="s">
        <v>2808</v>
      </c>
      <c r="AX46" s="3" t="s">
        <v>132</v>
      </c>
      <c r="AY46" s="3" t="s">
        <v>2809</v>
      </c>
      <c r="AZ46" s="3" t="s">
        <v>2810</v>
      </c>
      <c r="BA46" s="3" t="s">
        <v>2802</v>
      </c>
      <c r="BB46" s="3" t="s">
        <v>2811</v>
      </c>
      <c r="BC46" s="3" t="s">
        <v>2812</v>
      </c>
      <c r="BD46" s="3" t="s">
        <v>2813</v>
      </c>
      <c r="BF46" s="3" t="s">
        <v>608</v>
      </c>
      <c r="BG46" s="3" t="s">
        <v>609</v>
      </c>
      <c r="BH46" s="16">
        <v>46017</v>
      </c>
      <c r="BI46" s="3" t="s">
        <v>2818</v>
      </c>
      <c r="BJ46" s="3" t="s">
        <v>2819</v>
      </c>
      <c r="BK46" s="3" t="s">
        <v>73</v>
      </c>
      <c r="BL46" s="3" t="s">
        <v>204</v>
      </c>
      <c r="BP46" s="3" t="s">
        <v>3052</v>
      </c>
      <c r="BR46" s="3" t="s">
        <v>3053</v>
      </c>
      <c r="BT46" s="16" t="s">
        <v>2815</v>
      </c>
      <c r="BU46" s="3" t="s">
        <v>2825</v>
      </c>
      <c r="BV46" s="3" t="s">
        <v>75</v>
      </c>
      <c r="BW46" s="3" t="s">
        <v>3012</v>
      </c>
    </row>
    <row r="47" spans="1:75" x14ac:dyDescent="0.3">
      <c r="A47" s="16">
        <v>46017</v>
      </c>
      <c r="B47" s="16">
        <v>46017</v>
      </c>
      <c r="C47" s="3" t="s">
        <v>2489</v>
      </c>
      <c r="D47" s="3" t="s">
        <v>2490</v>
      </c>
      <c r="E47" s="3" t="s">
        <v>175</v>
      </c>
      <c r="F47" s="3" t="s">
        <v>2829</v>
      </c>
      <c r="G47" s="3" t="s">
        <v>2832</v>
      </c>
      <c r="H47" s="3" t="s">
        <v>2928</v>
      </c>
      <c r="I47" s="3" t="s">
        <v>2803</v>
      </c>
      <c r="J47" s="3" t="s">
        <v>2804</v>
      </c>
      <c r="K47" s="3" t="s">
        <v>101</v>
      </c>
      <c r="L47" s="3" t="s">
        <v>73</v>
      </c>
      <c r="M47" s="3" t="s">
        <v>73</v>
      </c>
      <c r="N47" s="3" t="s">
        <v>2827</v>
      </c>
      <c r="O47" s="3" t="s">
        <v>2828</v>
      </c>
      <c r="Q47" s="13">
        <v>1703</v>
      </c>
      <c r="R47" s="13">
        <v>877.84</v>
      </c>
      <c r="S47" s="13">
        <v>766.85</v>
      </c>
      <c r="T47" s="13">
        <v>0</v>
      </c>
      <c r="U47" s="13">
        <v>58.31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3" t="s">
        <v>2802</v>
      </c>
      <c r="AG47" s="3" t="s">
        <v>67</v>
      </c>
      <c r="AH47" s="3" t="s">
        <v>2807</v>
      </c>
      <c r="AI47" s="3" t="s">
        <v>104</v>
      </c>
      <c r="AV47" s="3" t="s">
        <v>2817</v>
      </c>
      <c r="AW47" s="3" t="s">
        <v>2808</v>
      </c>
      <c r="AX47" s="3" t="s">
        <v>112</v>
      </c>
      <c r="AY47" s="3" t="s">
        <v>2809</v>
      </c>
      <c r="AZ47" s="3" t="s">
        <v>2810</v>
      </c>
      <c r="BA47" s="3" t="s">
        <v>2802</v>
      </c>
      <c r="BB47" s="3" t="s">
        <v>2811</v>
      </c>
      <c r="BC47" s="3" t="s">
        <v>2812</v>
      </c>
      <c r="BD47" s="3" t="s">
        <v>2813</v>
      </c>
      <c r="BF47" s="3" t="s">
        <v>608</v>
      </c>
      <c r="BG47" s="3" t="s">
        <v>609</v>
      </c>
      <c r="BH47" s="16">
        <v>46020</v>
      </c>
      <c r="BI47" s="3" t="s">
        <v>2818</v>
      </c>
      <c r="BJ47" s="3" t="s">
        <v>2819</v>
      </c>
      <c r="BK47" s="3" t="s">
        <v>73</v>
      </c>
      <c r="BL47" s="3" t="s">
        <v>204</v>
      </c>
      <c r="BP47" s="3" t="s">
        <v>3054</v>
      </c>
      <c r="BR47" s="3" t="s">
        <v>3055</v>
      </c>
      <c r="BT47" s="16" t="s">
        <v>2815</v>
      </c>
      <c r="BU47" s="3" t="s">
        <v>2825</v>
      </c>
      <c r="BV47" s="3" t="s">
        <v>75</v>
      </c>
      <c r="BW47" s="3" t="s">
        <v>3041</v>
      </c>
    </row>
    <row r="48" spans="1:75" x14ac:dyDescent="0.3">
      <c r="A48" s="16">
        <v>46017</v>
      </c>
      <c r="B48" s="16">
        <v>46017</v>
      </c>
      <c r="C48" s="3" t="s">
        <v>1175</v>
      </c>
      <c r="D48" s="3" t="s">
        <v>1178</v>
      </c>
      <c r="E48" s="3" t="s">
        <v>73</v>
      </c>
      <c r="F48" s="3" t="s">
        <v>2802</v>
      </c>
      <c r="G48" s="3" t="s">
        <v>2820</v>
      </c>
      <c r="H48" s="3" t="s">
        <v>1193</v>
      </c>
      <c r="I48" s="3" t="s">
        <v>2803</v>
      </c>
      <c r="J48" s="3" t="s">
        <v>2804</v>
      </c>
      <c r="K48" s="3" t="s">
        <v>101</v>
      </c>
      <c r="L48" s="3" t="s">
        <v>73</v>
      </c>
      <c r="M48" s="3" t="s">
        <v>73</v>
      </c>
      <c r="N48" s="3" t="s">
        <v>2827</v>
      </c>
      <c r="O48" s="3" t="s">
        <v>2828</v>
      </c>
      <c r="Q48" s="13">
        <v>2000</v>
      </c>
      <c r="R48" s="13">
        <v>1755.68</v>
      </c>
      <c r="S48" s="13">
        <v>186.32</v>
      </c>
      <c r="T48" s="13">
        <v>0</v>
      </c>
      <c r="U48" s="13">
        <v>58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3" t="s">
        <v>2802</v>
      </c>
      <c r="AG48" s="3" t="s">
        <v>67</v>
      </c>
      <c r="AH48" s="3" t="s">
        <v>2822</v>
      </c>
      <c r="AI48" s="3" t="s">
        <v>536</v>
      </c>
      <c r="AV48" s="3" t="s">
        <v>2817</v>
      </c>
      <c r="AW48" s="3" t="s">
        <v>2808</v>
      </c>
      <c r="AX48" s="3" t="s">
        <v>1191</v>
      </c>
      <c r="AY48" s="3" t="s">
        <v>2809</v>
      </c>
      <c r="AZ48" s="3" t="s">
        <v>2810</v>
      </c>
      <c r="BA48" s="3" t="s">
        <v>2802</v>
      </c>
      <c r="BB48" s="3" t="s">
        <v>2811</v>
      </c>
      <c r="BC48" s="3" t="s">
        <v>2812</v>
      </c>
      <c r="BD48" s="3" t="s">
        <v>2813</v>
      </c>
      <c r="BF48" s="3" t="s">
        <v>154</v>
      </c>
      <c r="BG48" s="3" t="s">
        <v>155</v>
      </c>
      <c r="BH48" s="16">
        <v>46020</v>
      </c>
      <c r="BI48" s="3" t="s">
        <v>2818</v>
      </c>
      <c r="BJ48" s="3" t="s">
        <v>2819</v>
      </c>
      <c r="BK48" s="3" t="s">
        <v>73</v>
      </c>
      <c r="BL48" s="3" t="s">
        <v>204</v>
      </c>
      <c r="BP48" s="3" t="s">
        <v>3056</v>
      </c>
      <c r="BR48" s="3" t="s">
        <v>3057</v>
      </c>
      <c r="BT48" s="16" t="s">
        <v>2815</v>
      </c>
      <c r="BU48" s="3" t="s">
        <v>2825</v>
      </c>
      <c r="BV48" s="3" t="s">
        <v>75</v>
      </c>
      <c r="BW48" s="3" t="s">
        <v>3041</v>
      </c>
    </row>
    <row r="49" spans="1:75" x14ac:dyDescent="0.3">
      <c r="A49" s="16">
        <v>46017</v>
      </c>
      <c r="B49" s="16">
        <v>46017</v>
      </c>
      <c r="C49" s="3" t="s">
        <v>890</v>
      </c>
      <c r="D49" s="3" t="s">
        <v>893</v>
      </c>
      <c r="E49" s="3" t="s">
        <v>73</v>
      </c>
      <c r="F49" s="3" t="s">
        <v>2802</v>
      </c>
      <c r="G49" s="3" t="s">
        <v>1513</v>
      </c>
      <c r="H49" s="3" t="s">
        <v>903</v>
      </c>
      <c r="I49" s="3" t="s">
        <v>2803</v>
      </c>
      <c r="J49" s="3" t="s">
        <v>2804</v>
      </c>
      <c r="K49" s="3" t="s">
        <v>101</v>
      </c>
      <c r="L49" s="3" t="s">
        <v>73</v>
      </c>
      <c r="M49" s="3" t="s">
        <v>73</v>
      </c>
      <c r="N49" s="3" t="s">
        <v>2827</v>
      </c>
      <c r="O49" s="3" t="s">
        <v>2828</v>
      </c>
      <c r="Q49" s="13">
        <v>2526</v>
      </c>
      <c r="R49" s="13">
        <v>1133.58</v>
      </c>
      <c r="S49" s="13">
        <v>1150.28</v>
      </c>
      <c r="T49" s="13">
        <v>242.14000000000001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3" t="s">
        <v>2802</v>
      </c>
      <c r="AG49" s="3" t="s">
        <v>67</v>
      </c>
      <c r="AH49" s="3" t="s">
        <v>2822</v>
      </c>
      <c r="AI49" s="3" t="s">
        <v>536</v>
      </c>
      <c r="AV49" s="3" t="s">
        <v>2817</v>
      </c>
      <c r="AW49" s="3" t="s">
        <v>2808</v>
      </c>
      <c r="AX49" s="3" t="s">
        <v>536</v>
      </c>
      <c r="BC49" s="3" t="s">
        <v>2812</v>
      </c>
      <c r="BD49" s="3" t="s">
        <v>2813</v>
      </c>
      <c r="BF49" s="3" t="s">
        <v>154</v>
      </c>
      <c r="BG49" s="3" t="s">
        <v>155</v>
      </c>
      <c r="BH49" s="16">
        <v>46020</v>
      </c>
      <c r="BI49" s="3" t="s">
        <v>2818</v>
      </c>
      <c r="BJ49" s="3" t="s">
        <v>2819</v>
      </c>
      <c r="BK49" s="3" t="s">
        <v>73</v>
      </c>
      <c r="BL49" s="3" t="s">
        <v>204</v>
      </c>
      <c r="BP49" s="3" t="s">
        <v>2948</v>
      </c>
      <c r="BR49" s="3" t="s">
        <v>2949</v>
      </c>
      <c r="BT49" s="16" t="s">
        <v>2815</v>
      </c>
      <c r="BU49" s="3" t="s">
        <v>2825</v>
      </c>
      <c r="BV49" s="3" t="s">
        <v>75</v>
      </c>
      <c r="BW49" s="3" t="s">
        <v>3041</v>
      </c>
    </row>
    <row r="50" spans="1:75" x14ac:dyDescent="0.3">
      <c r="A50" s="16">
        <v>46017</v>
      </c>
      <c r="B50" s="16">
        <v>46017</v>
      </c>
      <c r="C50" s="3" t="s">
        <v>1044</v>
      </c>
      <c r="D50" s="3" t="s">
        <v>1045</v>
      </c>
      <c r="E50" s="3" t="s">
        <v>73</v>
      </c>
      <c r="F50" s="3" t="s">
        <v>2802</v>
      </c>
      <c r="G50" s="3" t="s">
        <v>2820</v>
      </c>
      <c r="H50" s="3" t="s">
        <v>1058</v>
      </c>
      <c r="I50" s="3" t="s">
        <v>2803</v>
      </c>
      <c r="J50" s="3" t="s">
        <v>2804</v>
      </c>
      <c r="K50" s="3" t="s">
        <v>2964</v>
      </c>
      <c r="L50" s="3" t="s">
        <v>73</v>
      </c>
      <c r="M50" s="3" t="s">
        <v>73</v>
      </c>
      <c r="N50" s="3" t="s">
        <v>2827</v>
      </c>
      <c r="O50" s="3" t="s">
        <v>2828</v>
      </c>
      <c r="Q50" s="13">
        <v>5572</v>
      </c>
      <c r="R50" s="13">
        <v>2633.52</v>
      </c>
      <c r="S50" s="13">
        <v>2300.56</v>
      </c>
      <c r="T50" s="13">
        <v>580</v>
      </c>
      <c r="U50" s="13">
        <v>57.92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3" t="s">
        <v>2802</v>
      </c>
      <c r="AG50" s="3" t="s">
        <v>67</v>
      </c>
      <c r="AH50" s="3" t="s">
        <v>2807</v>
      </c>
      <c r="AI50" s="3" t="s">
        <v>104</v>
      </c>
      <c r="AV50" s="3" t="s">
        <v>2817</v>
      </c>
      <c r="AW50" s="3" t="s">
        <v>2808</v>
      </c>
      <c r="AX50" s="3" t="s">
        <v>112</v>
      </c>
      <c r="BC50" s="3" t="s">
        <v>2812</v>
      </c>
      <c r="BD50" s="3" t="s">
        <v>2813</v>
      </c>
      <c r="BF50" s="3" t="s">
        <v>424</v>
      </c>
      <c r="BG50" s="3" t="s">
        <v>425</v>
      </c>
      <c r="BH50" s="16">
        <v>46017</v>
      </c>
      <c r="BI50" s="3" t="s">
        <v>2818</v>
      </c>
      <c r="BJ50" s="3" t="s">
        <v>2819</v>
      </c>
      <c r="BK50" s="3" t="s">
        <v>73</v>
      </c>
      <c r="BL50" s="3" t="s">
        <v>204</v>
      </c>
      <c r="BP50" s="3" t="s">
        <v>3058</v>
      </c>
      <c r="BR50" s="3" t="s">
        <v>3059</v>
      </c>
      <c r="BT50" s="16" t="s">
        <v>2815</v>
      </c>
      <c r="BU50" s="3" t="s">
        <v>2825</v>
      </c>
      <c r="BV50" s="3" t="s">
        <v>75</v>
      </c>
      <c r="BW50" s="3" t="s">
        <v>3012</v>
      </c>
    </row>
    <row r="51" spans="1:75" x14ac:dyDescent="0.3">
      <c r="A51" s="16">
        <v>46017</v>
      </c>
      <c r="B51" s="16">
        <v>46017</v>
      </c>
      <c r="C51" s="3" t="s">
        <v>2936</v>
      </c>
      <c r="D51" s="3" t="s">
        <v>2937</v>
      </c>
      <c r="E51" s="3" t="s">
        <v>73</v>
      </c>
      <c r="F51" s="3" t="s">
        <v>2802</v>
      </c>
      <c r="G51" s="3" t="s">
        <v>2832</v>
      </c>
      <c r="H51" s="3" t="s">
        <v>2942</v>
      </c>
      <c r="I51" s="3" t="s">
        <v>2803</v>
      </c>
      <c r="J51" s="3" t="s">
        <v>2804</v>
      </c>
      <c r="K51" s="3" t="s">
        <v>2964</v>
      </c>
      <c r="L51" s="3" t="s">
        <v>73</v>
      </c>
      <c r="M51" s="3" t="s">
        <v>73</v>
      </c>
      <c r="N51" s="3" t="s">
        <v>2827</v>
      </c>
      <c r="O51" s="3" t="s">
        <v>2828</v>
      </c>
      <c r="Q51" s="13">
        <v>6310</v>
      </c>
      <c r="R51" s="13">
        <v>4218.6099999999997</v>
      </c>
      <c r="S51" s="13">
        <v>2030</v>
      </c>
      <c r="T51" s="13">
        <v>0</v>
      </c>
      <c r="U51" s="13">
        <v>61.39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3" t="s">
        <v>2802</v>
      </c>
      <c r="AG51" s="3" t="s">
        <v>67</v>
      </c>
      <c r="AH51" s="3" t="s">
        <v>2807</v>
      </c>
      <c r="AI51" s="3" t="s">
        <v>104</v>
      </c>
      <c r="AV51" s="3" t="s">
        <v>3060</v>
      </c>
      <c r="AW51" s="3" t="s">
        <v>2808</v>
      </c>
      <c r="AX51" s="3" t="s">
        <v>2941</v>
      </c>
      <c r="AY51" s="3" t="s">
        <v>2809</v>
      </c>
      <c r="AZ51" s="3" t="s">
        <v>2810</v>
      </c>
      <c r="BA51" s="3" t="s">
        <v>2802</v>
      </c>
      <c r="BB51" s="3" t="s">
        <v>2811</v>
      </c>
      <c r="BC51" s="3" t="s">
        <v>2812</v>
      </c>
      <c r="BD51" s="3" t="s">
        <v>2813</v>
      </c>
      <c r="BF51" s="3" t="s">
        <v>608</v>
      </c>
      <c r="BG51" s="3" t="s">
        <v>609</v>
      </c>
      <c r="BH51" s="16">
        <v>46017</v>
      </c>
      <c r="BI51" s="3" t="s">
        <v>2814</v>
      </c>
      <c r="BJ51" s="3" t="s">
        <v>3061</v>
      </c>
      <c r="BK51" s="3" t="s">
        <v>2809</v>
      </c>
      <c r="BL51" s="3" t="s">
        <v>127</v>
      </c>
      <c r="BP51" s="3" t="s">
        <v>3062</v>
      </c>
      <c r="BR51" s="3" t="s">
        <v>3063</v>
      </c>
      <c r="BT51" s="16" t="s">
        <v>2815</v>
      </c>
      <c r="BU51" s="3" t="s">
        <v>2820</v>
      </c>
      <c r="BV51" s="3" t="s">
        <v>75</v>
      </c>
      <c r="BW51" s="3" t="s">
        <v>3012</v>
      </c>
    </row>
    <row r="52" spans="1:75" x14ac:dyDescent="0.3">
      <c r="A52" s="16">
        <v>46019</v>
      </c>
      <c r="B52" s="16">
        <v>46019</v>
      </c>
      <c r="C52" s="3" t="s">
        <v>2295</v>
      </c>
      <c r="D52" s="3" t="s">
        <v>2296</v>
      </c>
      <c r="E52" s="3" t="s">
        <v>73</v>
      </c>
      <c r="F52" s="3" t="s">
        <v>2802</v>
      </c>
      <c r="G52" s="3" t="s">
        <v>2834</v>
      </c>
      <c r="H52" s="3" t="s">
        <v>2308</v>
      </c>
      <c r="I52" s="3" t="s">
        <v>2803</v>
      </c>
      <c r="J52" s="3" t="s">
        <v>2804</v>
      </c>
      <c r="K52" s="3" t="s">
        <v>101</v>
      </c>
      <c r="L52" s="3" t="s">
        <v>73</v>
      </c>
      <c r="M52" s="3" t="s">
        <v>73</v>
      </c>
      <c r="N52" s="3" t="s">
        <v>2827</v>
      </c>
      <c r="O52" s="3" t="s">
        <v>2828</v>
      </c>
      <c r="Q52" s="13">
        <v>1702.69</v>
      </c>
      <c r="R52" s="13">
        <v>877.84</v>
      </c>
      <c r="S52" s="13">
        <v>766.85</v>
      </c>
      <c r="T52" s="13">
        <v>0</v>
      </c>
      <c r="U52" s="13">
        <v>58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3" t="s">
        <v>2802</v>
      </c>
      <c r="AG52" s="3" t="s">
        <v>67</v>
      </c>
      <c r="AH52" s="3" t="s">
        <v>3051</v>
      </c>
      <c r="AI52" s="3" t="s">
        <v>132</v>
      </c>
      <c r="AV52" s="3" t="s">
        <v>2817</v>
      </c>
      <c r="AW52" s="3" t="s">
        <v>2808</v>
      </c>
      <c r="AX52" s="3" t="s">
        <v>132</v>
      </c>
      <c r="BC52" s="3" t="s">
        <v>2812</v>
      </c>
      <c r="BD52" s="3" t="s">
        <v>2813</v>
      </c>
      <c r="BF52" s="3" t="s">
        <v>608</v>
      </c>
      <c r="BG52" s="3" t="s">
        <v>609</v>
      </c>
      <c r="BH52" s="16">
        <v>46020</v>
      </c>
      <c r="BI52" s="3" t="s">
        <v>2818</v>
      </c>
      <c r="BJ52" s="3" t="s">
        <v>2819</v>
      </c>
      <c r="BK52" s="3" t="s">
        <v>73</v>
      </c>
      <c r="BL52" s="3" t="s">
        <v>204</v>
      </c>
      <c r="BP52" s="3" t="s">
        <v>3064</v>
      </c>
      <c r="BR52" s="3" t="s">
        <v>3065</v>
      </c>
      <c r="BT52" s="16" t="s">
        <v>2815</v>
      </c>
      <c r="BU52" s="3" t="s">
        <v>2825</v>
      </c>
      <c r="BV52" s="3" t="s">
        <v>75</v>
      </c>
      <c r="BW52" s="3" t="s">
        <v>3041</v>
      </c>
    </row>
    <row r="53" spans="1:75" x14ac:dyDescent="0.3">
      <c r="A53" s="16">
        <v>46020</v>
      </c>
      <c r="B53" s="16">
        <v>46020</v>
      </c>
      <c r="C53" s="3" t="s">
        <v>768</v>
      </c>
      <c r="D53" s="3" t="s">
        <v>769</v>
      </c>
      <c r="E53" s="3" t="s">
        <v>73</v>
      </c>
      <c r="F53" s="3" t="s">
        <v>2802</v>
      </c>
      <c r="G53" s="3" t="s">
        <v>2834</v>
      </c>
      <c r="H53" s="3" t="s">
        <v>779</v>
      </c>
      <c r="I53" s="3" t="s">
        <v>2803</v>
      </c>
      <c r="J53" s="3" t="s">
        <v>2804</v>
      </c>
      <c r="K53" s="3" t="s">
        <v>101</v>
      </c>
      <c r="L53" s="3" t="s">
        <v>73</v>
      </c>
      <c r="M53" s="3" t="s">
        <v>73</v>
      </c>
      <c r="N53" s="3" t="s">
        <v>2827</v>
      </c>
      <c r="O53" s="3" t="s">
        <v>2828</v>
      </c>
      <c r="Q53" s="13">
        <v>500</v>
      </c>
      <c r="R53" s="13">
        <v>364.46</v>
      </c>
      <c r="S53" s="13">
        <v>0</v>
      </c>
      <c r="T53" s="13">
        <v>77.540000000000006</v>
      </c>
      <c r="U53" s="13">
        <v>58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3" t="s">
        <v>2802</v>
      </c>
      <c r="AG53" s="3" t="s">
        <v>67</v>
      </c>
      <c r="AH53" s="3" t="s">
        <v>3051</v>
      </c>
      <c r="AI53" s="3" t="s">
        <v>132</v>
      </c>
      <c r="AV53" s="3" t="s">
        <v>2817</v>
      </c>
      <c r="AW53" s="3" t="s">
        <v>2808</v>
      </c>
      <c r="AX53" s="3" t="s">
        <v>132</v>
      </c>
      <c r="BC53" s="3" t="s">
        <v>2812</v>
      </c>
      <c r="BD53" s="3" t="s">
        <v>2813</v>
      </c>
      <c r="BF53" s="3" t="s">
        <v>154</v>
      </c>
      <c r="BG53" s="3" t="s">
        <v>155</v>
      </c>
      <c r="BH53" s="16">
        <v>46021</v>
      </c>
      <c r="BI53" s="3" t="s">
        <v>2818</v>
      </c>
      <c r="BJ53" s="3" t="s">
        <v>2819</v>
      </c>
      <c r="BK53" s="3" t="s">
        <v>73</v>
      </c>
      <c r="BL53" s="3" t="s">
        <v>204</v>
      </c>
      <c r="BP53" s="3" t="s">
        <v>3066</v>
      </c>
      <c r="BR53" s="3" t="s">
        <v>3067</v>
      </c>
      <c r="BT53" s="16" t="s">
        <v>2815</v>
      </c>
      <c r="BU53" s="3" t="s">
        <v>2825</v>
      </c>
      <c r="BV53" s="3" t="s">
        <v>75</v>
      </c>
      <c r="BW53" s="3" t="s">
        <v>3044</v>
      </c>
    </row>
    <row r="54" spans="1:75" x14ac:dyDescent="0.3">
      <c r="A54" s="16">
        <v>46020</v>
      </c>
      <c r="B54" s="16">
        <v>46020</v>
      </c>
      <c r="C54" s="3" t="s">
        <v>380</v>
      </c>
      <c r="D54" s="3" t="s">
        <v>381</v>
      </c>
      <c r="E54" s="3" t="s">
        <v>73</v>
      </c>
      <c r="F54" s="3" t="s">
        <v>2802</v>
      </c>
      <c r="G54" s="3" t="s">
        <v>2825</v>
      </c>
      <c r="H54" s="3" t="s">
        <v>395</v>
      </c>
      <c r="I54" s="3" t="s">
        <v>2803</v>
      </c>
      <c r="J54" s="3" t="s">
        <v>2804</v>
      </c>
      <c r="K54" s="3" t="s">
        <v>101</v>
      </c>
      <c r="L54" s="3" t="s">
        <v>73</v>
      </c>
      <c r="M54" s="3" t="s">
        <v>73</v>
      </c>
      <c r="N54" s="3" t="s">
        <v>2827</v>
      </c>
      <c r="O54" s="3" t="s">
        <v>2828</v>
      </c>
      <c r="Q54" s="13">
        <v>500</v>
      </c>
      <c r="R54" s="13">
        <v>353.81</v>
      </c>
      <c r="S54" s="13">
        <v>146.19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3" t="s">
        <v>2802</v>
      </c>
      <c r="AG54" s="3" t="s">
        <v>67</v>
      </c>
      <c r="AH54" s="3" t="s">
        <v>3051</v>
      </c>
      <c r="AI54" s="3" t="s">
        <v>132</v>
      </c>
      <c r="AV54" s="3" t="s">
        <v>2817</v>
      </c>
      <c r="AW54" s="3" t="s">
        <v>2808</v>
      </c>
      <c r="AX54" s="3" t="s">
        <v>132</v>
      </c>
      <c r="AY54" s="3" t="s">
        <v>3068</v>
      </c>
      <c r="AZ54" s="3" t="s">
        <v>3069</v>
      </c>
      <c r="BA54" s="3" t="s">
        <v>2802</v>
      </c>
      <c r="BB54" s="3" t="s">
        <v>3070</v>
      </c>
      <c r="BC54" s="3" t="s">
        <v>2812</v>
      </c>
      <c r="BD54" s="3" t="s">
        <v>2813</v>
      </c>
      <c r="BF54" s="3" t="s">
        <v>154</v>
      </c>
      <c r="BG54" s="3" t="s">
        <v>155</v>
      </c>
      <c r="BH54" s="16">
        <v>46021</v>
      </c>
      <c r="BI54" s="3" t="s">
        <v>73</v>
      </c>
      <c r="BJ54" s="3" t="s">
        <v>2833</v>
      </c>
      <c r="BK54" s="3" t="s">
        <v>73</v>
      </c>
      <c r="BL54" s="3" t="s">
        <v>92</v>
      </c>
      <c r="BP54" s="3" t="s">
        <v>3071</v>
      </c>
      <c r="BR54" s="3" t="s">
        <v>3072</v>
      </c>
      <c r="BT54" s="16" t="s">
        <v>2815</v>
      </c>
      <c r="BU54" s="3" t="s">
        <v>2825</v>
      </c>
      <c r="BV54" s="3" t="s">
        <v>75</v>
      </c>
      <c r="BW54" s="3" t="s">
        <v>3044</v>
      </c>
    </row>
    <row r="55" spans="1:75" x14ac:dyDescent="0.3">
      <c r="A55" s="16">
        <v>46020</v>
      </c>
      <c r="B55" s="16">
        <v>46020</v>
      </c>
      <c r="C55" s="3" t="s">
        <v>1413</v>
      </c>
      <c r="D55" s="3" t="s">
        <v>1414</v>
      </c>
      <c r="E55" s="3" t="s">
        <v>73</v>
      </c>
      <c r="F55" s="3" t="s">
        <v>2802</v>
      </c>
      <c r="G55" s="3" t="s">
        <v>2820</v>
      </c>
      <c r="H55" s="3" t="s">
        <v>1425</v>
      </c>
      <c r="I55" s="3" t="s">
        <v>2803</v>
      </c>
      <c r="J55" s="3" t="s">
        <v>2804</v>
      </c>
      <c r="K55" s="3" t="s">
        <v>101</v>
      </c>
      <c r="L55" s="3" t="s">
        <v>73</v>
      </c>
      <c r="M55" s="3" t="s">
        <v>73</v>
      </c>
      <c r="N55" s="3" t="s">
        <v>2827</v>
      </c>
      <c r="O55" s="3" t="s">
        <v>2828</v>
      </c>
      <c r="Q55" s="13">
        <v>673.4</v>
      </c>
      <c r="R55" s="13">
        <v>438.92</v>
      </c>
      <c r="S55" s="13">
        <v>130.68</v>
      </c>
      <c r="T55" s="13">
        <v>45.800000000000004</v>
      </c>
      <c r="U55" s="13">
        <v>58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3" t="s">
        <v>2802</v>
      </c>
      <c r="AG55" s="3" t="s">
        <v>67</v>
      </c>
      <c r="AH55" s="3" t="s">
        <v>2816</v>
      </c>
      <c r="AI55" s="3" t="s">
        <v>189</v>
      </c>
      <c r="AV55" s="3" t="s">
        <v>2817</v>
      </c>
      <c r="AW55" s="3" t="s">
        <v>2808</v>
      </c>
      <c r="AX55" s="3" t="s">
        <v>189</v>
      </c>
      <c r="AY55" s="3" t="s">
        <v>2809</v>
      </c>
      <c r="AZ55" s="3" t="s">
        <v>2810</v>
      </c>
      <c r="BA55" s="3" t="s">
        <v>2802</v>
      </c>
      <c r="BB55" s="3" t="s">
        <v>2811</v>
      </c>
      <c r="BC55" s="3" t="s">
        <v>2812</v>
      </c>
      <c r="BD55" s="3" t="s">
        <v>2813</v>
      </c>
      <c r="BF55" s="3" t="s">
        <v>192</v>
      </c>
      <c r="BG55" s="3" t="s">
        <v>193</v>
      </c>
      <c r="BH55" s="16">
        <v>46021</v>
      </c>
      <c r="BI55" s="3" t="s">
        <v>2818</v>
      </c>
      <c r="BJ55" s="3" t="s">
        <v>2819</v>
      </c>
      <c r="BK55" s="3" t="s">
        <v>73</v>
      </c>
      <c r="BL55" s="3" t="s">
        <v>204</v>
      </c>
      <c r="BP55" s="3" t="s">
        <v>3073</v>
      </c>
      <c r="BR55" s="3" t="s">
        <v>3074</v>
      </c>
      <c r="BT55" s="16" t="s">
        <v>2815</v>
      </c>
      <c r="BU55" s="3" t="s">
        <v>2825</v>
      </c>
      <c r="BV55" s="3" t="s">
        <v>2831</v>
      </c>
      <c r="BW55" s="3" t="s">
        <v>3044</v>
      </c>
    </row>
    <row r="56" spans="1:75" x14ac:dyDescent="0.3">
      <c r="A56" s="16">
        <v>46020</v>
      </c>
      <c r="B56" s="16">
        <v>46020</v>
      </c>
      <c r="C56" s="3" t="s">
        <v>1882</v>
      </c>
      <c r="D56" s="3" t="s">
        <v>1883</v>
      </c>
      <c r="E56" s="3" t="s">
        <v>175</v>
      </c>
      <c r="F56" s="3" t="s">
        <v>2829</v>
      </c>
      <c r="G56" s="3" t="s">
        <v>1513</v>
      </c>
      <c r="H56" s="3" t="s">
        <v>1894</v>
      </c>
      <c r="I56" s="3" t="s">
        <v>2803</v>
      </c>
      <c r="J56" s="3" t="s">
        <v>2804</v>
      </c>
      <c r="K56" s="3" t="s">
        <v>101</v>
      </c>
      <c r="L56" s="3" t="s">
        <v>73</v>
      </c>
      <c r="M56" s="3" t="s">
        <v>175</v>
      </c>
      <c r="N56" s="3" t="s">
        <v>2805</v>
      </c>
      <c r="O56" s="3" t="s">
        <v>2806</v>
      </c>
      <c r="Q56" s="13">
        <v>797</v>
      </c>
      <c r="R56" s="13">
        <v>166.82</v>
      </c>
      <c r="S56" s="13">
        <v>211.77</v>
      </c>
      <c r="T56" s="13">
        <v>418.41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3" t="s">
        <v>2802</v>
      </c>
      <c r="AG56" s="3" t="s">
        <v>67</v>
      </c>
      <c r="AH56" s="3" t="s">
        <v>2816</v>
      </c>
      <c r="AI56" s="3" t="s">
        <v>189</v>
      </c>
      <c r="AV56" s="3" t="s">
        <v>2817</v>
      </c>
      <c r="AW56" s="3" t="s">
        <v>2808</v>
      </c>
      <c r="AX56" s="3" t="s">
        <v>260</v>
      </c>
      <c r="AY56" s="3" t="s">
        <v>2809</v>
      </c>
      <c r="AZ56" s="3" t="s">
        <v>2810</v>
      </c>
      <c r="BA56" s="3" t="s">
        <v>2802</v>
      </c>
      <c r="BB56" s="3" t="s">
        <v>2811</v>
      </c>
      <c r="BC56" s="3" t="s">
        <v>2812</v>
      </c>
      <c r="BD56" s="3" t="s">
        <v>2813</v>
      </c>
      <c r="BF56" s="3" t="s">
        <v>192</v>
      </c>
      <c r="BG56" s="3" t="s">
        <v>193</v>
      </c>
      <c r="BH56" s="16">
        <v>46021</v>
      </c>
      <c r="BI56" s="3" t="s">
        <v>2818</v>
      </c>
      <c r="BJ56" s="3" t="s">
        <v>2819</v>
      </c>
      <c r="BK56" s="3" t="s">
        <v>73</v>
      </c>
      <c r="BL56" s="3" t="s">
        <v>204</v>
      </c>
      <c r="BP56" s="3" t="s">
        <v>3022</v>
      </c>
      <c r="BR56" s="3" t="s">
        <v>3023</v>
      </c>
      <c r="BT56" s="16" t="s">
        <v>2815</v>
      </c>
      <c r="BU56" s="3" t="s">
        <v>3024</v>
      </c>
      <c r="BV56" s="3" t="s">
        <v>279</v>
      </c>
      <c r="BW56" s="3" t="s">
        <v>3075</v>
      </c>
    </row>
    <row r="57" spans="1:75" x14ac:dyDescent="0.3">
      <c r="A57" s="16">
        <v>46020</v>
      </c>
      <c r="B57" s="16">
        <v>46020</v>
      </c>
      <c r="C57" s="3" t="s">
        <v>1804</v>
      </c>
      <c r="D57" s="3" t="s">
        <v>1805</v>
      </c>
      <c r="E57" s="3" t="s">
        <v>175</v>
      </c>
      <c r="F57" s="3" t="s">
        <v>2829</v>
      </c>
      <c r="G57" s="3" t="s">
        <v>2830</v>
      </c>
      <c r="H57" s="3" t="s">
        <v>1816</v>
      </c>
      <c r="I57" s="3" t="s">
        <v>2803</v>
      </c>
      <c r="J57" s="3" t="s">
        <v>2804</v>
      </c>
      <c r="K57" s="3" t="s">
        <v>101</v>
      </c>
      <c r="L57" s="3" t="s">
        <v>73</v>
      </c>
      <c r="M57" s="3" t="s">
        <v>73</v>
      </c>
      <c r="N57" s="3" t="s">
        <v>2827</v>
      </c>
      <c r="O57" s="3" t="s">
        <v>2828</v>
      </c>
      <c r="Q57" s="13">
        <v>1042.6400000000001</v>
      </c>
      <c r="R57" s="13">
        <v>702.27</v>
      </c>
      <c r="S57" s="13">
        <v>282.37</v>
      </c>
      <c r="T57" s="13">
        <v>0</v>
      </c>
      <c r="U57" s="13">
        <v>58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3" t="s">
        <v>2802</v>
      </c>
      <c r="AG57" s="3" t="s">
        <v>67</v>
      </c>
      <c r="AH57" s="3" t="s">
        <v>2802</v>
      </c>
      <c r="AI57" s="3" t="s">
        <v>68</v>
      </c>
      <c r="AV57" s="3" t="s">
        <v>2817</v>
      </c>
      <c r="AW57" s="3" t="s">
        <v>2808</v>
      </c>
      <c r="AX57" s="3" t="s">
        <v>82</v>
      </c>
      <c r="AY57" s="3" t="s">
        <v>2809</v>
      </c>
      <c r="AZ57" s="3" t="s">
        <v>2810</v>
      </c>
      <c r="BA57" s="3" t="s">
        <v>2802</v>
      </c>
      <c r="BB57" s="3" t="s">
        <v>2811</v>
      </c>
      <c r="BC57" s="3" t="s">
        <v>2812</v>
      </c>
      <c r="BD57" s="3" t="s">
        <v>2813</v>
      </c>
      <c r="BF57" s="3" t="s">
        <v>608</v>
      </c>
      <c r="BG57" s="3" t="s">
        <v>609</v>
      </c>
      <c r="BH57" s="16">
        <v>46021</v>
      </c>
      <c r="BI57" s="3" t="s">
        <v>2818</v>
      </c>
      <c r="BJ57" s="3" t="s">
        <v>2819</v>
      </c>
      <c r="BK57" s="3" t="s">
        <v>73</v>
      </c>
      <c r="BL57" s="3" t="s">
        <v>204</v>
      </c>
      <c r="BP57" s="3" t="s">
        <v>3076</v>
      </c>
      <c r="BR57" s="3" t="s">
        <v>3077</v>
      </c>
      <c r="BS57" s="3" t="s">
        <v>3078</v>
      </c>
      <c r="BT57" s="16" t="s">
        <v>2815</v>
      </c>
      <c r="BU57" s="3" t="s">
        <v>2825</v>
      </c>
      <c r="BV57" s="3" t="s">
        <v>2831</v>
      </c>
      <c r="BW57" s="3" t="s">
        <v>3044</v>
      </c>
    </row>
    <row r="58" spans="1:75" x14ac:dyDescent="0.3">
      <c r="A58" s="16">
        <v>46020</v>
      </c>
      <c r="B58" s="16">
        <v>46020</v>
      </c>
      <c r="C58" s="3" t="s">
        <v>2071</v>
      </c>
      <c r="D58" s="3" t="s">
        <v>2072</v>
      </c>
      <c r="E58" s="3" t="s">
        <v>73</v>
      </c>
      <c r="F58" s="3" t="s">
        <v>2802</v>
      </c>
      <c r="G58" s="3" t="s">
        <v>1513</v>
      </c>
      <c r="H58" s="3" t="s">
        <v>2081</v>
      </c>
      <c r="I58" s="3" t="s">
        <v>2803</v>
      </c>
      <c r="J58" s="3" t="s">
        <v>2804</v>
      </c>
      <c r="K58" s="3" t="s">
        <v>101</v>
      </c>
      <c r="L58" s="3" t="s">
        <v>73</v>
      </c>
      <c r="M58" s="3" t="s">
        <v>175</v>
      </c>
      <c r="N58" s="3" t="s">
        <v>2805</v>
      </c>
      <c r="O58" s="3" t="s">
        <v>2806</v>
      </c>
      <c r="Q58" s="13">
        <v>3348</v>
      </c>
      <c r="R58" s="13">
        <v>1755.68</v>
      </c>
      <c r="S58" s="13">
        <v>1533.7</v>
      </c>
      <c r="T58" s="13">
        <v>0</v>
      </c>
      <c r="U58" s="13">
        <v>58.620000000000005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3" t="s">
        <v>2802</v>
      </c>
      <c r="AG58" s="3" t="s">
        <v>67</v>
      </c>
      <c r="AH58" s="3" t="s">
        <v>2816</v>
      </c>
      <c r="AI58" s="3" t="s">
        <v>189</v>
      </c>
      <c r="AV58" s="3" t="s">
        <v>2817</v>
      </c>
      <c r="AW58" s="3" t="s">
        <v>2808</v>
      </c>
      <c r="AX58" s="3" t="s">
        <v>260</v>
      </c>
      <c r="BC58" s="3" t="s">
        <v>2812</v>
      </c>
      <c r="BD58" s="3" t="s">
        <v>2813</v>
      </c>
      <c r="BF58" s="3" t="s">
        <v>608</v>
      </c>
      <c r="BG58" s="3" t="s">
        <v>609</v>
      </c>
      <c r="BH58" s="16">
        <v>46020</v>
      </c>
      <c r="BI58" s="3" t="s">
        <v>2818</v>
      </c>
      <c r="BJ58" s="3" t="s">
        <v>2819</v>
      </c>
      <c r="BK58" s="3" t="s">
        <v>73</v>
      </c>
      <c r="BL58" s="3" t="s">
        <v>204</v>
      </c>
      <c r="BP58" s="3" t="s">
        <v>3079</v>
      </c>
      <c r="BR58" s="3" t="s">
        <v>3080</v>
      </c>
      <c r="BT58" s="16" t="s">
        <v>2815</v>
      </c>
      <c r="BU58" s="3" t="s">
        <v>2825</v>
      </c>
      <c r="BV58" s="3" t="s">
        <v>75</v>
      </c>
      <c r="BW58" s="3" t="s">
        <v>3044</v>
      </c>
    </row>
    <row r="59" spans="1:75" x14ac:dyDescent="0.3">
      <c r="A59" s="16">
        <v>46020</v>
      </c>
      <c r="B59" s="16">
        <v>46020</v>
      </c>
      <c r="C59" s="3" t="s">
        <v>1922</v>
      </c>
      <c r="D59" s="3" t="s">
        <v>1923</v>
      </c>
      <c r="E59" s="3" t="s">
        <v>73</v>
      </c>
      <c r="F59" s="3" t="s">
        <v>2802</v>
      </c>
      <c r="G59" s="3" t="s">
        <v>2826</v>
      </c>
      <c r="H59" s="3" t="s">
        <v>1936</v>
      </c>
      <c r="I59" s="3" t="s">
        <v>2803</v>
      </c>
      <c r="J59" s="3" t="s">
        <v>2804</v>
      </c>
      <c r="K59" s="3" t="s">
        <v>101</v>
      </c>
      <c r="L59" s="3" t="s">
        <v>73</v>
      </c>
      <c r="M59" s="3" t="s">
        <v>175</v>
      </c>
      <c r="N59" s="3" t="s">
        <v>2805</v>
      </c>
      <c r="O59" s="3" t="s">
        <v>2806</v>
      </c>
      <c r="Q59" s="13">
        <v>12081.41</v>
      </c>
      <c r="R59" s="13">
        <v>5705.96</v>
      </c>
      <c r="S59" s="13">
        <v>6317.45</v>
      </c>
      <c r="T59" s="13">
        <v>0</v>
      </c>
      <c r="U59" s="13">
        <v>58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3" t="s">
        <v>2802</v>
      </c>
      <c r="AG59" s="3" t="s">
        <v>67</v>
      </c>
      <c r="AH59" s="3" t="s">
        <v>2802</v>
      </c>
      <c r="AI59" s="3" t="s">
        <v>68</v>
      </c>
      <c r="AV59" s="3" t="s">
        <v>2817</v>
      </c>
      <c r="AW59" s="3" t="s">
        <v>2808</v>
      </c>
      <c r="AX59" s="3" t="s">
        <v>82</v>
      </c>
      <c r="BC59" s="3" t="s">
        <v>2812</v>
      </c>
      <c r="BD59" s="3" t="s">
        <v>2813</v>
      </c>
      <c r="BF59" s="3" t="s">
        <v>608</v>
      </c>
      <c r="BG59" s="3" t="s">
        <v>609</v>
      </c>
      <c r="BH59" s="16">
        <v>46021</v>
      </c>
      <c r="BI59" s="3" t="s">
        <v>2818</v>
      </c>
      <c r="BJ59" s="3" t="s">
        <v>2819</v>
      </c>
      <c r="BK59" s="3" t="s">
        <v>73</v>
      </c>
      <c r="BL59" s="3" t="s">
        <v>204</v>
      </c>
      <c r="BP59" s="3" t="s">
        <v>3081</v>
      </c>
      <c r="BR59" s="3" t="s">
        <v>3082</v>
      </c>
      <c r="BT59" s="16" t="s">
        <v>2815</v>
      </c>
      <c r="BU59" s="3" t="s">
        <v>2825</v>
      </c>
      <c r="BV59" s="3" t="s">
        <v>75</v>
      </c>
      <c r="BW59" s="3" t="s">
        <v>3083</v>
      </c>
    </row>
    <row r="60" spans="1:75" x14ac:dyDescent="0.3">
      <c r="A60" s="16">
        <v>46020</v>
      </c>
      <c r="B60" s="16">
        <v>46020</v>
      </c>
      <c r="C60" s="3" t="s">
        <v>2281</v>
      </c>
      <c r="D60" s="3" t="s">
        <v>2282</v>
      </c>
      <c r="E60" s="3" t="s">
        <v>73</v>
      </c>
      <c r="F60" s="3" t="s">
        <v>2802</v>
      </c>
      <c r="G60" s="3" t="s">
        <v>2983</v>
      </c>
      <c r="H60" s="3" t="s">
        <v>2294</v>
      </c>
      <c r="I60" s="3" t="s">
        <v>2803</v>
      </c>
      <c r="J60" s="3" t="s">
        <v>2804</v>
      </c>
      <c r="K60" s="3" t="s">
        <v>101</v>
      </c>
      <c r="L60" s="3" t="s">
        <v>73</v>
      </c>
      <c r="M60" s="3" t="s">
        <v>73</v>
      </c>
      <c r="N60" s="3" t="s">
        <v>2827</v>
      </c>
      <c r="O60" s="3" t="s">
        <v>2828</v>
      </c>
      <c r="Q60" s="13">
        <v>21936</v>
      </c>
      <c r="R60" s="13">
        <v>6463.16</v>
      </c>
      <c r="S60" s="13">
        <v>15414.050000000001</v>
      </c>
      <c r="T60" s="13">
        <v>0</v>
      </c>
      <c r="U60" s="13">
        <v>58.79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3" t="s">
        <v>2802</v>
      </c>
      <c r="AG60" s="3" t="s">
        <v>67</v>
      </c>
      <c r="AH60" s="3" t="s">
        <v>3051</v>
      </c>
      <c r="AI60" s="3" t="s">
        <v>132</v>
      </c>
      <c r="AV60" s="3" t="s">
        <v>2817</v>
      </c>
      <c r="AW60" s="3" t="s">
        <v>2808</v>
      </c>
      <c r="AX60" s="3" t="s">
        <v>132</v>
      </c>
      <c r="BC60" s="3" t="s">
        <v>2812</v>
      </c>
      <c r="BD60" s="3" t="s">
        <v>2813</v>
      </c>
      <c r="BF60" s="3" t="s">
        <v>608</v>
      </c>
      <c r="BG60" s="3" t="s">
        <v>609</v>
      </c>
      <c r="BH60" s="16">
        <v>46021</v>
      </c>
      <c r="BI60" s="3" t="s">
        <v>73</v>
      </c>
      <c r="BJ60" s="3" t="s">
        <v>2833</v>
      </c>
      <c r="BK60" s="3" t="s">
        <v>2814</v>
      </c>
      <c r="BL60" s="3" t="s">
        <v>1130</v>
      </c>
      <c r="BP60" s="3" t="s">
        <v>3084</v>
      </c>
      <c r="BR60" s="3" t="s">
        <v>3085</v>
      </c>
      <c r="BT60" s="16" t="s">
        <v>2815</v>
      </c>
      <c r="BU60" s="3" t="s">
        <v>3024</v>
      </c>
      <c r="BV60" s="3" t="s">
        <v>75</v>
      </c>
      <c r="BW60" s="3" t="s">
        <v>3044</v>
      </c>
    </row>
    <row r="61" spans="1:75" x14ac:dyDescent="0.3">
      <c r="A61" s="16">
        <v>46021</v>
      </c>
      <c r="B61" s="16">
        <v>46021</v>
      </c>
      <c r="C61" s="3" t="s">
        <v>1937</v>
      </c>
      <c r="D61" s="3" t="s">
        <v>1938</v>
      </c>
      <c r="E61" s="3" t="s">
        <v>73</v>
      </c>
      <c r="F61" s="3" t="s">
        <v>2802</v>
      </c>
      <c r="G61" s="3" t="s">
        <v>2983</v>
      </c>
      <c r="H61" s="3" t="s">
        <v>1951</v>
      </c>
      <c r="I61" s="3" t="s">
        <v>2803</v>
      </c>
      <c r="J61" s="3" t="s">
        <v>2804</v>
      </c>
      <c r="K61" s="3" t="s">
        <v>101</v>
      </c>
      <c r="L61" s="3" t="s">
        <v>73</v>
      </c>
      <c r="M61" s="3" t="s">
        <v>175</v>
      </c>
      <c r="N61" s="3" t="s">
        <v>2805</v>
      </c>
      <c r="O61" s="3" t="s">
        <v>2806</v>
      </c>
      <c r="Q61" s="13">
        <v>920</v>
      </c>
      <c r="R61" s="13">
        <v>614.48</v>
      </c>
      <c r="S61" s="13">
        <v>247.07</v>
      </c>
      <c r="T61" s="13">
        <v>0</v>
      </c>
      <c r="U61" s="13">
        <v>58.45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3" t="s">
        <v>2802</v>
      </c>
      <c r="AG61" s="3" t="s">
        <v>67</v>
      </c>
      <c r="AH61" s="3" t="s">
        <v>2816</v>
      </c>
      <c r="AI61" s="3" t="s">
        <v>189</v>
      </c>
      <c r="AV61" s="3" t="s">
        <v>2817</v>
      </c>
      <c r="AW61" s="3" t="s">
        <v>2808</v>
      </c>
      <c r="AX61" s="3" t="s">
        <v>189</v>
      </c>
      <c r="AY61" s="3" t="s">
        <v>2809</v>
      </c>
      <c r="AZ61" s="3" t="s">
        <v>2810</v>
      </c>
      <c r="BA61" s="3" t="s">
        <v>2802</v>
      </c>
      <c r="BB61" s="3" t="s">
        <v>2811</v>
      </c>
      <c r="BC61" s="3" t="s">
        <v>2812</v>
      </c>
      <c r="BD61" s="3" t="s">
        <v>2813</v>
      </c>
      <c r="BF61" s="3" t="s">
        <v>608</v>
      </c>
      <c r="BG61" s="3" t="s">
        <v>609</v>
      </c>
      <c r="BH61" s="16">
        <v>46021</v>
      </c>
      <c r="BI61" s="3" t="s">
        <v>2818</v>
      </c>
      <c r="BJ61" s="3" t="s">
        <v>2819</v>
      </c>
      <c r="BK61" s="3" t="s">
        <v>73</v>
      </c>
      <c r="BL61" s="3" t="s">
        <v>204</v>
      </c>
      <c r="BP61" s="3" t="s">
        <v>3086</v>
      </c>
      <c r="BR61" s="3" t="s">
        <v>3087</v>
      </c>
      <c r="BT61" s="16" t="s">
        <v>2815</v>
      </c>
      <c r="BU61" s="3" t="s">
        <v>2825</v>
      </c>
      <c r="BV61" s="3" t="s">
        <v>2831</v>
      </c>
      <c r="BW61" s="3" t="s">
        <v>3083</v>
      </c>
    </row>
    <row r="62" spans="1:75" x14ac:dyDescent="0.3">
      <c r="A62" s="16">
        <v>46021</v>
      </c>
      <c r="B62" s="16">
        <v>46021</v>
      </c>
      <c r="C62" s="3" t="s">
        <v>2888</v>
      </c>
      <c r="D62" s="3" t="s">
        <v>2889</v>
      </c>
      <c r="E62" s="3" t="s">
        <v>175</v>
      </c>
      <c r="F62" s="3" t="s">
        <v>2829</v>
      </c>
      <c r="G62" s="3" t="s">
        <v>3045</v>
      </c>
      <c r="H62" s="3" t="s">
        <v>2898</v>
      </c>
      <c r="I62" s="3" t="s">
        <v>2803</v>
      </c>
      <c r="J62" s="3" t="s">
        <v>2804</v>
      </c>
      <c r="K62" s="3" t="s">
        <v>101</v>
      </c>
      <c r="L62" s="3" t="s">
        <v>73</v>
      </c>
      <c r="M62" s="3" t="s">
        <v>73</v>
      </c>
      <c r="N62" s="3" t="s">
        <v>2827</v>
      </c>
      <c r="O62" s="3" t="s">
        <v>2828</v>
      </c>
      <c r="Q62" s="13">
        <v>1165.72</v>
      </c>
      <c r="R62" s="13">
        <v>790.06000000000006</v>
      </c>
      <c r="S62" s="13">
        <v>317.66000000000003</v>
      </c>
      <c r="T62" s="13">
        <v>0</v>
      </c>
      <c r="U62" s="13">
        <v>58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3" t="s">
        <v>2802</v>
      </c>
      <c r="AG62" s="3" t="s">
        <v>67</v>
      </c>
      <c r="AH62" s="3" t="s">
        <v>2807</v>
      </c>
      <c r="AI62" s="3" t="s">
        <v>104</v>
      </c>
      <c r="AV62" s="3" t="s">
        <v>2817</v>
      </c>
      <c r="AW62" s="3" t="s">
        <v>2808</v>
      </c>
      <c r="AX62" s="3" t="s">
        <v>104</v>
      </c>
      <c r="AY62" s="3" t="s">
        <v>2809</v>
      </c>
      <c r="AZ62" s="3" t="s">
        <v>2810</v>
      </c>
      <c r="BA62" s="3" t="s">
        <v>2802</v>
      </c>
      <c r="BB62" s="3" t="s">
        <v>2811</v>
      </c>
      <c r="BC62" s="3" t="s">
        <v>2812</v>
      </c>
      <c r="BD62" s="3" t="s">
        <v>2813</v>
      </c>
      <c r="BF62" s="3" t="s">
        <v>608</v>
      </c>
      <c r="BG62" s="3" t="s">
        <v>609</v>
      </c>
      <c r="BH62" s="16">
        <v>46021</v>
      </c>
      <c r="BI62" s="3" t="s">
        <v>2818</v>
      </c>
      <c r="BJ62" s="3" t="s">
        <v>2819</v>
      </c>
      <c r="BK62" s="3" t="s">
        <v>73</v>
      </c>
      <c r="BL62" s="3" t="s">
        <v>204</v>
      </c>
      <c r="BP62" s="3" t="s">
        <v>3046</v>
      </c>
      <c r="BR62" s="3" t="s">
        <v>3047</v>
      </c>
      <c r="BT62" s="16" t="s">
        <v>2815</v>
      </c>
      <c r="BU62" s="3" t="s">
        <v>2825</v>
      </c>
      <c r="BV62" s="3" t="s">
        <v>2831</v>
      </c>
      <c r="BW62" s="3" t="s">
        <v>3088</v>
      </c>
    </row>
    <row r="63" spans="1:75" x14ac:dyDescent="0.3">
      <c r="A63" s="16">
        <v>46021</v>
      </c>
      <c r="B63" s="16">
        <v>46021</v>
      </c>
      <c r="C63" s="3" t="s">
        <v>2101</v>
      </c>
      <c r="D63" s="3" t="s">
        <v>2102</v>
      </c>
      <c r="E63" s="3" t="s">
        <v>175</v>
      </c>
      <c r="F63" s="3" t="s">
        <v>2829</v>
      </c>
      <c r="G63" s="3" t="s">
        <v>2821</v>
      </c>
      <c r="H63" s="3" t="s">
        <v>2112</v>
      </c>
      <c r="I63" s="3" t="s">
        <v>2803</v>
      </c>
      <c r="J63" s="3" t="s">
        <v>2804</v>
      </c>
      <c r="K63" s="3" t="s">
        <v>101</v>
      </c>
      <c r="L63" s="3" t="s">
        <v>73</v>
      </c>
      <c r="M63" s="3" t="s">
        <v>73</v>
      </c>
      <c r="N63" s="3" t="s">
        <v>2827</v>
      </c>
      <c r="O63" s="3" t="s">
        <v>2828</v>
      </c>
      <c r="Q63" s="13">
        <v>1535</v>
      </c>
      <c r="R63" s="13">
        <v>1053.4100000000001</v>
      </c>
      <c r="S63" s="13">
        <v>423.55</v>
      </c>
      <c r="T63" s="13">
        <v>0</v>
      </c>
      <c r="U63" s="13">
        <v>58.04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3" t="s">
        <v>2802</v>
      </c>
      <c r="AG63" s="3" t="s">
        <v>67</v>
      </c>
      <c r="AH63" s="3" t="s">
        <v>2816</v>
      </c>
      <c r="AI63" s="3" t="s">
        <v>189</v>
      </c>
      <c r="AV63" s="3" t="s">
        <v>2817</v>
      </c>
      <c r="AW63" s="3" t="s">
        <v>2808</v>
      </c>
      <c r="AX63" s="3" t="s">
        <v>289</v>
      </c>
      <c r="AY63" s="3" t="s">
        <v>2809</v>
      </c>
      <c r="AZ63" s="3" t="s">
        <v>2810</v>
      </c>
      <c r="BA63" s="3" t="s">
        <v>2802</v>
      </c>
      <c r="BB63" s="3" t="s">
        <v>2811</v>
      </c>
      <c r="BC63" s="3" t="s">
        <v>2812</v>
      </c>
      <c r="BD63" s="3" t="s">
        <v>2813</v>
      </c>
      <c r="BF63" s="3" t="s">
        <v>608</v>
      </c>
      <c r="BG63" s="3" t="s">
        <v>609</v>
      </c>
      <c r="BH63" s="16">
        <v>46022</v>
      </c>
      <c r="BI63" s="3" t="s">
        <v>2818</v>
      </c>
      <c r="BJ63" s="3" t="s">
        <v>2819</v>
      </c>
      <c r="BK63" s="3" t="s">
        <v>73</v>
      </c>
      <c r="BL63" s="3" t="s">
        <v>204</v>
      </c>
      <c r="BP63" s="3" t="s">
        <v>3089</v>
      </c>
      <c r="BR63" s="3" t="s">
        <v>3090</v>
      </c>
      <c r="BT63" s="16" t="s">
        <v>2815</v>
      </c>
      <c r="BU63" s="3" t="s">
        <v>2825</v>
      </c>
      <c r="BV63" s="3" t="s">
        <v>2831</v>
      </c>
      <c r="BW63" s="3" t="s">
        <v>3091</v>
      </c>
    </row>
    <row r="64" spans="1:75" x14ac:dyDescent="0.3">
      <c r="A64" s="16">
        <v>46021</v>
      </c>
      <c r="B64" s="16">
        <v>46021</v>
      </c>
      <c r="C64" s="3" t="s">
        <v>2101</v>
      </c>
      <c r="D64" s="3" t="s">
        <v>2102</v>
      </c>
      <c r="E64" s="3" t="s">
        <v>175</v>
      </c>
      <c r="F64" s="3" t="s">
        <v>2829</v>
      </c>
      <c r="G64" s="3" t="s">
        <v>2821</v>
      </c>
      <c r="H64" s="3" t="s">
        <v>2112</v>
      </c>
      <c r="I64" s="3" t="s">
        <v>2803</v>
      </c>
      <c r="J64" s="3" t="s">
        <v>2804</v>
      </c>
      <c r="K64" s="3" t="s">
        <v>101</v>
      </c>
      <c r="L64" s="3" t="s">
        <v>73</v>
      </c>
      <c r="M64" s="3" t="s">
        <v>73</v>
      </c>
      <c r="N64" s="3" t="s">
        <v>2827</v>
      </c>
      <c r="O64" s="3" t="s">
        <v>2828</v>
      </c>
      <c r="Q64" s="13">
        <v>1535</v>
      </c>
      <c r="R64" s="13">
        <v>1053.4100000000001</v>
      </c>
      <c r="S64" s="13">
        <v>423.56</v>
      </c>
      <c r="T64" s="13">
        <v>0</v>
      </c>
      <c r="U64" s="13">
        <v>58.03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3" t="s">
        <v>2802</v>
      </c>
      <c r="AG64" s="3" t="s">
        <v>67</v>
      </c>
      <c r="AH64" s="3" t="s">
        <v>2816</v>
      </c>
      <c r="AI64" s="3" t="s">
        <v>189</v>
      </c>
      <c r="AV64" s="3" t="s">
        <v>2817</v>
      </c>
      <c r="AW64" s="3" t="s">
        <v>2808</v>
      </c>
      <c r="AX64" s="3" t="s">
        <v>289</v>
      </c>
      <c r="AY64" s="3" t="s">
        <v>2809</v>
      </c>
      <c r="AZ64" s="3" t="s">
        <v>2810</v>
      </c>
      <c r="BA64" s="3" t="s">
        <v>2802</v>
      </c>
      <c r="BB64" s="3" t="s">
        <v>2811</v>
      </c>
      <c r="BC64" s="3" t="s">
        <v>2812</v>
      </c>
      <c r="BD64" s="3" t="s">
        <v>2813</v>
      </c>
      <c r="BF64" s="3" t="s">
        <v>608</v>
      </c>
      <c r="BG64" s="3" t="s">
        <v>609</v>
      </c>
      <c r="BH64" s="16">
        <v>46021</v>
      </c>
      <c r="BI64" s="3" t="s">
        <v>2818</v>
      </c>
      <c r="BJ64" s="3" t="s">
        <v>2819</v>
      </c>
      <c r="BK64" s="3" t="s">
        <v>73</v>
      </c>
      <c r="BL64" s="3" t="s">
        <v>204</v>
      </c>
      <c r="BP64" s="3" t="s">
        <v>3089</v>
      </c>
      <c r="BR64" s="3" t="s">
        <v>3090</v>
      </c>
      <c r="BT64" s="16" t="s">
        <v>2815</v>
      </c>
      <c r="BU64" s="3" t="s">
        <v>2825</v>
      </c>
      <c r="BV64" s="3" t="s">
        <v>2831</v>
      </c>
      <c r="BW64" s="3" t="s">
        <v>2988</v>
      </c>
    </row>
    <row r="65" spans="1:75" x14ac:dyDescent="0.3">
      <c r="A65" s="16">
        <v>46021</v>
      </c>
      <c r="B65" s="16">
        <v>46021</v>
      </c>
      <c r="C65" s="3" t="s">
        <v>1922</v>
      </c>
      <c r="D65" s="3" t="s">
        <v>1923</v>
      </c>
      <c r="E65" s="3" t="s">
        <v>73</v>
      </c>
      <c r="F65" s="3" t="s">
        <v>2802</v>
      </c>
      <c r="G65" s="3" t="s">
        <v>2826</v>
      </c>
      <c r="H65" s="3" t="s">
        <v>1936</v>
      </c>
      <c r="I65" s="3" t="s">
        <v>2803</v>
      </c>
      <c r="J65" s="3" t="s">
        <v>2804</v>
      </c>
      <c r="K65" s="3" t="s">
        <v>101</v>
      </c>
      <c r="L65" s="3" t="s">
        <v>73</v>
      </c>
      <c r="M65" s="3" t="s">
        <v>175</v>
      </c>
      <c r="N65" s="3" t="s">
        <v>2805</v>
      </c>
      <c r="O65" s="3" t="s">
        <v>2806</v>
      </c>
      <c r="Q65" s="13">
        <v>17787</v>
      </c>
      <c r="R65" s="13">
        <v>5705.96</v>
      </c>
      <c r="S65" s="13">
        <v>12023.04</v>
      </c>
      <c r="T65" s="13">
        <v>0</v>
      </c>
      <c r="U65" s="13">
        <v>58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3" t="s">
        <v>2802</v>
      </c>
      <c r="AG65" s="3" t="s">
        <v>67</v>
      </c>
      <c r="AH65" s="3" t="s">
        <v>2802</v>
      </c>
      <c r="AI65" s="3" t="s">
        <v>68</v>
      </c>
      <c r="AV65" s="3" t="s">
        <v>2817</v>
      </c>
      <c r="AW65" s="3" t="s">
        <v>2808</v>
      </c>
      <c r="AX65" s="3" t="s">
        <v>82</v>
      </c>
      <c r="BC65" s="3" t="s">
        <v>2812</v>
      </c>
      <c r="BD65" s="3" t="s">
        <v>2813</v>
      </c>
      <c r="BF65" s="3" t="s">
        <v>608</v>
      </c>
      <c r="BG65" s="3" t="s">
        <v>609</v>
      </c>
      <c r="BH65" s="16">
        <v>46021</v>
      </c>
      <c r="BI65" s="3" t="s">
        <v>2818</v>
      </c>
      <c r="BJ65" s="3" t="s">
        <v>2819</v>
      </c>
      <c r="BK65" s="3" t="s">
        <v>73</v>
      </c>
      <c r="BL65" s="3" t="s">
        <v>204</v>
      </c>
      <c r="BP65" s="3" t="s">
        <v>3081</v>
      </c>
      <c r="BR65" s="3" t="s">
        <v>3082</v>
      </c>
      <c r="BT65" s="16" t="s">
        <v>2815</v>
      </c>
      <c r="BU65" s="3" t="s">
        <v>2825</v>
      </c>
      <c r="BV65" s="3" t="s">
        <v>75</v>
      </c>
      <c r="BW65" s="3" t="s">
        <v>3083</v>
      </c>
    </row>
  </sheetData>
  <autoFilter ref="A3:CV24" xr:uid="{B79A853E-D668-4A62-8277-55B9D4630709}"/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FF137-D01C-48CF-B180-E9DFCDA538AB}">
  <sheetPr codeName="Hoja5">
    <tabColor rgb="FFFFFF00"/>
  </sheetPr>
  <dimension ref="A2:BQ216"/>
  <sheetViews>
    <sheetView workbookViewId="0">
      <selection activeCell="C5" sqref="C5"/>
    </sheetView>
  </sheetViews>
  <sheetFormatPr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22" t="s">
        <v>2902</v>
      </c>
      <c r="BP2" s="22" t="s">
        <v>2901</v>
      </c>
      <c r="BQ2" s="22" t="s">
        <v>2726</v>
      </c>
    </row>
    <row r="3" spans="1:69" x14ac:dyDescent="0.3">
      <c r="A3" s="3" t="s">
        <v>66</v>
      </c>
      <c r="B3" t="s">
        <v>67</v>
      </c>
      <c r="C3" t="s">
        <v>68</v>
      </c>
      <c r="D3" t="s">
        <v>69</v>
      </c>
      <c r="E3" t="s">
        <v>70</v>
      </c>
      <c r="F3" t="s">
        <v>71</v>
      </c>
      <c r="G3" t="s">
        <v>72</v>
      </c>
      <c r="H3" t="s">
        <v>73</v>
      </c>
      <c r="I3" t="s">
        <v>74</v>
      </c>
      <c r="J3" s="4">
        <v>45322</v>
      </c>
      <c r="K3" s="4">
        <v>45566</v>
      </c>
      <c r="L3" s="5">
        <v>15000.01</v>
      </c>
      <c r="M3" s="5">
        <v>15801.12</v>
      </c>
      <c r="N3">
        <v>567</v>
      </c>
      <c r="O3" t="s">
        <v>2728</v>
      </c>
      <c r="P3">
        <v>8</v>
      </c>
      <c r="Q3" t="s">
        <v>75</v>
      </c>
      <c r="R3">
        <v>3393.84</v>
      </c>
      <c r="S3">
        <v>464</v>
      </c>
      <c r="T3" s="5">
        <v>3480</v>
      </c>
      <c r="U3" s="5">
        <v>0</v>
      </c>
      <c r="V3">
        <v>5</v>
      </c>
      <c r="W3" s="5">
        <v>11656.93</v>
      </c>
      <c r="X3" s="5">
        <v>21254.720000000001</v>
      </c>
      <c r="Y3" s="5">
        <v>11656.93</v>
      </c>
      <c r="Z3" s="5">
        <v>5022.2700000000004</v>
      </c>
      <c r="AA3" s="5">
        <v>1095.52</v>
      </c>
      <c r="AB3" s="5">
        <v>3480</v>
      </c>
      <c r="AC3" s="5">
        <v>3400</v>
      </c>
      <c r="AD3" s="4">
        <v>45413</v>
      </c>
      <c r="AE3" t="s">
        <v>76</v>
      </c>
      <c r="AF3">
        <v>5551538204</v>
      </c>
      <c r="AI3" t="s">
        <v>77</v>
      </c>
      <c r="AJ3">
        <v>6215017</v>
      </c>
      <c r="AY3" s="5">
        <v>21254.720000000001</v>
      </c>
      <c r="AZ3" s="5">
        <v>0</v>
      </c>
      <c r="BA3">
        <v>1</v>
      </c>
      <c r="BB3" t="s">
        <v>78</v>
      </c>
      <c r="BC3" t="s">
        <v>79</v>
      </c>
      <c r="BD3" t="s">
        <v>80</v>
      </c>
      <c r="BE3" t="s">
        <v>81</v>
      </c>
      <c r="BF3" t="s">
        <v>82</v>
      </c>
      <c r="BH3" s="6" t="s">
        <v>83</v>
      </c>
      <c r="BK3">
        <v>19</v>
      </c>
      <c r="BL3">
        <v>19</v>
      </c>
      <c r="BM3" t="s">
        <v>84</v>
      </c>
      <c r="BN3" s="3" t="s">
        <v>85</v>
      </c>
      <c r="BO3" s="5">
        <v>11656.93</v>
      </c>
      <c r="BP3" s="5">
        <v>21254.720000000001</v>
      </c>
      <c r="BQ3" s="34">
        <v>1</v>
      </c>
    </row>
    <row r="4" spans="1:69" x14ac:dyDescent="0.3">
      <c r="A4" s="3" t="s">
        <v>86</v>
      </c>
      <c r="B4" t="s">
        <v>67</v>
      </c>
      <c r="C4" t="s">
        <v>68</v>
      </c>
      <c r="D4" t="s">
        <v>87</v>
      </c>
      <c r="E4" t="s">
        <v>88</v>
      </c>
      <c r="F4" t="s">
        <v>71</v>
      </c>
      <c r="G4" t="s">
        <v>72</v>
      </c>
      <c r="H4" t="s">
        <v>73</v>
      </c>
      <c r="I4" t="s">
        <v>89</v>
      </c>
      <c r="J4" s="4">
        <v>45142</v>
      </c>
      <c r="K4" s="4">
        <v>45508</v>
      </c>
      <c r="L4" s="5">
        <v>50000</v>
      </c>
      <c r="M4" s="5">
        <v>52670.39</v>
      </c>
      <c r="N4">
        <v>566</v>
      </c>
      <c r="O4" t="s">
        <v>2728</v>
      </c>
      <c r="P4">
        <v>12</v>
      </c>
      <c r="Q4" t="s">
        <v>75</v>
      </c>
      <c r="R4">
        <v>8403.93</v>
      </c>
      <c r="S4">
        <v>696</v>
      </c>
      <c r="T4" s="5">
        <v>1715.44</v>
      </c>
      <c r="U4" s="5">
        <v>0</v>
      </c>
      <c r="V4">
        <v>2.6</v>
      </c>
      <c r="W4" s="5">
        <v>18787.5</v>
      </c>
      <c r="X4" s="5">
        <v>24059.17</v>
      </c>
      <c r="Y4" s="5">
        <v>18787.48</v>
      </c>
      <c r="Z4" s="5">
        <v>2512.25</v>
      </c>
      <c r="AA4" s="5">
        <v>1044</v>
      </c>
      <c r="AB4" s="5">
        <v>1715.44</v>
      </c>
      <c r="AC4" s="5">
        <v>4200</v>
      </c>
      <c r="AD4" s="4">
        <v>45709</v>
      </c>
      <c r="AE4" t="s">
        <v>76</v>
      </c>
      <c r="AF4">
        <v>7443086818</v>
      </c>
      <c r="AG4" t="s">
        <v>90</v>
      </c>
      <c r="AI4" t="s">
        <v>91</v>
      </c>
      <c r="AJ4">
        <v>6122014</v>
      </c>
      <c r="AY4" s="5">
        <v>24059.19</v>
      </c>
      <c r="AZ4" s="5">
        <v>0</v>
      </c>
      <c r="BA4">
        <v>1</v>
      </c>
      <c r="BB4" t="s">
        <v>92</v>
      </c>
      <c r="BC4" t="s">
        <v>93</v>
      </c>
      <c r="BD4" t="s">
        <v>94</v>
      </c>
      <c r="BE4" t="s">
        <v>81</v>
      </c>
      <c r="BF4" t="s">
        <v>82</v>
      </c>
      <c r="BH4" s="6" t="s">
        <v>83</v>
      </c>
      <c r="BK4">
        <v>22</v>
      </c>
      <c r="BL4">
        <v>21</v>
      </c>
      <c r="BM4" t="s">
        <v>84</v>
      </c>
      <c r="BN4" s="3" t="s">
        <v>95</v>
      </c>
      <c r="BO4" s="5">
        <v>18787.5</v>
      </c>
      <c r="BP4" s="5">
        <v>24059.19</v>
      </c>
      <c r="BQ4" s="34">
        <v>0.99999916871681893</v>
      </c>
    </row>
    <row r="5" spans="1:69" x14ac:dyDescent="0.3">
      <c r="A5" s="3" t="s">
        <v>96</v>
      </c>
      <c r="B5" t="s">
        <v>67</v>
      </c>
      <c r="C5" t="s">
        <v>68</v>
      </c>
      <c r="D5" t="s">
        <v>87</v>
      </c>
      <c r="E5" t="s">
        <v>88</v>
      </c>
      <c r="F5" t="s">
        <v>71</v>
      </c>
      <c r="G5" t="s">
        <v>72</v>
      </c>
      <c r="H5" t="s">
        <v>73</v>
      </c>
      <c r="I5" t="s">
        <v>97</v>
      </c>
      <c r="J5" s="4">
        <v>45268</v>
      </c>
      <c r="K5" s="4">
        <v>45634</v>
      </c>
      <c r="L5" s="5">
        <v>40000</v>
      </c>
      <c r="M5" s="5">
        <v>42136.31</v>
      </c>
      <c r="N5">
        <v>560</v>
      </c>
      <c r="O5" t="s">
        <v>2728</v>
      </c>
      <c r="P5">
        <v>12</v>
      </c>
      <c r="Q5" t="s">
        <v>75</v>
      </c>
      <c r="R5">
        <v>7264.24</v>
      </c>
      <c r="S5">
        <v>696</v>
      </c>
      <c r="T5" s="5">
        <v>3480</v>
      </c>
      <c r="U5" s="5">
        <v>0</v>
      </c>
      <c r="V5">
        <v>6.8</v>
      </c>
      <c r="W5" s="5">
        <v>31607.599999999999</v>
      </c>
      <c r="X5" s="5">
        <v>53523.88</v>
      </c>
      <c r="Y5" s="5">
        <v>31607.599999999999</v>
      </c>
      <c r="Z5" s="5">
        <v>17392.28</v>
      </c>
      <c r="AA5" s="5">
        <v>1044</v>
      </c>
      <c r="AB5" s="5">
        <v>3480</v>
      </c>
      <c r="AC5" s="5">
        <v>1500</v>
      </c>
      <c r="AD5" s="4">
        <v>45549</v>
      </c>
      <c r="AE5" t="s">
        <v>76</v>
      </c>
      <c r="AF5">
        <v>7227163914</v>
      </c>
      <c r="AI5" t="s">
        <v>98</v>
      </c>
      <c r="AJ5">
        <v>2433019</v>
      </c>
      <c r="AY5" s="5">
        <v>53523.88</v>
      </c>
      <c r="AZ5" s="5">
        <v>0</v>
      </c>
      <c r="BA5">
        <v>1</v>
      </c>
      <c r="BB5" t="s">
        <v>78</v>
      </c>
      <c r="BC5" t="s">
        <v>99</v>
      </c>
      <c r="BD5" t="s">
        <v>100</v>
      </c>
      <c r="BE5" t="s">
        <v>81</v>
      </c>
      <c r="BF5" t="s">
        <v>82</v>
      </c>
      <c r="BH5" s="6" t="s">
        <v>83</v>
      </c>
      <c r="BK5">
        <v>21</v>
      </c>
      <c r="BL5">
        <v>21</v>
      </c>
      <c r="BM5" t="s">
        <v>101</v>
      </c>
      <c r="BN5" s="3" t="s">
        <v>102</v>
      </c>
      <c r="BO5" s="5">
        <v>31607.599999999999</v>
      </c>
      <c r="BP5" s="5">
        <v>53523.88</v>
      </c>
      <c r="BQ5" s="34">
        <v>1</v>
      </c>
    </row>
    <row r="6" spans="1:69" x14ac:dyDescent="0.3">
      <c r="A6" s="3" t="s">
        <v>103</v>
      </c>
      <c r="B6" t="s">
        <v>67</v>
      </c>
      <c r="C6" t="s">
        <v>104</v>
      </c>
      <c r="D6" t="s">
        <v>105</v>
      </c>
      <c r="E6" t="s">
        <v>106</v>
      </c>
      <c r="F6" t="s">
        <v>71</v>
      </c>
      <c r="G6" t="s">
        <v>72</v>
      </c>
      <c r="H6" t="s">
        <v>73</v>
      </c>
      <c r="I6" t="s">
        <v>107</v>
      </c>
      <c r="J6" s="4">
        <v>45194</v>
      </c>
      <c r="K6" s="4">
        <v>45560</v>
      </c>
      <c r="L6" s="5">
        <v>130000</v>
      </c>
      <c r="M6" s="5">
        <v>136943.01</v>
      </c>
      <c r="N6">
        <v>515</v>
      </c>
      <c r="O6" t="s">
        <v>2728</v>
      </c>
      <c r="P6">
        <v>12</v>
      </c>
      <c r="Q6" t="s">
        <v>75</v>
      </c>
      <c r="R6">
        <v>20230.48</v>
      </c>
      <c r="S6">
        <v>696</v>
      </c>
      <c r="T6" s="5">
        <v>580</v>
      </c>
      <c r="U6" s="5">
        <v>0</v>
      </c>
      <c r="V6">
        <v>2.1</v>
      </c>
      <c r="W6" s="5">
        <v>39682.01</v>
      </c>
      <c r="X6" s="5">
        <v>44562.42</v>
      </c>
      <c r="Y6" s="5">
        <v>39682</v>
      </c>
      <c r="Z6" s="5">
        <v>3488.42</v>
      </c>
      <c r="AA6" s="5">
        <v>812</v>
      </c>
      <c r="AB6" s="5">
        <v>580</v>
      </c>
      <c r="AC6" s="5">
        <v>5050</v>
      </c>
      <c r="AD6" s="4">
        <v>45555</v>
      </c>
      <c r="AE6" t="s">
        <v>76</v>
      </c>
      <c r="AF6">
        <v>7226478184</v>
      </c>
      <c r="AI6" t="s">
        <v>108</v>
      </c>
      <c r="AJ6">
        <v>6629010</v>
      </c>
      <c r="AY6" s="5">
        <v>42884.09</v>
      </c>
      <c r="AZ6" s="5">
        <v>0</v>
      </c>
      <c r="BA6">
        <v>3</v>
      </c>
      <c r="BB6" t="s">
        <v>109</v>
      </c>
      <c r="BC6" t="s">
        <v>110</v>
      </c>
      <c r="BD6" t="s">
        <v>111</v>
      </c>
      <c r="BE6" t="s">
        <v>81</v>
      </c>
      <c r="BF6" t="s">
        <v>112</v>
      </c>
      <c r="BH6" s="6" t="s">
        <v>83</v>
      </c>
      <c r="BK6">
        <v>26</v>
      </c>
      <c r="BL6">
        <v>26</v>
      </c>
      <c r="BM6" t="s">
        <v>101</v>
      </c>
      <c r="BN6" s="3" t="s">
        <v>113</v>
      </c>
      <c r="BO6" s="5">
        <v>39682.01</v>
      </c>
      <c r="BP6" s="5">
        <v>42884.09</v>
      </c>
      <c r="BQ6" s="34">
        <v>1.0391364256534299</v>
      </c>
    </row>
    <row r="7" spans="1:69" x14ac:dyDescent="0.3">
      <c r="A7" s="3" t="s">
        <v>114</v>
      </c>
      <c r="B7" t="s">
        <v>67</v>
      </c>
      <c r="C7" t="s">
        <v>68</v>
      </c>
      <c r="D7" t="s">
        <v>87</v>
      </c>
      <c r="E7" t="s">
        <v>88</v>
      </c>
      <c r="F7" t="s">
        <v>71</v>
      </c>
      <c r="G7" t="s">
        <v>72</v>
      </c>
      <c r="H7" t="s">
        <v>73</v>
      </c>
      <c r="I7" t="s">
        <v>115</v>
      </c>
      <c r="J7" s="4">
        <v>45322</v>
      </c>
      <c r="K7" s="4">
        <v>45566</v>
      </c>
      <c r="L7" s="5">
        <v>20000</v>
      </c>
      <c r="M7" s="5">
        <v>21068.16</v>
      </c>
      <c r="N7">
        <v>508</v>
      </c>
      <c r="O7" t="s">
        <v>2728</v>
      </c>
      <c r="P7">
        <v>8</v>
      </c>
      <c r="Q7" t="s">
        <v>75</v>
      </c>
      <c r="R7">
        <v>4505.78</v>
      </c>
      <c r="S7">
        <v>464</v>
      </c>
      <c r="T7" s="5">
        <v>2320</v>
      </c>
      <c r="U7" s="5">
        <v>0</v>
      </c>
      <c r="V7">
        <v>3</v>
      </c>
      <c r="W7" s="5">
        <v>10454.49</v>
      </c>
      <c r="X7" s="5">
        <v>16646.25</v>
      </c>
      <c r="Y7" s="5">
        <v>10454.51</v>
      </c>
      <c r="Z7" s="5">
        <v>2888.83</v>
      </c>
      <c r="AA7" s="5">
        <v>982.91</v>
      </c>
      <c r="AB7" s="5">
        <v>2320</v>
      </c>
      <c r="AC7" s="5">
        <v>4520</v>
      </c>
      <c r="AD7" s="4">
        <v>45498</v>
      </c>
      <c r="AE7" t="s">
        <v>76</v>
      </c>
      <c r="AF7">
        <v>7224419211</v>
      </c>
      <c r="AI7" t="s">
        <v>77</v>
      </c>
      <c r="AJ7">
        <v>6215017</v>
      </c>
      <c r="AK7" t="s">
        <v>116</v>
      </c>
      <c r="AL7" t="s">
        <v>117</v>
      </c>
      <c r="AY7" s="5">
        <v>16646.23</v>
      </c>
      <c r="AZ7" s="5">
        <v>0</v>
      </c>
      <c r="BA7">
        <v>1</v>
      </c>
      <c r="BB7" t="s">
        <v>78</v>
      </c>
      <c r="BC7" t="s">
        <v>118</v>
      </c>
      <c r="BD7" t="s">
        <v>119</v>
      </c>
      <c r="BE7" t="s">
        <v>81</v>
      </c>
      <c r="BF7" t="s">
        <v>82</v>
      </c>
      <c r="BH7" s="6" t="s">
        <v>83</v>
      </c>
      <c r="BK7">
        <v>20</v>
      </c>
      <c r="BL7">
        <v>20</v>
      </c>
      <c r="BM7" t="s">
        <v>84</v>
      </c>
      <c r="BN7" s="3" t="s">
        <v>120</v>
      </c>
      <c r="BO7" s="5">
        <v>10454.49</v>
      </c>
      <c r="BP7" s="5">
        <v>16646.23</v>
      </c>
      <c r="BQ7" s="34">
        <v>1.000001201473246</v>
      </c>
    </row>
    <row r="8" spans="1:69" x14ac:dyDescent="0.3">
      <c r="A8" s="3" t="s">
        <v>121</v>
      </c>
      <c r="B8" t="s">
        <v>67</v>
      </c>
      <c r="C8" t="s">
        <v>104</v>
      </c>
      <c r="D8" t="s">
        <v>122</v>
      </c>
      <c r="E8" t="s">
        <v>123</v>
      </c>
      <c r="F8" t="s">
        <v>71</v>
      </c>
      <c r="G8" t="s">
        <v>72</v>
      </c>
      <c r="H8" t="s">
        <v>73</v>
      </c>
      <c r="I8" t="s">
        <v>124</v>
      </c>
      <c r="J8" s="4">
        <v>45492</v>
      </c>
      <c r="K8" s="4">
        <v>45676</v>
      </c>
      <c r="L8" s="5">
        <v>15000</v>
      </c>
      <c r="M8" s="5">
        <v>15000</v>
      </c>
      <c r="N8">
        <v>490</v>
      </c>
      <c r="O8" t="s">
        <v>2728</v>
      </c>
      <c r="P8">
        <v>6</v>
      </c>
      <c r="Q8" t="s">
        <v>75</v>
      </c>
      <c r="R8">
        <v>2876.97</v>
      </c>
      <c r="S8">
        <v>0</v>
      </c>
      <c r="T8" s="5">
        <v>0</v>
      </c>
      <c r="U8" s="5">
        <v>0</v>
      </c>
      <c r="V8">
        <v>6</v>
      </c>
      <c r="W8" s="5">
        <v>15000</v>
      </c>
      <c r="X8" s="5">
        <v>17261.82</v>
      </c>
      <c r="Y8" s="5">
        <v>14999.99</v>
      </c>
      <c r="Z8" s="5">
        <v>2261.83</v>
      </c>
      <c r="AA8" s="5">
        <v>0</v>
      </c>
      <c r="AB8" s="5">
        <v>0</v>
      </c>
      <c r="AC8" s="5"/>
      <c r="AD8" s="4"/>
      <c r="AE8" t="s">
        <v>76</v>
      </c>
      <c r="AF8">
        <v>7226072677</v>
      </c>
      <c r="AG8" t="s">
        <v>125</v>
      </c>
      <c r="AI8" t="s">
        <v>126</v>
      </c>
      <c r="AJ8">
        <v>9501009</v>
      </c>
      <c r="AY8" s="5">
        <v>17261.830000000002</v>
      </c>
      <c r="AZ8" s="5">
        <v>0</v>
      </c>
      <c r="BA8">
        <v>1</v>
      </c>
      <c r="BB8" t="s">
        <v>127</v>
      </c>
      <c r="BC8" t="s">
        <v>128</v>
      </c>
      <c r="BD8" t="s">
        <v>129</v>
      </c>
      <c r="BE8" t="s">
        <v>81</v>
      </c>
      <c r="BF8" t="s">
        <v>112</v>
      </c>
      <c r="BH8" s="6" t="s">
        <v>83</v>
      </c>
      <c r="BK8">
        <v>17</v>
      </c>
      <c r="BL8">
        <v>17</v>
      </c>
      <c r="BM8" t="s">
        <v>84</v>
      </c>
      <c r="BN8" s="3" t="s">
        <v>130</v>
      </c>
      <c r="BO8" s="5">
        <v>15000</v>
      </c>
      <c r="BP8" s="5">
        <v>17261.830000000002</v>
      </c>
      <c r="BQ8" s="34">
        <v>0.99999942068714598</v>
      </c>
    </row>
    <row r="9" spans="1:69" x14ac:dyDescent="0.3">
      <c r="A9" s="3" t="s">
        <v>131</v>
      </c>
      <c r="B9" t="s">
        <v>67</v>
      </c>
      <c r="C9" t="s">
        <v>132</v>
      </c>
      <c r="D9" t="s">
        <v>133</v>
      </c>
      <c r="E9" t="s">
        <v>134</v>
      </c>
      <c r="F9" t="s">
        <v>71</v>
      </c>
      <c r="G9" t="s">
        <v>72</v>
      </c>
      <c r="H9" t="s">
        <v>73</v>
      </c>
      <c r="I9" t="s">
        <v>135</v>
      </c>
      <c r="J9" s="4">
        <v>45436</v>
      </c>
      <c r="K9" s="4">
        <v>45801</v>
      </c>
      <c r="L9" s="5">
        <v>25000</v>
      </c>
      <c r="M9" s="5">
        <v>26335.19</v>
      </c>
      <c r="N9">
        <v>363</v>
      </c>
      <c r="O9" t="s">
        <v>2728</v>
      </c>
      <c r="P9">
        <v>12</v>
      </c>
      <c r="Q9" t="s">
        <v>75</v>
      </c>
      <c r="R9">
        <v>4230.97</v>
      </c>
      <c r="S9">
        <v>696</v>
      </c>
      <c r="T9" s="5">
        <v>3898.82</v>
      </c>
      <c r="U9" s="5">
        <v>0</v>
      </c>
      <c r="V9">
        <v>6</v>
      </c>
      <c r="W9" s="5">
        <v>17352.87</v>
      </c>
      <c r="X9" s="5">
        <v>29574.639999999999</v>
      </c>
      <c r="Y9" s="5">
        <v>17352.87</v>
      </c>
      <c r="Z9" s="5">
        <v>7684.95</v>
      </c>
      <c r="AA9" s="5">
        <v>638</v>
      </c>
      <c r="AB9" s="5">
        <v>3898.82</v>
      </c>
      <c r="AC9" s="5">
        <v>2250</v>
      </c>
      <c r="AD9" s="4">
        <v>45656</v>
      </c>
      <c r="AE9" t="s">
        <v>76</v>
      </c>
      <c r="AF9">
        <v>4471660443</v>
      </c>
      <c r="AG9" t="s">
        <v>136</v>
      </c>
      <c r="AI9" t="s">
        <v>137</v>
      </c>
      <c r="AJ9">
        <v>6322010</v>
      </c>
      <c r="AM9" t="s">
        <v>138</v>
      </c>
      <c r="AN9" t="s">
        <v>139</v>
      </c>
      <c r="AO9" t="s">
        <v>140</v>
      </c>
      <c r="AP9" t="s">
        <v>141</v>
      </c>
      <c r="AQ9" t="s">
        <v>142</v>
      </c>
      <c r="AR9" t="s">
        <v>143</v>
      </c>
      <c r="AS9" t="s">
        <v>144</v>
      </c>
      <c r="AT9" t="s">
        <v>145</v>
      </c>
      <c r="AU9" t="s">
        <v>146</v>
      </c>
      <c r="AY9" s="5">
        <v>29574.639999999999</v>
      </c>
      <c r="AZ9" s="5">
        <v>0</v>
      </c>
      <c r="BA9">
        <v>1</v>
      </c>
      <c r="BB9" t="s">
        <v>92</v>
      </c>
      <c r="BC9" t="s">
        <v>147</v>
      </c>
      <c r="BD9" t="s">
        <v>148</v>
      </c>
      <c r="BE9" t="s">
        <v>149</v>
      </c>
      <c r="BF9" t="s">
        <v>132</v>
      </c>
      <c r="BH9" s="6" t="s">
        <v>83</v>
      </c>
      <c r="BK9">
        <v>17</v>
      </c>
      <c r="BL9">
        <v>17</v>
      </c>
      <c r="BM9" t="s">
        <v>101</v>
      </c>
      <c r="BN9" s="3" t="s">
        <v>150</v>
      </c>
      <c r="BO9" s="5">
        <v>17352.87</v>
      </c>
      <c r="BP9" s="5">
        <v>29574.639999999999</v>
      </c>
      <c r="BQ9" s="34">
        <v>1</v>
      </c>
    </row>
    <row r="10" spans="1:69" x14ac:dyDescent="0.3">
      <c r="A10" s="3" t="s">
        <v>170</v>
      </c>
      <c r="B10" t="s">
        <v>67</v>
      </c>
      <c r="C10" t="s">
        <v>68</v>
      </c>
      <c r="D10" t="s">
        <v>171</v>
      </c>
      <c r="E10" t="s">
        <v>172</v>
      </c>
      <c r="F10" t="s">
        <v>173</v>
      </c>
      <c r="G10" t="s">
        <v>174</v>
      </c>
      <c r="H10" t="s">
        <v>175</v>
      </c>
      <c r="I10" t="s">
        <v>176</v>
      </c>
      <c r="J10" s="4">
        <v>45492</v>
      </c>
      <c r="K10" s="4">
        <v>45857</v>
      </c>
      <c r="L10" s="5">
        <v>40000</v>
      </c>
      <c r="M10" s="5">
        <v>42136.31</v>
      </c>
      <c r="N10">
        <v>278</v>
      </c>
      <c r="O10" t="s">
        <v>2728</v>
      </c>
      <c r="P10">
        <v>12</v>
      </c>
      <c r="Q10" t="s">
        <v>75</v>
      </c>
      <c r="R10">
        <v>6476.17</v>
      </c>
      <c r="S10">
        <v>696</v>
      </c>
      <c r="T10" s="5">
        <v>2900</v>
      </c>
      <c r="U10" s="5">
        <v>0</v>
      </c>
      <c r="V10">
        <v>4.9000000000000004</v>
      </c>
      <c r="W10" s="5">
        <v>23860.74</v>
      </c>
      <c r="X10" s="5">
        <v>34785.040000000001</v>
      </c>
      <c r="Y10" s="5">
        <v>23860.73</v>
      </c>
      <c r="Z10" s="5">
        <v>7502.31</v>
      </c>
      <c r="AA10" s="5">
        <v>522</v>
      </c>
      <c r="AB10" s="5">
        <v>2900</v>
      </c>
      <c r="AC10" s="5">
        <v>1000</v>
      </c>
      <c r="AD10" s="4">
        <v>45771</v>
      </c>
      <c r="AE10" t="s">
        <v>76</v>
      </c>
      <c r="AF10">
        <v>7222671821</v>
      </c>
      <c r="AG10" t="s">
        <v>177</v>
      </c>
      <c r="AI10" t="s">
        <v>158</v>
      </c>
      <c r="AJ10">
        <v>8711021</v>
      </c>
      <c r="AK10" t="s">
        <v>178</v>
      </c>
      <c r="AL10" t="s">
        <v>179</v>
      </c>
      <c r="AM10" t="s">
        <v>180</v>
      </c>
      <c r="AN10" t="s">
        <v>181</v>
      </c>
      <c r="AO10" t="s">
        <v>182</v>
      </c>
      <c r="AP10" t="s">
        <v>183</v>
      </c>
      <c r="AQ10" t="s">
        <v>184</v>
      </c>
      <c r="AR10" t="s">
        <v>185</v>
      </c>
      <c r="AY10" s="5">
        <v>34785.050000000003</v>
      </c>
      <c r="AZ10" s="5">
        <v>0</v>
      </c>
      <c r="BA10">
        <v>1</v>
      </c>
      <c r="BB10" t="s">
        <v>78</v>
      </c>
      <c r="BC10" t="s">
        <v>186</v>
      </c>
      <c r="BD10" t="s">
        <v>80</v>
      </c>
      <c r="BE10" t="s">
        <v>81</v>
      </c>
      <c r="BF10" t="s">
        <v>82</v>
      </c>
      <c r="BH10" s="6" t="s">
        <v>83</v>
      </c>
      <c r="BK10">
        <v>17</v>
      </c>
      <c r="BL10">
        <v>17</v>
      </c>
      <c r="BM10" t="s">
        <v>101</v>
      </c>
      <c r="BN10" s="3" t="s">
        <v>187</v>
      </c>
      <c r="BO10" s="5">
        <v>23860.74</v>
      </c>
      <c r="BP10" s="5">
        <v>34785.050000000003</v>
      </c>
      <c r="BQ10" s="34">
        <v>0.99999971252017739</v>
      </c>
    </row>
    <row r="11" spans="1:69" x14ac:dyDescent="0.3">
      <c r="A11" s="3" t="s">
        <v>151</v>
      </c>
      <c r="B11" t="s">
        <v>67</v>
      </c>
      <c r="C11" t="s">
        <v>132</v>
      </c>
      <c r="D11" t="s">
        <v>152</v>
      </c>
      <c r="E11" t="s">
        <v>153</v>
      </c>
      <c r="F11" t="s">
        <v>154</v>
      </c>
      <c r="G11" t="s">
        <v>155</v>
      </c>
      <c r="H11" t="s">
        <v>73</v>
      </c>
      <c r="I11" t="s">
        <v>156</v>
      </c>
      <c r="J11" s="4">
        <v>45453</v>
      </c>
      <c r="K11" s="4">
        <v>45827</v>
      </c>
      <c r="L11" s="5">
        <v>60000</v>
      </c>
      <c r="M11" s="5">
        <v>63204.47</v>
      </c>
      <c r="N11">
        <v>278</v>
      </c>
      <c r="O11" t="s">
        <v>2728</v>
      </c>
      <c r="P11">
        <v>12</v>
      </c>
      <c r="Q11" t="s">
        <v>75</v>
      </c>
      <c r="R11">
        <v>10073.120000000001</v>
      </c>
      <c r="S11">
        <v>696</v>
      </c>
      <c r="T11" s="5">
        <v>1740</v>
      </c>
      <c r="U11" s="5">
        <v>0</v>
      </c>
      <c r="V11">
        <v>3.3</v>
      </c>
      <c r="W11" s="5">
        <v>27412.04</v>
      </c>
      <c r="X11" s="5">
        <v>35498.44</v>
      </c>
      <c r="Y11" s="5">
        <v>27412.04</v>
      </c>
      <c r="Z11" s="5">
        <v>5824.4000000000005</v>
      </c>
      <c r="AA11" s="5">
        <v>522</v>
      </c>
      <c r="AB11" s="5">
        <v>1740</v>
      </c>
      <c r="AC11" s="5">
        <v>500</v>
      </c>
      <c r="AD11" s="4">
        <v>45995</v>
      </c>
      <c r="AE11" t="s">
        <v>76</v>
      </c>
      <c r="AF11">
        <v>4476902875</v>
      </c>
      <c r="AG11" t="s">
        <v>157</v>
      </c>
      <c r="AI11" t="s">
        <v>158</v>
      </c>
      <c r="AJ11">
        <v>8711021</v>
      </c>
      <c r="AM11" t="s">
        <v>159</v>
      </c>
      <c r="AN11" t="s">
        <v>160</v>
      </c>
      <c r="AO11" t="s">
        <v>161</v>
      </c>
      <c r="AP11" t="s">
        <v>162</v>
      </c>
      <c r="AQ11" t="s">
        <v>163</v>
      </c>
      <c r="AR11" t="s">
        <v>164</v>
      </c>
      <c r="AS11" t="s">
        <v>144</v>
      </c>
      <c r="AT11" t="s">
        <v>165</v>
      </c>
      <c r="AU11" t="s">
        <v>166</v>
      </c>
      <c r="AY11" s="5">
        <v>35498.44</v>
      </c>
      <c r="AZ11" s="5">
        <v>0</v>
      </c>
      <c r="BA11">
        <v>1</v>
      </c>
      <c r="BB11" t="s">
        <v>92</v>
      </c>
      <c r="BC11" t="s">
        <v>167</v>
      </c>
      <c r="BD11" t="s">
        <v>168</v>
      </c>
      <c r="BE11" t="s">
        <v>149</v>
      </c>
      <c r="BF11" t="s">
        <v>132</v>
      </c>
      <c r="BH11" s="6" t="s">
        <v>83</v>
      </c>
      <c r="BK11">
        <v>18</v>
      </c>
      <c r="BL11">
        <v>18</v>
      </c>
      <c r="BM11" t="s">
        <v>101</v>
      </c>
      <c r="BN11" s="3" t="s">
        <v>169</v>
      </c>
      <c r="BO11" s="5">
        <v>27412.04</v>
      </c>
      <c r="BP11" s="5">
        <v>35498.44</v>
      </c>
      <c r="BQ11" s="34">
        <v>1</v>
      </c>
    </row>
    <row r="12" spans="1:69" x14ac:dyDescent="0.3">
      <c r="A12" s="3" t="s">
        <v>188</v>
      </c>
      <c r="B12" t="s">
        <v>67</v>
      </c>
      <c r="C12" t="s">
        <v>189</v>
      </c>
      <c r="D12" t="s">
        <v>190</v>
      </c>
      <c r="E12" t="s">
        <v>191</v>
      </c>
      <c r="F12" t="s">
        <v>192</v>
      </c>
      <c r="G12" t="s">
        <v>193</v>
      </c>
      <c r="H12" t="s">
        <v>73</v>
      </c>
      <c r="I12" t="s">
        <v>194</v>
      </c>
      <c r="J12" s="4">
        <v>45761</v>
      </c>
      <c r="K12" s="4">
        <v>45944</v>
      </c>
      <c r="L12" s="5">
        <v>10000</v>
      </c>
      <c r="M12" s="5">
        <v>10534.08</v>
      </c>
      <c r="N12">
        <v>222</v>
      </c>
      <c r="O12" t="s">
        <v>2728</v>
      </c>
      <c r="P12">
        <v>6</v>
      </c>
      <c r="Q12" t="s">
        <v>75</v>
      </c>
      <c r="R12">
        <v>2351.3000000000002</v>
      </c>
      <c r="S12">
        <v>348</v>
      </c>
      <c r="T12" s="5">
        <v>3480</v>
      </c>
      <c r="U12" s="5">
        <v>0</v>
      </c>
      <c r="V12">
        <v>5.6000000000000014</v>
      </c>
      <c r="W12" s="5">
        <v>10129.700000000001</v>
      </c>
      <c r="X12" s="5">
        <v>16703.830000000002</v>
      </c>
      <c r="Y12" s="5">
        <v>10129.700000000001</v>
      </c>
      <c r="Z12" s="5">
        <v>2688.12</v>
      </c>
      <c r="AA12" s="5">
        <v>406.01</v>
      </c>
      <c r="AB12" s="5">
        <v>3480</v>
      </c>
      <c r="AC12" s="5">
        <v>1000</v>
      </c>
      <c r="AD12" s="4">
        <v>45932</v>
      </c>
      <c r="AE12" t="s">
        <v>76</v>
      </c>
      <c r="AF12">
        <v>7203071835</v>
      </c>
      <c r="AG12" t="s">
        <v>195</v>
      </c>
      <c r="AI12" t="s">
        <v>196</v>
      </c>
      <c r="AJ12">
        <v>6112023</v>
      </c>
      <c r="AK12" t="s">
        <v>197</v>
      </c>
      <c r="AM12" t="s">
        <v>198</v>
      </c>
      <c r="AN12" t="s">
        <v>199</v>
      </c>
      <c r="AO12" t="s">
        <v>200</v>
      </c>
      <c r="AP12" t="s">
        <v>201</v>
      </c>
      <c r="AQ12" t="s">
        <v>202</v>
      </c>
      <c r="AR12" t="s">
        <v>203</v>
      </c>
      <c r="AY12" s="5">
        <v>16703.830000000002</v>
      </c>
      <c r="AZ12" s="5">
        <v>0</v>
      </c>
      <c r="BA12">
        <v>1</v>
      </c>
      <c r="BB12" t="s">
        <v>204</v>
      </c>
      <c r="BC12" t="s">
        <v>205</v>
      </c>
      <c r="BD12" t="s">
        <v>206</v>
      </c>
      <c r="BE12" t="s">
        <v>81</v>
      </c>
      <c r="BF12" t="s">
        <v>189</v>
      </c>
      <c r="BH12" s="6" t="s">
        <v>83</v>
      </c>
      <c r="BK12">
        <v>8</v>
      </c>
      <c r="BL12">
        <v>8</v>
      </c>
      <c r="BM12" t="s">
        <v>101</v>
      </c>
      <c r="BN12" s="3" t="s">
        <v>207</v>
      </c>
      <c r="BO12" s="5">
        <v>10129.700000000001</v>
      </c>
      <c r="BP12" s="5">
        <v>16703.830000000002</v>
      </c>
      <c r="BQ12" s="34">
        <v>1</v>
      </c>
    </row>
    <row r="13" spans="1:69" x14ac:dyDescent="0.3">
      <c r="A13" s="3" t="s">
        <v>208</v>
      </c>
      <c r="B13" t="s">
        <v>67</v>
      </c>
      <c r="C13" t="s">
        <v>132</v>
      </c>
      <c r="D13" t="s">
        <v>190</v>
      </c>
      <c r="E13" t="s">
        <v>191</v>
      </c>
      <c r="F13" t="s">
        <v>154</v>
      </c>
      <c r="G13" t="s">
        <v>155</v>
      </c>
      <c r="H13" t="s">
        <v>73</v>
      </c>
      <c r="I13" t="s">
        <v>209</v>
      </c>
      <c r="J13" s="4">
        <v>45768</v>
      </c>
      <c r="K13" s="4">
        <v>45951</v>
      </c>
      <c r="L13" s="5">
        <v>5000</v>
      </c>
      <c r="M13" s="5">
        <v>5267.04</v>
      </c>
      <c r="N13">
        <v>215</v>
      </c>
      <c r="O13" t="s">
        <v>2728</v>
      </c>
      <c r="P13">
        <v>6</v>
      </c>
      <c r="Q13" t="s">
        <v>75</v>
      </c>
      <c r="R13">
        <v>1320.32</v>
      </c>
      <c r="S13">
        <v>348</v>
      </c>
      <c r="T13" s="5">
        <v>3480</v>
      </c>
      <c r="U13" s="5">
        <v>0</v>
      </c>
      <c r="V13">
        <v>5.2</v>
      </c>
      <c r="W13" s="5">
        <v>4659.5200000000004</v>
      </c>
      <c r="X13" s="5">
        <v>10467.9</v>
      </c>
      <c r="Y13" s="5">
        <v>4659.5200000000004</v>
      </c>
      <c r="Z13" s="5">
        <v>1922.38</v>
      </c>
      <c r="AA13" s="5">
        <v>406</v>
      </c>
      <c r="AB13" s="5">
        <v>3480</v>
      </c>
      <c r="AC13" s="5">
        <v>1050</v>
      </c>
      <c r="AD13" s="4">
        <v>45798</v>
      </c>
      <c r="AE13" t="s">
        <v>76</v>
      </c>
      <c r="AF13">
        <v>4471516545</v>
      </c>
      <c r="AG13" t="s">
        <v>210</v>
      </c>
      <c r="AI13" t="s">
        <v>211</v>
      </c>
      <c r="AJ13">
        <v>6211023</v>
      </c>
      <c r="AM13" t="s">
        <v>212</v>
      </c>
      <c r="AN13" t="s">
        <v>213</v>
      </c>
      <c r="AO13" t="s">
        <v>214</v>
      </c>
      <c r="AP13" t="s">
        <v>215</v>
      </c>
      <c r="AQ13" t="s">
        <v>216</v>
      </c>
      <c r="AR13" t="s">
        <v>217</v>
      </c>
      <c r="AY13" s="5">
        <v>10467.9</v>
      </c>
      <c r="AZ13" s="5">
        <v>0</v>
      </c>
      <c r="BA13">
        <v>1</v>
      </c>
      <c r="BB13" t="s">
        <v>204</v>
      </c>
      <c r="BC13" t="s">
        <v>218</v>
      </c>
      <c r="BD13" t="s">
        <v>219</v>
      </c>
      <c r="BE13" t="s">
        <v>149</v>
      </c>
      <c r="BF13" t="s">
        <v>132</v>
      </c>
      <c r="BH13" s="6" t="s">
        <v>83</v>
      </c>
      <c r="BK13">
        <v>8</v>
      </c>
      <c r="BL13">
        <v>8</v>
      </c>
      <c r="BM13" t="s">
        <v>101</v>
      </c>
      <c r="BN13" s="3" t="s">
        <v>220</v>
      </c>
      <c r="BO13" s="5">
        <v>4659.5200000000004</v>
      </c>
      <c r="BP13" s="5">
        <v>10467.9</v>
      </c>
      <c r="BQ13" s="34">
        <v>1</v>
      </c>
    </row>
    <row r="14" spans="1:69" x14ac:dyDescent="0.3">
      <c r="A14" s="3" t="s">
        <v>221</v>
      </c>
      <c r="B14" t="s">
        <v>67</v>
      </c>
      <c r="C14" t="s">
        <v>132</v>
      </c>
      <c r="D14" t="s">
        <v>190</v>
      </c>
      <c r="E14" t="s">
        <v>191</v>
      </c>
      <c r="F14" t="s">
        <v>154</v>
      </c>
      <c r="G14" t="s">
        <v>155</v>
      </c>
      <c r="H14" t="s">
        <v>73</v>
      </c>
      <c r="I14" t="s">
        <v>222</v>
      </c>
      <c r="J14" s="4">
        <v>45772</v>
      </c>
      <c r="K14" s="4">
        <v>45955</v>
      </c>
      <c r="L14" s="5">
        <v>7000</v>
      </c>
      <c r="M14" s="5">
        <v>7373.85</v>
      </c>
      <c r="N14">
        <v>210</v>
      </c>
      <c r="O14" t="s">
        <v>2728</v>
      </c>
      <c r="P14">
        <v>6</v>
      </c>
      <c r="Q14" t="s">
        <v>75</v>
      </c>
      <c r="R14">
        <v>1825.24</v>
      </c>
      <c r="S14">
        <v>348</v>
      </c>
      <c r="T14" s="5">
        <v>3480</v>
      </c>
      <c r="U14" s="5">
        <v>0</v>
      </c>
      <c r="V14">
        <v>6</v>
      </c>
      <c r="W14" s="5">
        <v>7373.85</v>
      </c>
      <c r="X14" s="5">
        <v>14489.45</v>
      </c>
      <c r="Y14" s="5">
        <v>7373.85</v>
      </c>
      <c r="Z14" s="5">
        <v>3229.6</v>
      </c>
      <c r="AA14" s="5">
        <v>406</v>
      </c>
      <c r="AB14" s="5">
        <v>3480</v>
      </c>
      <c r="AC14" s="5"/>
      <c r="AD14" s="4"/>
      <c r="AE14" t="s">
        <v>76</v>
      </c>
      <c r="AF14">
        <v>3349586209</v>
      </c>
      <c r="AG14" t="s">
        <v>223</v>
      </c>
      <c r="AI14" t="s">
        <v>224</v>
      </c>
      <c r="AJ14">
        <v>6312011</v>
      </c>
      <c r="AK14" t="s">
        <v>225</v>
      </c>
      <c r="AL14" t="s">
        <v>226</v>
      </c>
      <c r="AM14" t="s">
        <v>227</v>
      </c>
      <c r="AN14" t="s">
        <v>228</v>
      </c>
      <c r="AO14" t="s">
        <v>229</v>
      </c>
      <c r="AP14" t="s">
        <v>230</v>
      </c>
      <c r="AQ14" t="s">
        <v>231</v>
      </c>
      <c r="AR14" t="s">
        <v>232</v>
      </c>
      <c r="AY14" s="5">
        <v>14489.45</v>
      </c>
      <c r="AZ14" s="5">
        <v>0</v>
      </c>
      <c r="BA14">
        <v>1</v>
      </c>
      <c r="BB14" t="s">
        <v>204</v>
      </c>
      <c r="BC14" t="s">
        <v>233</v>
      </c>
      <c r="BD14" t="s">
        <v>168</v>
      </c>
      <c r="BE14" t="s">
        <v>149</v>
      </c>
      <c r="BF14" t="s">
        <v>132</v>
      </c>
      <c r="BH14" s="6" t="s">
        <v>83</v>
      </c>
      <c r="BK14">
        <v>7</v>
      </c>
      <c r="BL14">
        <v>7</v>
      </c>
      <c r="BM14" t="s">
        <v>101</v>
      </c>
      <c r="BN14" s="3" t="s">
        <v>234</v>
      </c>
      <c r="BO14" s="5">
        <v>7373.85</v>
      </c>
      <c r="BP14" s="5">
        <v>14489.45</v>
      </c>
      <c r="BQ14" s="34">
        <v>1</v>
      </c>
    </row>
    <row r="15" spans="1:69" x14ac:dyDescent="0.3">
      <c r="A15" s="3" t="s">
        <v>235</v>
      </c>
      <c r="B15" t="s">
        <v>67</v>
      </c>
      <c r="C15" t="s">
        <v>189</v>
      </c>
      <c r="D15" t="s">
        <v>190</v>
      </c>
      <c r="E15" t="s">
        <v>191</v>
      </c>
      <c r="F15" t="s">
        <v>192</v>
      </c>
      <c r="G15" t="s">
        <v>193</v>
      </c>
      <c r="H15" t="s">
        <v>73</v>
      </c>
      <c r="I15" t="s">
        <v>236</v>
      </c>
      <c r="J15" s="4">
        <v>45777</v>
      </c>
      <c r="K15" s="4">
        <v>46142</v>
      </c>
      <c r="L15" s="5">
        <v>12000</v>
      </c>
      <c r="M15" s="5">
        <v>12640.89</v>
      </c>
      <c r="N15">
        <v>206</v>
      </c>
      <c r="O15" t="s">
        <v>2728</v>
      </c>
      <c r="P15">
        <v>12</v>
      </c>
      <c r="Q15" t="s">
        <v>75</v>
      </c>
      <c r="R15">
        <v>2031.63</v>
      </c>
      <c r="S15">
        <v>696</v>
      </c>
      <c r="T15" s="5">
        <v>4060</v>
      </c>
      <c r="U15" s="5">
        <v>0</v>
      </c>
      <c r="V15">
        <v>7</v>
      </c>
      <c r="W15" s="5">
        <v>12640.89</v>
      </c>
      <c r="X15" s="5">
        <v>18281.4042489167</v>
      </c>
      <c r="Y15" s="5">
        <v>7373.85</v>
      </c>
      <c r="Z15" s="5">
        <v>6441.55</v>
      </c>
      <c r="AA15" s="5">
        <v>406</v>
      </c>
      <c r="AB15" s="5">
        <v>4060</v>
      </c>
      <c r="AC15" s="5"/>
      <c r="AD15" s="4"/>
      <c r="AE15" t="s">
        <v>76</v>
      </c>
      <c r="AF15">
        <v>7222031200</v>
      </c>
      <c r="AG15" t="s">
        <v>237</v>
      </c>
      <c r="AI15" t="s">
        <v>158</v>
      </c>
      <c r="AJ15">
        <v>8711021</v>
      </c>
      <c r="AK15" t="s">
        <v>238</v>
      </c>
      <c r="AM15" t="s">
        <v>239</v>
      </c>
      <c r="AN15" t="s">
        <v>240</v>
      </c>
      <c r="AO15" t="s">
        <v>241</v>
      </c>
      <c r="AP15" t="s">
        <v>242</v>
      </c>
      <c r="AQ15" t="s">
        <v>243</v>
      </c>
      <c r="AR15" t="s">
        <v>244</v>
      </c>
      <c r="AY15" s="5">
        <v>28149.55</v>
      </c>
      <c r="AZ15" s="5">
        <v>0</v>
      </c>
      <c r="BA15">
        <v>1</v>
      </c>
      <c r="BB15" t="s">
        <v>204</v>
      </c>
      <c r="BC15" t="s">
        <v>245</v>
      </c>
      <c r="BD15" t="s">
        <v>246</v>
      </c>
      <c r="BE15" t="s">
        <v>81</v>
      </c>
      <c r="BF15" t="s">
        <v>189</v>
      </c>
      <c r="BH15" s="6" t="s">
        <v>83</v>
      </c>
      <c r="BK15">
        <v>7</v>
      </c>
      <c r="BL15">
        <v>7</v>
      </c>
      <c r="BM15" t="s">
        <v>101</v>
      </c>
      <c r="BN15" s="3" t="s">
        <v>247</v>
      </c>
      <c r="BO15" s="5">
        <v>12640.89</v>
      </c>
      <c r="BP15" s="5">
        <v>28149.55</v>
      </c>
      <c r="BQ15" s="34">
        <v>0.64943859667087755</v>
      </c>
    </row>
    <row r="16" spans="1:69" x14ac:dyDescent="0.3">
      <c r="A16" s="3" t="s">
        <v>248</v>
      </c>
      <c r="B16" t="s">
        <v>67</v>
      </c>
      <c r="C16" t="s">
        <v>189</v>
      </c>
      <c r="D16" t="s">
        <v>190</v>
      </c>
      <c r="E16" t="s">
        <v>191</v>
      </c>
      <c r="F16" t="s">
        <v>192</v>
      </c>
      <c r="G16" t="s">
        <v>193</v>
      </c>
      <c r="H16" t="s">
        <v>73</v>
      </c>
      <c r="I16" t="s">
        <v>249</v>
      </c>
      <c r="J16" s="4">
        <v>45777</v>
      </c>
      <c r="K16" s="4">
        <v>45960</v>
      </c>
      <c r="L16" s="5">
        <v>15000</v>
      </c>
      <c r="M16" s="5">
        <v>15801.12</v>
      </c>
      <c r="N16">
        <v>206</v>
      </c>
      <c r="O16" t="s">
        <v>2728</v>
      </c>
      <c r="P16">
        <v>6</v>
      </c>
      <c r="Q16" t="s">
        <v>75</v>
      </c>
      <c r="R16">
        <v>3844.95</v>
      </c>
      <c r="S16">
        <v>348</v>
      </c>
      <c r="T16" s="5">
        <v>3480</v>
      </c>
      <c r="U16" s="5">
        <v>0</v>
      </c>
      <c r="V16">
        <v>6</v>
      </c>
      <c r="W16" s="5">
        <v>15801.12</v>
      </c>
      <c r="X16" s="5">
        <v>26607.69</v>
      </c>
      <c r="Y16" s="5">
        <v>15801.12</v>
      </c>
      <c r="Z16" s="5">
        <v>6920.57</v>
      </c>
      <c r="AA16" s="5">
        <v>406</v>
      </c>
      <c r="AB16" s="5">
        <v>3480</v>
      </c>
      <c r="AC16" s="5"/>
      <c r="AD16" s="4"/>
      <c r="AE16" t="s">
        <v>76</v>
      </c>
      <c r="AF16">
        <v>7224191963</v>
      </c>
      <c r="AG16" t="s">
        <v>250</v>
      </c>
      <c r="AI16" t="s">
        <v>251</v>
      </c>
      <c r="AJ16">
        <v>131011</v>
      </c>
      <c r="AK16" t="s">
        <v>252</v>
      </c>
      <c r="AM16" t="s">
        <v>253</v>
      </c>
      <c r="AN16" t="s">
        <v>254</v>
      </c>
      <c r="AO16" t="s">
        <v>255</v>
      </c>
      <c r="AP16" t="s">
        <v>256</v>
      </c>
      <c r="AQ16" t="s">
        <v>257</v>
      </c>
      <c r="AR16" t="s">
        <v>258</v>
      </c>
      <c r="AY16" s="5">
        <v>26607.69</v>
      </c>
      <c r="AZ16" s="5">
        <v>0</v>
      </c>
      <c r="BA16">
        <v>1</v>
      </c>
      <c r="BB16" t="s">
        <v>204</v>
      </c>
      <c r="BC16" t="s">
        <v>259</v>
      </c>
      <c r="BD16" t="s">
        <v>260</v>
      </c>
      <c r="BE16" t="s">
        <v>81</v>
      </c>
      <c r="BF16" t="s">
        <v>260</v>
      </c>
      <c r="BH16" s="6" t="s">
        <v>83</v>
      </c>
      <c r="BK16">
        <v>7</v>
      </c>
      <c r="BL16">
        <v>7</v>
      </c>
      <c r="BM16" t="s">
        <v>101</v>
      </c>
      <c r="BN16" s="3" t="s">
        <v>261</v>
      </c>
      <c r="BO16" s="5">
        <v>15801.12</v>
      </c>
      <c r="BP16" s="5">
        <v>26607.69</v>
      </c>
      <c r="BQ16" s="34">
        <v>1</v>
      </c>
    </row>
    <row r="17" spans="1:69" x14ac:dyDescent="0.3">
      <c r="A17" s="3" t="s">
        <v>262</v>
      </c>
      <c r="B17" t="s">
        <v>67</v>
      </c>
      <c r="C17" t="s">
        <v>68</v>
      </c>
      <c r="D17" t="s">
        <v>190</v>
      </c>
      <c r="E17" t="s">
        <v>191</v>
      </c>
      <c r="F17" t="s">
        <v>173</v>
      </c>
      <c r="G17" t="s">
        <v>174</v>
      </c>
      <c r="H17" t="s">
        <v>73</v>
      </c>
      <c r="I17" t="s">
        <v>263</v>
      </c>
      <c r="J17" s="4">
        <v>45784</v>
      </c>
      <c r="K17" s="4">
        <v>45968</v>
      </c>
      <c r="L17" s="5">
        <v>5000</v>
      </c>
      <c r="M17" s="5">
        <v>5267.04</v>
      </c>
      <c r="N17">
        <v>196</v>
      </c>
      <c r="O17" t="s">
        <v>2728</v>
      </c>
      <c r="P17">
        <v>6</v>
      </c>
      <c r="Q17" t="s">
        <v>75</v>
      </c>
      <c r="R17">
        <v>1322.42</v>
      </c>
      <c r="S17">
        <v>348</v>
      </c>
      <c r="T17" s="5">
        <v>2900</v>
      </c>
      <c r="U17" s="5">
        <v>0</v>
      </c>
      <c r="V17">
        <v>5.6000000000000014</v>
      </c>
      <c r="W17" s="5">
        <v>5091.62</v>
      </c>
      <c r="X17" s="5">
        <v>10272.5</v>
      </c>
      <c r="Y17" s="5">
        <v>5091.62</v>
      </c>
      <c r="Z17" s="5">
        <v>1932.88</v>
      </c>
      <c r="AA17" s="5">
        <v>348</v>
      </c>
      <c r="AB17" s="5">
        <v>2900</v>
      </c>
      <c r="AC17" s="5">
        <v>1200</v>
      </c>
      <c r="AD17" s="4">
        <v>45826</v>
      </c>
      <c r="AE17" t="s">
        <v>76</v>
      </c>
      <c r="AF17">
        <v>7205451836</v>
      </c>
      <c r="AG17" t="s">
        <v>264</v>
      </c>
      <c r="AI17" t="s">
        <v>196</v>
      </c>
      <c r="AJ17">
        <v>6112023</v>
      </c>
      <c r="AM17" t="s">
        <v>265</v>
      </c>
      <c r="AN17" t="s">
        <v>266</v>
      </c>
      <c r="AO17" t="s">
        <v>267</v>
      </c>
      <c r="AP17" t="s">
        <v>268</v>
      </c>
      <c r="AQ17" t="s">
        <v>269</v>
      </c>
      <c r="AR17" t="s">
        <v>270</v>
      </c>
      <c r="AY17" s="5">
        <v>10272.5</v>
      </c>
      <c r="AZ17" s="5">
        <v>0</v>
      </c>
      <c r="BA17">
        <v>1</v>
      </c>
      <c r="BB17" t="s">
        <v>204</v>
      </c>
      <c r="BC17" t="s">
        <v>271</v>
      </c>
      <c r="BD17" t="s">
        <v>272</v>
      </c>
      <c r="BE17" t="s">
        <v>81</v>
      </c>
      <c r="BF17" t="s">
        <v>273</v>
      </c>
      <c r="BH17" s="6" t="s">
        <v>83</v>
      </c>
      <c r="BK17">
        <v>7</v>
      </c>
      <c r="BL17">
        <v>7</v>
      </c>
      <c r="BM17" t="s">
        <v>101</v>
      </c>
      <c r="BN17" s="3" t="s">
        <v>274</v>
      </c>
      <c r="BO17" s="5">
        <v>5091.62</v>
      </c>
      <c r="BP17" s="5">
        <v>10272.5</v>
      </c>
      <c r="BQ17" s="34">
        <v>1</v>
      </c>
    </row>
    <row r="18" spans="1:69" x14ac:dyDescent="0.3">
      <c r="A18" s="3" t="s">
        <v>275</v>
      </c>
      <c r="B18" t="s">
        <v>67</v>
      </c>
      <c r="C18" t="s">
        <v>189</v>
      </c>
      <c r="D18" t="s">
        <v>276</v>
      </c>
      <c r="E18" t="s">
        <v>277</v>
      </c>
      <c r="F18" t="s">
        <v>192</v>
      </c>
      <c r="G18" t="s">
        <v>193</v>
      </c>
      <c r="H18" t="s">
        <v>73</v>
      </c>
      <c r="I18" t="s">
        <v>278</v>
      </c>
      <c r="J18" s="4">
        <v>45797</v>
      </c>
      <c r="K18" s="4">
        <v>45965</v>
      </c>
      <c r="L18" s="5">
        <v>5000</v>
      </c>
      <c r="M18" s="5">
        <v>5267.04</v>
      </c>
      <c r="N18">
        <v>195</v>
      </c>
      <c r="O18" t="s">
        <v>2728</v>
      </c>
      <c r="P18">
        <v>24</v>
      </c>
      <c r="Q18" t="s">
        <v>279</v>
      </c>
      <c r="R18">
        <v>365.7</v>
      </c>
      <c r="S18">
        <v>1392</v>
      </c>
      <c r="T18" s="5">
        <v>12760</v>
      </c>
      <c r="U18" s="5">
        <v>24</v>
      </c>
      <c r="V18">
        <v>21.8</v>
      </c>
      <c r="W18" s="5">
        <v>4828.12</v>
      </c>
      <c r="X18" s="5">
        <v>21018.81</v>
      </c>
      <c r="Y18" s="5">
        <v>4828.12</v>
      </c>
      <c r="Z18" s="5">
        <v>1864.69</v>
      </c>
      <c r="AA18" s="5">
        <v>1566</v>
      </c>
      <c r="AB18" s="5">
        <v>12760</v>
      </c>
      <c r="AC18" s="5">
        <v>500</v>
      </c>
      <c r="AD18" s="4">
        <v>45812</v>
      </c>
      <c r="AE18" t="s">
        <v>76</v>
      </c>
      <c r="AF18">
        <v>5615319505</v>
      </c>
      <c r="AG18" t="s">
        <v>280</v>
      </c>
      <c r="AI18" t="s">
        <v>281</v>
      </c>
      <c r="AJ18">
        <v>2093011</v>
      </c>
      <c r="AM18" t="s">
        <v>282</v>
      </c>
      <c r="AN18" t="s">
        <v>283</v>
      </c>
      <c r="AO18" t="s">
        <v>284</v>
      </c>
      <c r="AP18" t="s">
        <v>285</v>
      </c>
      <c r="AQ18" t="s">
        <v>286</v>
      </c>
      <c r="AR18" t="s">
        <v>285</v>
      </c>
      <c r="AY18" s="5">
        <v>21018.81</v>
      </c>
      <c r="AZ18" s="5">
        <v>0</v>
      </c>
      <c r="BA18">
        <v>1</v>
      </c>
      <c r="BB18" t="s">
        <v>204</v>
      </c>
      <c r="BC18" t="s">
        <v>287</v>
      </c>
      <c r="BD18" t="s">
        <v>288</v>
      </c>
      <c r="BE18" t="s">
        <v>81</v>
      </c>
      <c r="BF18" t="s">
        <v>289</v>
      </c>
      <c r="BH18" s="6" t="s">
        <v>83</v>
      </c>
      <c r="BK18">
        <v>30</v>
      </c>
      <c r="BL18">
        <v>30</v>
      </c>
      <c r="BM18" t="s">
        <v>101</v>
      </c>
      <c r="BN18" s="3" t="s">
        <v>290</v>
      </c>
      <c r="BO18" s="5">
        <v>4828.12</v>
      </c>
      <c r="BP18" s="5">
        <v>21018.81</v>
      </c>
      <c r="BQ18" s="34">
        <v>1</v>
      </c>
    </row>
    <row r="19" spans="1:69" x14ac:dyDescent="0.3">
      <c r="A19" s="3" t="s">
        <v>291</v>
      </c>
      <c r="B19" t="s">
        <v>67</v>
      </c>
      <c r="C19" t="s">
        <v>189</v>
      </c>
      <c r="D19" t="s">
        <v>276</v>
      </c>
      <c r="E19" t="s">
        <v>277</v>
      </c>
      <c r="F19" t="s">
        <v>192</v>
      </c>
      <c r="G19" t="s">
        <v>193</v>
      </c>
      <c r="H19" t="s">
        <v>73</v>
      </c>
      <c r="I19" t="s">
        <v>292</v>
      </c>
      <c r="J19" s="4">
        <v>45803</v>
      </c>
      <c r="K19" s="4">
        <v>45971</v>
      </c>
      <c r="L19" s="5">
        <v>5000</v>
      </c>
      <c r="M19" s="5">
        <v>5267.04</v>
      </c>
      <c r="N19">
        <v>182</v>
      </c>
      <c r="O19" t="s">
        <v>2728</v>
      </c>
      <c r="P19">
        <v>12</v>
      </c>
      <c r="Q19" t="s">
        <v>293</v>
      </c>
      <c r="R19">
        <v>673.4</v>
      </c>
      <c r="S19">
        <v>696</v>
      </c>
      <c r="T19" s="5">
        <v>6380</v>
      </c>
      <c r="U19" s="5">
        <v>12</v>
      </c>
      <c r="V19">
        <v>10.3</v>
      </c>
      <c r="W19" s="5">
        <v>4562</v>
      </c>
      <c r="X19" s="5">
        <v>13460.81</v>
      </c>
      <c r="Y19" s="5">
        <v>4562</v>
      </c>
      <c r="Z19" s="5">
        <v>1764.81</v>
      </c>
      <c r="AA19" s="5">
        <v>754</v>
      </c>
      <c r="AB19" s="5">
        <v>6380</v>
      </c>
      <c r="AC19" s="5">
        <v>500</v>
      </c>
      <c r="AD19" s="4">
        <v>45958</v>
      </c>
      <c r="AE19" t="s">
        <v>76</v>
      </c>
      <c r="AF19">
        <v>7228634600</v>
      </c>
      <c r="AG19" t="s">
        <v>294</v>
      </c>
      <c r="AI19" t="s">
        <v>295</v>
      </c>
      <c r="AJ19">
        <v>8712011</v>
      </c>
      <c r="AM19" t="s">
        <v>296</v>
      </c>
      <c r="AN19" t="s">
        <v>297</v>
      </c>
      <c r="AO19" t="s">
        <v>298</v>
      </c>
      <c r="AP19" t="s">
        <v>299</v>
      </c>
      <c r="AQ19" t="s">
        <v>300</v>
      </c>
      <c r="AR19" t="s">
        <v>301</v>
      </c>
      <c r="AY19" s="5">
        <v>13460.81</v>
      </c>
      <c r="AZ19" s="5">
        <v>0</v>
      </c>
      <c r="BA19">
        <v>1</v>
      </c>
      <c r="BB19" t="s">
        <v>204</v>
      </c>
      <c r="BC19" t="s">
        <v>302</v>
      </c>
      <c r="BD19" t="s">
        <v>303</v>
      </c>
      <c r="BE19" t="s">
        <v>81</v>
      </c>
      <c r="BF19" t="s">
        <v>304</v>
      </c>
      <c r="BH19" s="6" t="s">
        <v>83</v>
      </c>
      <c r="BK19">
        <v>14</v>
      </c>
      <c r="BL19">
        <v>14</v>
      </c>
      <c r="BM19" t="s">
        <v>101</v>
      </c>
      <c r="BN19" s="3" t="s">
        <v>305</v>
      </c>
      <c r="BO19" s="5">
        <v>4562</v>
      </c>
      <c r="BP19" s="5">
        <v>13460.81</v>
      </c>
      <c r="BQ19" s="34">
        <v>1</v>
      </c>
    </row>
    <row r="20" spans="1:69" x14ac:dyDescent="0.3">
      <c r="A20" s="3" t="s">
        <v>319</v>
      </c>
      <c r="B20" t="s">
        <v>67</v>
      </c>
      <c r="C20" t="s">
        <v>132</v>
      </c>
      <c r="D20" t="s">
        <v>133</v>
      </c>
      <c r="E20" t="s">
        <v>134</v>
      </c>
      <c r="F20" t="s">
        <v>154</v>
      </c>
      <c r="G20" t="s">
        <v>155</v>
      </c>
      <c r="H20" t="s">
        <v>73</v>
      </c>
      <c r="I20" t="s">
        <v>320</v>
      </c>
      <c r="J20" s="4">
        <v>45447</v>
      </c>
      <c r="K20" s="4">
        <v>45904</v>
      </c>
      <c r="L20" s="5">
        <v>80000</v>
      </c>
      <c r="M20" s="5">
        <v>84272.62</v>
      </c>
      <c r="N20">
        <v>171</v>
      </c>
      <c r="O20" t="s">
        <v>2728</v>
      </c>
      <c r="P20">
        <v>15</v>
      </c>
      <c r="Q20" t="s">
        <v>75</v>
      </c>
      <c r="R20">
        <v>12168.07</v>
      </c>
      <c r="S20">
        <v>870</v>
      </c>
      <c r="T20" s="5">
        <v>1740</v>
      </c>
      <c r="U20" s="5">
        <v>0</v>
      </c>
      <c r="V20">
        <v>3</v>
      </c>
      <c r="W20" s="5">
        <v>29287.439999999999</v>
      </c>
      <c r="X20" s="5">
        <v>38277.06</v>
      </c>
      <c r="Y20" s="5">
        <v>29287.43</v>
      </c>
      <c r="Z20" s="5">
        <v>6959.63</v>
      </c>
      <c r="AA20" s="5">
        <v>290</v>
      </c>
      <c r="AB20" s="5">
        <v>1740</v>
      </c>
      <c r="AC20" s="5">
        <v>12170</v>
      </c>
      <c r="AD20" s="4">
        <v>45811</v>
      </c>
      <c r="AE20" t="s">
        <v>76</v>
      </c>
      <c r="AF20">
        <v>4471051698</v>
      </c>
      <c r="AG20" t="s">
        <v>321</v>
      </c>
      <c r="AI20" t="s">
        <v>322</v>
      </c>
      <c r="AJ20">
        <v>119017</v>
      </c>
      <c r="AM20" t="s">
        <v>323</v>
      </c>
      <c r="AN20" t="s">
        <v>324</v>
      </c>
      <c r="AO20" t="s">
        <v>325</v>
      </c>
      <c r="AP20" t="s">
        <v>326</v>
      </c>
      <c r="AQ20" t="s">
        <v>327</v>
      </c>
      <c r="AR20" t="s">
        <v>328</v>
      </c>
      <c r="AS20" t="s">
        <v>144</v>
      </c>
      <c r="AT20" t="s">
        <v>329</v>
      </c>
      <c r="AU20" t="s">
        <v>330</v>
      </c>
      <c r="AY20" s="5">
        <v>38277.07</v>
      </c>
      <c r="AZ20" s="5">
        <v>0</v>
      </c>
      <c r="BA20">
        <v>1</v>
      </c>
      <c r="BB20" t="s">
        <v>92</v>
      </c>
      <c r="BC20" t="s">
        <v>331</v>
      </c>
      <c r="BD20" t="s">
        <v>332</v>
      </c>
      <c r="BE20" t="s">
        <v>149</v>
      </c>
      <c r="BF20" t="s">
        <v>132</v>
      </c>
      <c r="BH20" s="6" t="s">
        <v>83</v>
      </c>
      <c r="BK20">
        <v>16</v>
      </c>
      <c r="BL20">
        <v>9</v>
      </c>
      <c r="BM20" t="s">
        <v>101</v>
      </c>
      <c r="BN20" s="3" t="s">
        <v>333</v>
      </c>
      <c r="BO20" s="5">
        <v>29287.439999999999</v>
      </c>
      <c r="BP20" s="5">
        <v>38277.07</v>
      </c>
      <c r="BQ20" s="34">
        <v>0.99999973874698345</v>
      </c>
    </row>
    <row r="21" spans="1:69" x14ac:dyDescent="0.3">
      <c r="A21" s="3" t="s">
        <v>334</v>
      </c>
      <c r="B21" t="s">
        <v>67</v>
      </c>
      <c r="C21" t="s">
        <v>68</v>
      </c>
      <c r="D21" t="s">
        <v>335</v>
      </c>
      <c r="E21" t="s">
        <v>336</v>
      </c>
      <c r="F21" t="s">
        <v>173</v>
      </c>
      <c r="G21" t="s">
        <v>174</v>
      </c>
      <c r="H21" t="s">
        <v>73</v>
      </c>
      <c r="I21" t="s">
        <v>337</v>
      </c>
      <c r="J21" s="4">
        <v>45814</v>
      </c>
      <c r="K21" s="4">
        <v>46179</v>
      </c>
      <c r="L21" s="5">
        <v>30000</v>
      </c>
      <c r="M21" s="5">
        <v>31602.23</v>
      </c>
      <c r="N21">
        <v>168</v>
      </c>
      <c r="O21" t="s">
        <v>2728</v>
      </c>
      <c r="P21">
        <v>12</v>
      </c>
      <c r="Q21" t="s">
        <v>75</v>
      </c>
      <c r="R21">
        <v>4992.07</v>
      </c>
      <c r="S21">
        <v>696</v>
      </c>
      <c r="T21" s="5">
        <v>3480</v>
      </c>
      <c r="U21" s="5">
        <v>0</v>
      </c>
      <c r="V21">
        <v>6</v>
      </c>
      <c r="W21" s="5">
        <v>31602.23</v>
      </c>
      <c r="X21" s="5">
        <v>33432.445</v>
      </c>
      <c r="Y21" s="5">
        <v>15801.12</v>
      </c>
      <c r="Z21" s="5">
        <v>13803.33</v>
      </c>
      <c r="AA21" s="5">
        <v>348</v>
      </c>
      <c r="AB21" s="5">
        <v>3480</v>
      </c>
      <c r="AC21" s="5"/>
      <c r="AD21" s="4"/>
      <c r="AE21" t="s">
        <v>76</v>
      </c>
      <c r="AF21">
        <v>7226159497</v>
      </c>
      <c r="AG21" t="s">
        <v>338</v>
      </c>
      <c r="AI21" t="s">
        <v>339</v>
      </c>
      <c r="AJ21">
        <v>2097013</v>
      </c>
      <c r="AK21" t="s">
        <v>340</v>
      </c>
      <c r="AL21" t="s">
        <v>341</v>
      </c>
      <c r="AM21" t="s">
        <v>342</v>
      </c>
      <c r="AN21" t="s">
        <v>343</v>
      </c>
      <c r="AO21" t="s">
        <v>344</v>
      </c>
      <c r="AP21" t="s">
        <v>345</v>
      </c>
      <c r="AQ21" t="s">
        <v>346</v>
      </c>
      <c r="AR21" t="s">
        <v>347</v>
      </c>
      <c r="AY21" s="5">
        <v>63036.88</v>
      </c>
      <c r="AZ21" s="5">
        <v>0</v>
      </c>
      <c r="BA21">
        <v>1</v>
      </c>
      <c r="BB21" t="s">
        <v>204</v>
      </c>
      <c r="BC21" t="s">
        <v>348</v>
      </c>
      <c r="BD21" t="s">
        <v>349</v>
      </c>
      <c r="BE21" t="s">
        <v>81</v>
      </c>
      <c r="BF21" t="s">
        <v>82</v>
      </c>
      <c r="BG21" t="s">
        <v>350</v>
      </c>
      <c r="BH21" s="6" t="s">
        <v>83</v>
      </c>
      <c r="BK21">
        <v>6</v>
      </c>
      <c r="BL21">
        <v>6</v>
      </c>
      <c r="BM21" t="s">
        <v>101</v>
      </c>
      <c r="BN21" s="3" t="s">
        <v>351</v>
      </c>
      <c r="BO21" s="5">
        <v>31602.23</v>
      </c>
      <c r="BP21" s="5">
        <v>63036.88</v>
      </c>
      <c r="BQ21" s="34">
        <v>0.530363257191663</v>
      </c>
    </row>
    <row r="22" spans="1:69" x14ac:dyDescent="0.3">
      <c r="A22" s="3" t="s">
        <v>352</v>
      </c>
      <c r="B22" t="s">
        <v>67</v>
      </c>
      <c r="C22" t="s">
        <v>189</v>
      </c>
      <c r="D22" t="s">
        <v>353</v>
      </c>
      <c r="E22" t="s">
        <v>354</v>
      </c>
      <c r="F22" t="s">
        <v>192</v>
      </c>
      <c r="G22" t="s">
        <v>193</v>
      </c>
      <c r="H22" t="s">
        <v>73</v>
      </c>
      <c r="I22" t="s">
        <v>355</v>
      </c>
      <c r="J22" s="4">
        <v>45805</v>
      </c>
      <c r="K22" s="4">
        <v>46141</v>
      </c>
      <c r="L22" s="5">
        <v>10000</v>
      </c>
      <c r="M22" s="5">
        <v>10534.08</v>
      </c>
      <c r="N22">
        <v>166</v>
      </c>
      <c r="O22" t="s">
        <v>2728</v>
      </c>
      <c r="P22">
        <v>24</v>
      </c>
      <c r="Q22" t="s">
        <v>293</v>
      </c>
      <c r="R22">
        <v>849.88</v>
      </c>
      <c r="S22">
        <v>1392</v>
      </c>
      <c r="T22" s="5">
        <v>6960</v>
      </c>
      <c r="U22" s="5">
        <v>14</v>
      </c>
      <c r="V22">
        <v>12</v>
      </c>
      <c r="W22" s="5">
        <v>9656.24</v>
      </c>
      <c r="X22" s="5">
        <v>17158.349999999999</v>
      </c>
      <c r="Y22" s="5">
        <v>5267.04</v>
      </c>
      <c r="Z22" s="5">
        <v>4235.55</v>
      </c>
      <c r="AA22" s="5">
        <v>695.76</v>
      </c>
      <c r="AB22" s="5">
        <v>6960</v>
      </c>
      <c r="AC22" s="5">
        <v>850</v>
      </c>
      <c r="AD22" s="4">
        <v>45833</v>
      </c>
      <c r="AE22" t="s">
        <v>76</v>
      </c>
      <c r="AF22">
        <v>7292923057</v>
      </c>
      <c r="AG22" t="s">
        <v>356</v>
      </c>
      <c r="AI22" t="s">
        <v>357</v>
      </c>
      <c r="AJ22">
        <v>2071017</v>
      </c>
      <c r="AM22" t="s">
        <v>358</v>
      </c>
      <c r="AN22" t="s">
        <v>359</v>
      </c>
      <c r="AO22" t="s">
        <v>360</v>
      </c>
      <c r="AP22" t="s">
        <v>361</v>
      </c>
      <c r="AQ22" t="s">
        <v>362</v>
      </c>
      <c r="AR22" t="s">
        <v>363</v>
      </c>
      <c r="AY22" s="5">
        <v>25077.17</v>
      </c>
      <c r="AZ22" s="5">
        <v>0</v>
      </c>
      <c r="BA22">
        <v>1</v>
      </c>
      <c r="BB22" t="s">
        <v>204</v>
      </c>
      <c r="BC22" t="s">
        <v>364</v>
      </c>
      <c r="BD22" t="s">
        <v>365</v>
      </c>
      <c r="BE22" t="s">
        <v>81</v>
      </c>
      <c r="BF22" t="s">
        <v>189</v>
      </c>
      <c r="BH22" s="6" t="s">
        <v>83</v>
      </c>
      <c r="BK22">
        <v>12</v>
      </c>
      <c r="BL22">
        <v>12</v>
      </c>
      <c r="BM22" t="s">
        <v>101</v>
      </c>
      <c r="BN22" s="3" t="s">
        <v>366</v>
      </c>
      <c r="BO22" s="5">
        <v>9656.24</v>
      </c>
      <c r="BP22" s="5">
        <v>25077.17</v>
      </c>
      <c r="BQ22" s="34">
        <v>0.68422194370417388</v>
      </c>
    </row>
    <row r="23" spans="1:69" x14ac:dyDescent="0.3">
      <c r="A23" s="3" t="s">
        <v>367</v>
      </c>
      <c r="B23" t="s">
        <v>67</v>
      </c>
      <c r="C23" t="s">
        <v>68</v>
      </c>
      <c r="D23" t="s">
        <v>190</v>
      </c>
      <c r="E23" t="s">
        <v>191</v>
      </c>
      <c r="F23" t="s">
        <v>173</v>
      </c>
      <c r="G23" t="s">
        <v>174</v>
      </c>
      <c r="H23" t="s">
        <v>73</v>
      </c>
      <c r="I23" t="s">
        <v>368</v>
      </c>
      <c r="J23" s="4">
        <v>45786</v>
      </c>
      <c r="K23" s="4">
        <v>46151</v>
      </c>
      <c r="L23" s="5">
        <v>10000</v>
      </c>
      <c r="M23" s="5">
        <v>10534.08</v>
      </c>
      <c r="N23">
        <v>166</v>
      </c>
      <c r="O23" t="s">
        <v>2728</v>
      </c>
      <c r="P23">
        <v>12</v>
      </c>
      <c r="Q23" t="s">
        <v>75</v>
      </c>
      <c r="R23">
        <v>1702.69</v>
      </c>
      <c r="S23">
        <v>696</v>
      </c>
      <c r="T23" s="5">
        <v>3480</v>
      </c>
      <c r="U23" s="5">
        <v>0</v>
      </c>
      <c r="V23">
        <v>6</v>
      </c>
      <c r="W23" s="5">
        <v>9656.24</v>
      </c>
      <c r="X23" s="5">
        <v>13695.8423386667</v>
      </c>
      <c r="Y23" s="5">
        <v>5267.04</v>
      </c>
      <c r="Z23" s="5">
        <v>4601.1099999999997</v>
      </c>
      <c r="AA23" s="5">
        <v>347.69</v>
      </c>
      <c r="AB23" s="5">
        <v>3480</v>
      </c>
      <c r="AC23" s="5">
        <v>1703</v>
      </c>
      <c r="AD23" s="4">
        <v>45817</v>
      </c>
      <c r="AE23" t="s">
        <v>76</v>
      </c>
      <c r="AF23">
        <v>7226786248</v>
      </c>
      <c r="AG23" t="s">
        <v>369</v>
      </c>
      <c r="AI23" t="s">
        <v>370</v>
      </c>
      <c r="AJ23">
        <v>8944098</v>
      </c>
      <c r="AM23" t="s">
        <v>371</v>
      </c>
      <c r="AN23" t="s">
        <v>372</v>
      </c>
      <c r="AO23" t="s">
        <v>373</v>
      </c>
      <c r="AP23" t="s">
        <v>374</v>
      </c>
      <c r="AQ23" t="s">
        <v>375</v>
      </c>
      <c r="AR23" t="s">
        <v>376</v>
      </c>
      <c r="AY23" s="5">
        <v>21919.3</v>
      </c>
      <c r="AZ23" s="5">
        <v>0</v>
      </c>
      <c r="BA23">
        <v>1</v>
      </c>
      <c r="BB23" t="s">
        <v>204</v>
      </c>
      <c r="BC23" t="s">
        <v>377</v>
      </c>
      <c r="BD23" t="s">
        <v>378</v>
      </c>
      <c r="BE23" t="s">
        <v>81</v>
      </c>
      <c r="BF23" t="s">
        <v>82</v>
      </c>
      <c r="BH23" s="6" t="s">
        <v>83</v>
      </c>
      <c r="BK23">
        <v>6</v>
      </c>
      <c r="BL23">
        <v>6</v>
      </c>
      <c r="BM23" t="s">
        <v>101</v>
      </c>
      <c r="BN23" s="3" t="s">
        <v>379</v>
      </c>
      <c r="BO23" s="5">
        <v>9656.24</v>
      </c>
      <c r="BP23" s="5">
        <v>21919.3</v>
      </c>
      <c r="BQ23" s="34">
        <v>0.62483027919079082</v>
      </c>
    </row>
    <row r="24" spans="1:69" x14ac:dyDescent="0.3">
      <c r="A24" s="3" t="s">
        <v>306</v>
      </c>
      <c r="B24" t="s">
        <v>67</v>
      </c>
      <c r="C24" t="s">
        <v>189</v>
      </c>
      <c r="D24" t="s">
        <v>276</v>
      </c>
      <c r="E24" t="s">
        <v>277</v>
      </c>
      <c r="F24" t="s">
        <v>192</v>
      </c>
      <c r="G24" t="s">
        <v>193</v>
      </c>
      <c r="H24" t="s">
        <v>73</v>
      </c>
      <c r="I24" t="s">
        <v>307</v>
      </c>
      <c r="J24" s="4">
        <v>45803</v>
      </c>
      <c r="K24" s="4">
        <v>45987</v>
      </c>
      <c r="L24" s="5">
        <v>5000</v>
      </c>
      <c r="M24" s="5">
        <v>5267.04</v>
      </c>
      <c r="N24">
        <v>147</v>
      </c>
      <c r="O24" t="s">
        <v>2728</v>
      </c>
      <c r="P24">
        <v>6</v>
      </c>
      <c r="Q24" t="s">
        <v>75</v>
      </c>
      <c r="R24">
        <v>1322.42</v>
      </c>
      <c r="S24">
        <v>348</v>
      </c>
      <c r="T24" s="5">
        <v>3460.42</v>
      </c>
      <c r="U24" s="5">
        <v>0</v>
      </c>
      <c r="V24">
        <v>5</v>
      </c>
      <c r="W24" s="5">
        <v>4389.2</v>
      </c>
      <c r="X24" s="5">
        <v>10014.5</v>
      </c>
      <c r="Y24" s="5">
        <v>4389.2</v>
      </c>
      <c r="Z24" s="5">
        <v>1932.88</v>
      </c>
      <c r="AA24" s="5">
        <v>232</v>
      </c>
      <c r="AB24" s="5">
        <v>3460.42</v>
      </c>
      <c r="AC24" s="5">
        <v>200</v>
      </c>
      <c r="AD24" s="4">
        <v>46007</v>
      </c>
      <c r="AE24" t="s">
        <v>76</v>
      </c>
      <c r="AF24">
        <v>7228065155</v>
      </c>
      <c r="AG24" t="s">
        <v>308</v>
      </c>
      <c r="AI24" t="s">
        <v>309</v>
      </c>
      <c r="AJ24">
        <v>9900907</v>
      </c>
      <c r="AM24" t="s">
        <v>310</v>
      </c>
      <c r="AN24" t="s">
        <v>311</v>
      </c>
      <c r="AO24" t="s">
        <v>312</v>
      </c>
      <c r="AP24" t="s">
        <v>313</v>
      </c>
      <c r="AQ24" t="s">
        <v>314</v>
      </c>
      <c r="AR24" t="s">
        <v>315</v>
      </c>
      <c r="AY24" s="5">
        <v>10014.5</v>
      </c>
      <c r="AZ24" s="5">
        <v>0</v>
      </c>
      <c r="BA24">
        <v>1</v>
      </c>
      <c r="BB24" t="s">
        <v>204</v>
      </c>
      <c r="BC24" t="s">
        <v>316</v>
      </c>
      <c r="BD24" t="s">
        <v>317</v>
      </c>
      <c r="BE24" t="s">
        <v>81</v>
      </c>
      <c r="BF24" t="s">
        <v>304</v>
      </c>
      <c r="BH24" s="6" t="s">
        <v>83</v>
      </c>
      <c r="BK24">
        <v>6</v>
      </c>
      <c r="BL24">
        <v>6</v>
      </c>
      <c r="BM24" t="s">
        <v>101</v>
      </c>
      <c r="BN24" s="3" t="s">
        <v>318</v>
      </c>
      <c r="BO24" s="5">
        <v>4389.2</v>
      </c>
      <c r="BP24" s="5">
        <v>10014.5</v>
      </c>
      <c r="BQ24" s="34">
        <v>1</v>
      </c>
    </row>
    <row r="25" spans="1:69" x14ac:dyDescent="0.3">
      <c r="A25" s="3" t="s">
        <v>409</v>
      </c>
      <c r="B25" t="s">
        <v>67</v>
      </c>
      <c r="C25" t="s">
        <v>68</v>
      </c>
      <c r="D25" t="s">
        <v>410</v>
      </c>
      <c r="E25" t="s">
        <v>411</v>
      </c>
      <c r="F25" t="s">
        <v>173</v>
      </c>
      <c r="G25" t="s">
        <v>174</v>
      </c>
      <c r="H25" t="s">
        <v>73</v>
      </c>
      <c r="I25" t="s">
        <v>412</v>
      </c>
      <c r="J25" s="4">
        <v>45834</v>
      </c>
      <c r="K25" s="4">
        <v>46204</v>
      </c>
      <c r="L25" s="5">
        <v>10000</v>
      </c>
      <c r="M25" s="5">
        <v>10534.08</v>
      </c>
      <c r="N25">
        <v>143</v>
      </c>
      <c r="O25" t="s">
        <v>2728</v>
      </c>
      <c r="P25">
        <v>12</v>
      </c>
      <c r="Q25" t="s">
        <v>75</v>
      </c>
      <c r="R25">
        <v>1713.2</v>
      </c>
      <c r="S25">
        <v>696</v>
      </c>
      <c r="T25" s="5">
        <v>2320</v>
      </c>
      <c r="U25" s="5">
        <v>0</v>
      </c>
      <c r="V25">
        <v>4.3</v>
      </c>
      <c r="W25" s="5">
        <v>10199.44</v>
      </c>
      <c r="X25" s="5">
        <v>9715.9838133333324</v>
      </c>
      <c r="Y25" s="5">
        <v>4054.56</v>
      </c>
      <c r="Z25" s="5">
        <v>3109.42</v>
      </c>
      <c r="AA25" s="5">
        <v>232</v>
      </c>
      <c r="AB25" s="5">
        <v>2320</v>
      </c>
      <c r="AC25" s="5">
        <v>1750</v>
      </c>
      <c r="AD25" s="4">
        <v>45873</v>
      </c>
      <c r="AE25" t="s">
        <v>76</v>
      </c>
      <c r="AF25">
        <v>7297872956</v>
      </c>
      <c r="AG25" t="s">
        <v>413</v>
      </c>
      <c r="AI25" t="s">
        <v>414</v>
      </c>
      <c r="AJ25">
        <v>6999041</v>
      </c>
      <c r="AM25" t="s">
        <v>415</v>
      </c>
      <c r="AN25" t="s">
        <v>416</v>
      </c>
      <c r="AO25" t="s">
        <v>417</v>
      </c>
      <c r="AP25" t="s">
        <v>418</v>
      </c>
      <c r="AQ25" t="s">
        <v>419</v>
      </c>
      <c r="AR25" t="s">
        <v>420</v>
      </c>
      <c r="AY25" s="5">
        <v>21302.36</v>
      </c>
      <c r="AZ25" s="5">
        <v>0</v>
      </c>
      <c r="BA25">
        <v>1</v>
      </c>
      <c r="BB25" t="s">
        <v>204</v>
      </c>
      <c r="BC25" t="s">
        <v>421</v>
      </c>
      <c r="BD25" t="s">
        <v>378</v>
      </c>
      <c r="BE25" t="s">
        <v>81</v>
      </c>
      <c r="BF25" t="s">
        <v>82</v>
      </c>
      <c r="BG25" t="s">
        <v>422</v>
      </c>
      <c r="BH25" s="6" t="s">
        <v>83</v>
      </c>
      <c r="BK25">
        <v>5</v>
      </c>
      <c r="BL25">
        <v>5</v>
      </c>
      <c r="BM25" t="s">
        <v>101</v>
      </c>
      <c r="BN25" s="3" t="s">
        <v>423</v>
      </c>
      <c r="BO25" s="5">
        <v>10199.44</v>
      </c>
      <c r="BP25" s="5">
        <v>21302.36</v>
      </c>
      <c r="BQ25" s="34">
        <v>0.45609893989836492</v>
      </c>
    </row>
    <row r="26" spans="1:69" x14ac:dyDescent="0.3">
      <c r="A26" s="3" t="s">
        <v>426</v>
      </c>
      <c r="B26" t="s">
        <v>67</v>
      </c>
      <c r="C26" t="s">
        <v>104</v>
      </c>
      <c r="D26" t="s">
        <v>190</v>
      </c>
      <c r="E26" t="s">
        <v>191</v>
      </c>
      <c r="F26" t="s">
        <v>190</v>
      </c>
      <c r="G26" t="s">
        <v>191</v>
      </c>
      <c r="H26" t="s">
        <v>175</v>
      </c>
      <c r="I26" t="s">
        <v>427</v>
      </c>
      <c r="J26" s="4">
        <v>45783</v>
      </c>
      <c r="K26" s="4">
        <v>46148</v>
      </c>
      <c r="L26" s="5">
        <v>14000</v>
      </c>
      <c r="M26" s="5">
        <v>14000</v>
      </c>
      <c r="N26">
        <v>138</v>
      </c>
      <c r="O26" t="s">
        <v>2728</v>
      </c>
      <c r="P26">
        <v>12</v>
      </c>
      <c r="Q26" t="s">
        <v>75</v>
      </c>
      <c r="R26">
        <v>1506.19</v>
      </c>
      <c r="S26">
        <v>0</v>
      </c>
      <c r="T26" s="5">
        <v>0</v>
      </c>
      <c r="U26" s="5">
        <v>0</v>
      </c>
      <c r="V26">
        <v>5</v>
      </c>
      <c r="W26" s="5">
        <v>12115.83</v>
      </c>
      <c r="X26" s="5">
        <v>7527.14</v>
      </c>
      <c r="Y26" s="5">
        <v>5441.8</v>
      </c>
      <c r="Z26" s="5">
        <v>2085.34</v>
      </c>
      <c r="AA26" s="5">
        <v>0</v>
      </c>
      <c r="AB26" s="5">
        <v>0</v>
      </c>
      <c r="AC26" s="5">
        <v>1506.19</v>
      </c>
      <c r="AD26" s="4">
        <v>45869</v>
      </c>
      <c r="AE26" t="s">
        <v>76</v>
      </c>
      <c r="AF26">
        <v>7293862169</v>
      </c>
      <c r="AG26" t="s">
        <v>428</v>
      </c>
      <c r="AI26" t="s">
        <v>370</v>
      </c>
      <c r="AJ26">
        <v>8944098</v>
      </c>
      <c r="AY26" s="5">
        <v>14201.17</v>
      </c>
      <c r="AZ26" s="5">
        <v>0</v>
      </c>
      <c r="BA26">
        <v>1</v>
      </c>
      <c r="BB26" t="s">
        <v>127</v>
      </c>
      <c r="BC26" t="s">
        <v>429</v>
      </c>
      <c r="BD26" t="s">
        <v>430</v>
      </c>
      <c r="BE26" t="s">
        <v>81</v>
      </c>
      <c r="BF26" t="s">
        <v>431</v>
      </c>
      <c r="BH26" s="6" t="s">
        <v>83</v>
      </c>
      <c r="BK26">
        <v>6</v>
      </c>
      <c r="BL26">
        <v>6</v>
      </c>
      <c r="BM26" t="s">
        <v>101</v>
      </c>
      <c r="BN26" s="3" t="s">
        <v>432</v>
      </c>
      <c r="BO26" s="5">
        <v>12115.83</v>
      </c>
      <c r="BP26" s="5">
        <v>14201.17</v>
      </c>
      <c r="BQ26" s="34">
        <v>0.53003660965962662</v>
      </c>
    </row>
    <row r="27" spans="1:69" x14ac:dyDescent="0.3">
      <c r="A27" s="3" t="s">
        <v>444</v>
      </c>
      <c r="B27" t="s">
        <v>67</v>
      </c>
      <c r="C27" t="s">
        <v>189</v>
      </c>
      <c r="D27" t="s">
        <v>276</v>
      </c>
      <c r="E27" t="s">
        <v>277</v>
      </c>
      <c r="F27" t="s">
        <v>192</v>
      </c>
      <c r="G27" t="s">
        <v>193</v>
      </c>
      <c r="H27" t="s">
        <v>73</v>
      </c>
      <c r="I27" t="s">
        <v>445</v>
      </c>
      <c r="J27" s="4">
        <v>45820</v>
      </c>
      <c r="K27" s="4">
        <v>45988</v>
      </c>
      <c r="L27" s="5">
        <v>8000</v>
      </c>
      <c r="M27" s="5">
        <v>8427.26</v>
      </c>
      <c r="N27">
        <v>137</v>
      </c>
      <c r="O27" t="s">
        <v>2728</v>
      </c>
      <c r="P27">
        <v>12</v>
      </c>
      <c r="Q27" t="s">
        <v>293</v>
      </c>
      <c r="R27">
        <v>1042.6400000000001</v>
      </c>
      <c r="S27">
        <v>696</v>
      </c>
      <c r="T27" s="5">
        <v>5220</v>
      </c>
      <c r="U27" s="5">
        <v>12</v>
      </c>
      <c r="V27">
        <v>9</v>
      </c>
      <c r="W27" s="5">
        <v>6320.4400000000014</v>
      </c>
      <c r="X27" s="5">
        <v>14660.26</v>
      </c>
      <c r="Y27" s="5">
        <v>6320.4400000000014</v>
      </c>
      <c r="Z27" s="5">
        <v>2541.3200000000002</v>
      </c>
      <c r="AA27" s="5">
        <v>578.5</v>
      </c>
      <c r="AB27" s="5">
        <v>5220</v>
      </c>
      <c r="AC27" s="5">
        <v>43</v>
      </c>
      <c r="AD27" s="4">
        <v>45866</v>
      </c>
      <c r="AE27" t="s">
        <v>76</v>
      </c>
      <c r="AF27">
        <v>7225288410</v>
      </c>
      <c r="AG27" t="s">
        <v>446</v>
      </c>
      <c r="AI27" t="s">
        <v>370</v>
      </c>
      <c r="AJ27">
        <v>8944098</v>
      </c>
      <c r="AK27" t="s">
        <v>447</v>
      </c>
      <c r="AM27" t="s">
        <v>448</v>
      </c>
      <c r="AN27" t="s">
        <v>449</v>
      </c>
      <c r="AO27" t="s">
        <v>450</v>
      </c>
      <c r="AP27" t="s">
        <v>451</v>
      </c>
      <c r="AY27" s="5">
        <v>14660.26</v>
      </c>
      <c r="AZ27" s="5">
        <v>0</v>
      </c>
      <c r="BA27">
        <v>1</v>
      </c>
      <c r="BB27" t="s">
        <v>204</v>
      </c>
      <c r="BC27" t="s">
        <v>452</v>
      </c>
      <c r="BD27" t="s">
        <v>453</v>
      </c>
      <c r="BE27" t="s">
        <v>81</v>
      </c>
      <c r="BF27" t="s">
        <v>304</v>
      </c>
      <c r="BG27" t="s">
        <v>454</v>
      </c>
      <c r="BH27" s="6" t="s">
        <v>83</v>
      </c>
      <c r="BK27">
        <v>12</v>
      </c>
      <c r="BL27">
        <v>12</v>
      </c>
      <c r="BM27" t="s">
        <v>101</v>
      </c>
      <c r="BN27" s="3" t="s">
        <v>455</v>
      </c>
      <c r="BO27" s="5">
        <v>6320.4400000000014</v>
      </c>
      <c r="BP27" s="5">
        <v>14660.26</v>
      </c>
      <c r="BQ27" s="34">
        <v>1</v>
      </c>
    </row>
    <row r="28" spans="1:69" x14ac:dyDescent="0.3">
      <c r="A28" s="3" t="s">
        <v>433</v>
      </c>
      <c r="B28" t="s">
        <v>67</v>
      </c>
      <c r="C28" t="s">
        <v>189</v>
      </c>
      <c r="D28" t="s">
        <v>276</v>
      </c>
      <c r="E28" t="s">
        <v>277</v>
      </c>
      <c r="F28" t="s">
        <v>192</v>
      </c>
      <c r="G28" t="s">
        <v>193</v>
      </c>
      <c r="H28" t="s">
        <v>73</v>
      </c>
      <c r="I28" t="s">
        <v>434</v>
      </c>
      <c r="J28" s="4">
        <v>45806</v>
      </c>
      <c r="K28" s="4">
        <v>45974</v>
      </c>
      <c r="L28" s="5">
        <v>10000</v>
      </c>
      <c r="M28" s="5">
        <v>10534.08</v>
      </c>
      <c r="N28">
        <v>137</v>
      </c>
      <c r="O28" t="s">
        <v>2728</v>
      </c>
      <c r="P28">
        <v>12</v>
      </c>
      <c r="Q28" t="s">
        <v>293</v>
      </c>
      <c r="R28">
        <v>1288.8</v>
      </c>
      <c r="S28">
        <v>696</v>
      </c>
      <c r="T28" s="5">
        <v>4640</v>
      </c>
      <c r="U28" s="5">
        <v>12</v>
      </c>
      <c r="V28">
        <v>8</v>
      </c>
      <c r="W28" s="5">
        <v>7022.73</v>
      </c>
      <c r="X28" s="5">
        <v>15066.42</v>
      </c>
      <c r="Y28" s="5">
        <v>7022.73</v>
      </c>
      <c r="Z28" s="5">
        <v>2823.69</v>
      </c>
      <c r="AA28" s="5">
        <v>580</v>
      </c>
      <c r="AB28" s="5">
        <v>4640</v>
      </c>
      <c r="AC28" s="5">
        <v>1288.8</v>
      </c>
      <c r="AD28" s="4">
        <v>45862</v>
      </c>
      <c r="AE28" t="s">
        <v>76</v>
      </c>
      <c r="AF28">
        <v>7223114459</v>
      </c>
      <c r="AG28" t="s">
        <v>435</v>
      </c>
      <c r="AI28" t="s">
        <v>158</v>
      </c>
      <c r="AJ28">
        <v>8711021</v>
      </c>
      <c r="AM28" t="s">
        <v>436</v>
      </c>
      <c r="AN28" t="s">
        <v>437</v>
      </c>
      <c r="AO28" t="s">
        <v>438</v>
      </c>
      <c r="AP28" t="s">
        <v>439</v>
      </c>
      <c r="AQ28" t="s">
        <v>440</v>
      </c>
      <c r="AR28" t="s">
        <v>441</v>
      </c>
      <c r="AY28" s="5">
        <v>15066.42</v>
      </c>
      <c r="AZ28" s="5">
        <v>0</v>
      </c>
      <c r="BA28">
        <v>1</v>
      </c>
      <c r="BB28" t="s">
        <v>204</v>
      </c>
      <c r="BC28" t="s">
        <v>442</v>
      </c>
      <c r="BD28" t="s">
        <v>317</v>
      </c>
      <c r="BE28" t="s">
        <v>81</v>
      </c>
      <c r="BF28" t="s">
        <v>304</v>
      </c>
      <c r="BH28" s="6" t="s">
        <v>83</v>
      </c>
      <c r="BK28">
        <v>10</v>
      </c>
      <c r="BL28">
        <v>10</v>
      </c>
      <c r="BM28" t="s">
        <v>101</v>
      </c>
      <c r="BN28" s="3" t="s">
        <v>443</v>
      </c>
      <c r="BO28" s="5">
        <v>7022.73</v>
      </c>
      <c r="BP28" s="5">
        <v>15066.42</v>
      </c>
      <c r="BQ28" s="34">
        <v>1</v>
      </c>
    </row>
    <row r="29" spans="1:69" x14ac:dyDescent="0.3">
      <c r="A29" s="3" t="s">
        <v>470</v>
      </c>
      <c r="B29" t="s">
        <v>67</v>
      </c>
      <c r="C29" t="s">
        <v>68</v>
      </c>
      <c r="D29" t="s">
        <v>190</v>
      </c>
      <c r="E29" t="s">
        <v>191</v>
      </c>
      <c r="F29" t="s">
        <v>173</v>
      </c>
      <c r="G29" t="s">
        <v>174</v>
      </c>
      <c r="H29" t="s">
        <v>73</v>
      </c>
      <c r="I29" t="s">
        <v>471</v>
      </c>
      <c r="J29" s="4">
        <v>45790</v>
      </c>
      <c r="K29" s="4">
        <v>46155</v>
      </c>
      <c r="L29" s="5">
        <v>10000</v>
      </c>
      <c r="M29" s="5">
        <v>10534.08</v>
      </c>
      <c r="N29">
        <v>131</v>
      </c>
      <c r="O29" t="s">
        <v>2728</v>
      </c>
      <c r="P29">
        <v>12</v>
      </c>
      <c r="Q29" t="s">
        <v>75</v>
      </c>
      <c r="R29">
        <v>1702.69</v>
      </c>
      <c r="S29">
        <v>696</v>
      </c>
      <c r="T29" s="5">
        <v>2900</v>
      </c>
      <c r="U29" s="5">
        <v>0</v>
      </c>
      <c r="V29">
        <v>4.4000000000000004</v>
      </c>
      <c r="W29" s="5">
        <v>8595.9500000000007</v>
      </c>
      <c r="X29" s="5">
        <v>10406.1523386667</v>
      </c>
      <c r="Y29" s="5">
        <v>4206.75</v>
      </c>
      <c r="Z29" s="5">
        <v>3067.4</v>
      </c>
      <c r="AA29" s="5">
        <v>232</v>
      </c>
      <c r="AB29" s="5">
        <v>2900</v>
      </c>
      <c r="AC29" s="5">
        <v>500</v>
      </c>
      <c r="AD29" s="4">
        <v>46002</v>
      </c>
      <c r="AE29" t="s">
        <v>76</v>
      </c>
      <c r="AF29">
        <v>7223586415</v>
      </c>
      <c r="AG29" t="s">
        <v>472</v>
      </c>
      <c r="AI29" t="s">
        <v>211</v>
      </c>
      <c r="AJ29">
        <v>6211023</v>
      </c>
      <c r="AM29" t="s">
        <v>473</v>
      </c>
      <c r="AN29" t="s">
        <v>474</v>
      </c>
      <c r="AO29" t="s">
        <v>475</v>
      </c>
      <c r="AP29" t="s">
        <v>476</v>
      </c>
      <c r="AQ29" t="s">
        <v>477</v>
      </c>
      <c r="AR29" t="s">
        <v>478</v>
      </c>
      <c r="AY29" s="5">
        <v>18629.61</v>
      </c>
      <c r="AZ29" s="5">
        <v>0</v>
      </c>
      <c r="BA29">
        <v>1</v>
      </c>
      <c r="BB29" t="s">
        <v>204</v>
      </c>
      <c r="BC29" t="s">
        <v>479</v>
      </c>
      <c r="BD29" t="s">
        <v>349</v>
      </c>
      <c r="BE29" t="s">
        <v>81</v>
      </c>
      <c r="BF29" t="s">
        <v>82</v>
      </c>
      <c r="BH29" s="6" t="s">
        <v>83</v>
      </c>
      <c r="BK29">
        <v>6</v>
      </c>
      <c r="BL29">
        <v>6</v>
      </c>
      <c r="BM29" t="s">
        <v>101</v>
      </c>
      <c r="BN29" s="3" t="s">
        <v>480</v>
      </c>
      <c r="BO29" s="5">
        <v>8595.9500000000007</v>
      </c>
      <c r="BP29" s="5">
        <v>18629.61</v>
      </c>
      <c r="BQ29" s="34">
        <v>0.55858133040180113</v>
      </c>
    </row>
    <row r="30" spans="1:69" x14ac:dyDescent="0.3">
      <c r="A30" s="3" t="s">
        <v>481</v>
      </c>
      <c r="B30" t="s">
        <v>67</v>
      </c>
      <c r="C30" t="s">
        <v>189</v>
      </c>
      <c r="D30" t="s">
        <v>353</v>
      </c>
      <c r="E30" t="s">
        <v>354</v>
      </c>
      <c r="F30" t="s">
        <v>192</v>
      </c>
      <c r="G30" t="s">
        <v>193</v>
      </c>
      <c r="H30" t="s">
        <v>73</v>
      </c>
      <c r="I30" t="s">
        <v>482</v>
      </c>
      <c r="J30" s="4">
        <v>45791</v>
      </c>
      <c r="K30" s="4">
        <v>46156</v>
      </c>
      <c r="L30" s="5">
        <v>20000</v>
      </c>
      <c r="M30" s="5">
        <v>21068.16</v>
      </c>
      <c r="N30">
        <v>130</v>
      </c>
      <c r="O30" t="s">
        <v>2728</v>
      </c>
      <c r="P30">
        <v>12</v>
      </c>
      <c r="Q30" t="s">
        <v>75</v>
      </c>
      <c r="R30">
        <v>3347.38</v>
      </c>
      <c r="S30">
        <v>696</v>
      </c>
      <c r="T30" s="5">
        <v>2900</v>
      </c>
      <c r="U30" s="5">
        <v>0</v>
      </c>
      <c r="V30">
        <v>4.9000000000000004</v>
      </c>
      <c r="W30" s="5">
        <v>17556.8</v>
      </c>
      <c r="X30" s="5">
        <v>19136.9246773333</v>
      </c>
      <c r="Y30" s="5">
        <v>8778.4</v>
      </c>
      <c r="Z30" s="5">
        <v>7226.52</v>
      </c>
      <c r="AA30" s="5">
        <v>232</v>
      </c>
      <c r="AB30" s="5">
        <v>2900</v>
      </c>
      <c r="AC30" s="5">
        <v>500</v>
      </c>
      <c r="AD30" s="4">
        <v>45922</v>
      </c>
      <c r="AE30" t="s">
        <v>76</v>
      </c>
      <c r="AF30">
        <v>7294809159</v>
      </c>
      <c r="AG30" t="s">
        <v>484</v>
      </c>
      <c r="AI30" t="s">
        <v>370</v>
      </c>
      <c r="AJ30">
        <v>8944098</v>
      </c>
      <c r="AM30" t="s">
        <v>485</v>
      </c>
      <c r="AN30" t="s">
        <v>486</v>
      </c>
      <c r="AO30" t="s">
        <v>487</v>
      </c>
      <c r="AP30" t="s">
        <v>488</v>
      </c>
      <c r="AQ30" t="s">
        <v>489</v>
      </c>
      <c r="AR30" t="s">
        <v>490</v>
      </c>
      <c r="AY30" s="5">
        <v>35583.839999999997</v>
      </c>
      <c r="AZ30" s="5">
        <v>0</v>
      </c>
      <c r="BA30">
        <v>1</v>
      </c>
      <c r="BB30" t="s">
        <v>204</v>
      </c>
      <c r="BC30" t="s">
        <v>491</v>
      </c>
      <c r="BD30" t="s">
        <v>206</v>
      </c>
      <c r="BE30" t="s">
        <v>81</v>
      </c>
      <c r="BF30" t="s">
        <v>189</v>
      </c>
      <c r="BH30" s="6" t="s">
        <v>83</v>
      </c>
      <c r="BK30">
        <v>5</v>
      </c>
      <c r="BL30">
        <v>5</v>
      </c>
      <c r="BM30" t="s">
        <v>101</v>
      </c>
      <c r="BN30" s="3" t="s">
        <v>492</v>
      </c>
      <c r="BO30" s="5">
        <v>17556.8</v>
      </c>
      <c r="BP30" s="5">
        <v>35583.839999999997</v>
      </c>
      <c r="BQ30" s="34">
        <v>0.53779818809137236</v>
      </c>
    </row>
    <row r="31" spans="1:69" x14ac:dyDescent="0.3">
      <c r="A31" s="3" t="s">
        <v>380</v>
      </c>
      <c r="B31" t="s">
        <v>67</v>
      </c>
      <c r="C31" t="s">
        <v>132</v>
      </c>
      <c r="D31" t="s">
        <v>133</v>
      </c>
      <c r="E31" t="s">
        <v>134</v>
      </c>
      <c r="F31" t="s">
        <v>154</v>
      </c>
      <c r="G31" t="s">
        <v>155</v>
      </c>
      <c r="H31" t="s">
        <v>73</v>
      </c>
      <c r="I31" t="s">
        <v>381</v>
      </c>
      <c r="J31" s="4">
        <v>45527</v>
      </c>
      <c r="K31" s="4">
        <v>45915</v>
      </c>
      <c r="L31" s="5">
        <v>30000</v>
      </c>
      <c r="M31" s="5">
        <v>31602.23</v>
      </c>
      <c r="N31">
        <v>129</v>
      </c>
      <c r="O31" t="s">
        <v>2728</v>
      </c>
      <c r="P31">
        <v>12</v>
      </c>
      <c r="Q31" t="s">
        <v>75</v>
      </c>
      <c r="R31">
        <v>5448.58</v>
      </c>
      <c r="S31">
        <v>696</v>
      </c>
      <c r="T31" s="5">
        <v>1740</v>
      </c>
      <c r="U31" s="5">
        <v>0</v>
      </c>
      <c r="V31">
        <v>1.8</v>
      </c>
      <c r="W31" s="5">
        <v>9158.56</v>
      </c>
      <c r="X31" s="5">
        <v>11836.96</v>
      </c>
      <c r="Y31" s="5">
        <v>9158.57</v>
      </c>
      <c r="Z31" s="5">
        <v>706.39</v>
      </c>
      <c r="AA31" s="5">
        <v>232</v>
      </c>
      <c r="AB31" s="5">
        <v>1740</v>
      </c>
      <c r="AC31" s="5">
        <v>1000</v>
      </c>
      <c r="AD31" s="4">
        <v>46002</v>
      </c>
      <c r="AE31" t="s">
        <v>76</v>
      </c>
      <c r="AF31">
        <v>4171576513</v>
      </c>
      <c r="AG31" t="s">
        <v>382</v>
      </c>
      <c r="AI31" t="s">
        <v>383</v>
      </c>
      <c r="AJ31">
        <v>2711019</v>
      </c>
      <c r="AK31" t="s">
        <v>384</v>
      </c>
      <c r="AM31" t="s">
        <v>385</v>
      </c>
      <c r="AN31" t="s">
        <v>386</v>
      </c>
      <c r="AO31" t="s">
        <v>387</v>
      </c>
      <c r="AP31" t="s">
        <v>388</v>
      </c>
      <c r="AQ31" t="s">
        <v>389</v>
      </c>
      <c r="AR31" t="s">
        <v>390</v>
      </c>
      <c r="AS31" t="s">
        <v>144</v>
      </c>
      <c r="AT31" t="s">
        <v>391</v>
      </c>
      <c r="AU31" t="s">
        <v>392</v>
      </c>
      <c r="AY31" s="5">
        <v>11836.95</v>
      </c>
      <c r="AZ31" s="5">
        <v>0</v>
      </c>
      <c r="BA31">
        <v>1</v>
      </c>
      <c r="BB31" t="s">
        <v>92</v>
      </c>
      <c r="BC31" t="s">
        <v>393</v>
      </c>
      <c r="BD31" t="s">
        <v>394</v>
      </c>
      <c r="BE31" t="s">
        <v>149</v>
      </c>
      <c r="BF31" t="s">
        <v>132</v>
      </c>
      <c r="BH31" s="6" t="s">
        <v>83</v>
      </c>
      <c r="BK31">
        <v>10</v>
      </c>
      <c r="BL31">
        <v>9</v>
      </c>
      <c r="BM31" t="s">
        <v>101</v>
      </c>
      <c r="BN31" s="3" t="s">
        <v>395</v>
      </c>
      <c r="BO31" s="5">
        <v>9158.56</v>
      </c>
      <c r="BP31" s="5">
        <v>11836.95</v>
      </c>
      <c r="BQ31" s="34">
        <v>1.0000008448122191</v>
      </c>
    </row>
    <row r="32" spans="1:69" x14ac:dyDescent="0.3">
      <c r="A32" s="3" t="s">
        <v>509</v>
      </c>
      <c r="B32" t="s">
        <v>67</v>
      </c>
      <c r="C32" t="s">
        <v>189</v>
      </c>
      <c r="D32" t="s">
        <v>353</v>
      </c>
      <c r="E32" t="s">
        <v>354</v>
      </c>
      <c r="F32" t="s">
        <v>192</v>
      </c>
      <c r="G32" t="s">
        <v>193</v>
      </c>
      <c r="H32" t="s">
        <v>73</v>
      </c>
      <c r="I32" t="s">
        <v>510</v>
      </c>
      <c r="J32" s="4">
        <v>45799</v>
      </c>
      <c r="K32" s="4">
        <v>45983</v>
      </c>
      <c r="L32" s="5">
        <v>30000</v>
      </c>
      <c r="M32" s="5">
        <v>31602.23</v>
      </c>
      <c r="N32">
        <v>122</v>
      </c>
      <c r="O32" t="s">
        <v>2728</v>
      </c>
      <c r="P32">
        <v>6</v>
      </c>
      <c r="Q32" t="s">
        <v>75</v>
      </c>
      <c r="R32">
        <v>7059.79</v>
      </c>
      <c r="S32">
        <v>348</v>
      </c>
      <c r="T32" s="5">
        <v>2320</v>
      </c>
      <c r="U32" s="5">
        <v>0</v>
      </c>
      <c r="V32">
        <v>4</v>
      </c>
      <c r="W32" s="5">
        <v>21068.15</v>
      </c>
      <c r="X32" s="5">
        <v>30606.74</v>
      </c>
      <c r="Y32" s="5">
        <v>21068.15</v>
      </c>
      <c r="Z32" s="5">
        <v>6939.01</v>
      </c>
      <c r="AA32" s="5">
        <v>279.58</v>
      </c>
      <c r="AB32" s="5">
        <v>2320</v>
      </c>
      <c r="AC32" s="5">
        <v>7650</v>
      </c>
      <c r="AD32" s="4">
        <v>45868</v>
      </c>
      <c r="AE32" t="s">
        <v>76</v>
      </c>
      <c r="AF32">
        <v>7222506939</v>
      </c>
      <c r="AG32" t="s">
        <v>511</v>
      </c>
      <c r="AI32" t="s">
        <v>211</v>
      </c>
      <c r="AJ32">
        <v>6211023</v>
      </c>
      <c r="AM32" t="s">
        <v>512</v>
      </c>
      <c r="AN32" t="s">
        <v>513</v>
      </c>
      <c r="AO32" t="s">
        <v>514</v>
      </c>
      <c r="AP32" t="s">
        <v>515</v>
      </c>
      <c r="AQ32" t="s">
        <v>516</v>
      </c>
      <c r="AR32" t="s">
        <v>517</v>
      </c>
      <c r="AY32" s="5">
        <v>30606.74</v>
      </c>
      <c r="AZ32" s="5">
        <v>0</v>
      </c>
      <c r="BA32">
        <v>1</v>
      </c>
      <c r="BB32" t="s">
        <v>204</v>
      </c>
      <c r="BC32" t="s">
        <v>518</v>
      </c>
      <c r="BD32" t="s">
        <v>288</v>
      </c>
      <c r="BE32" t="s">
        <v>81</v>
      </c>
      <c r="BF32" t="s">
        <v>189</v>
      </c>
      <c r="BH32" s="6" t="s">
        <v>83</v>
      </c>
      <c r="BK32">
        <v>7</v>
      </c>
      <c r="BL32">
        <v>7</v>
      </c>
      <c r="BM32" t="s">
        <v>101</v>
      </c>
      <c r="BN32" s="3" t="s">
        <v>519</v>
      </c>
      <c r="BO32" s="5">
        <v>21068.15</v>
      </c>
      <c r="BP32" s="5">
        <v>30606.74</v>
      </c>
      <c r="BQ32" s="34">
        <v>1</v>
      </c>
    </row>
    <row r="33" spans="1:69" x14ac:dyDescent="0.3">
      <c r="A33" s="3" t="s">
        <v>535</v>
      </c>
      <c r="B33" t="s">
        <v>67</v>
      </c>
      <c r="C33" t="s">
        <v>536</v>
      </c>
      <c r="D33" t="s">
        <v>537</v>
      </c>
      <c r="E33" t="s">
        <v>538</v>
      </c>
      <c r="F33" t="s">
        <v>154</v>
      </c>
      <c r="G33" t="s">
        <v>155</v>
      </c>
      <c r="H33" t="s">
        <v>73</v>
      </c>
      <c r="I33" t="s">
        <v>539</v>
      </c>
      <c r="J33" s="4">
        <v>45800</v>
      </c>
      <c r="K33" s="4">
        <v>46165</v>
      </c>
      <c r="L33" s="5">
        <v>20000</v>
      </c>
      <c r="M33" s="5">
        <v>21068.16</v>
      </c>
      <c r="N33">
        <v>119</v>
      </c>
      <c r="O33" t="s">
        <v>2728</v>
      </c>
      <c r="P33">
        <v>12</v>
      </c>
      <c r="Q33" t="s">
        <v>75</v>
      </c>
      <c r="R33">
        <v>3347.38</v>
      </c>
      <c r="S33">
        <v>696</v>
      </c>
      <c r="T33" s="5">
        <v>2320</v>
      </c>
      <c r="U33" s="5">
        <v>0</v>
      </c>
      <c r="V33">
        <v>4</v>
      </c>
      <c r="W33" s="5">
        <v>17556.8</v>
      </c>
      <c r="X33" s="5">
        <v>15564.301152</v>
      </c>
      <c r="Y33" s="5">
        <v>7022.72</v>
      </c>
      <c r="Z33" s="5">
        <v>6047.58</v>
      </c>
      <c r="AA33" s="5">
        <v>174</v>
      </c>
      <c r="AB33" s="5">
        <v>2320</v>
      </c>
      <c r="AC33" s="5">
        <v>6000</v>
      </c>
      <c r="AD33" s="4">
        <v>45883</v>
      </c>
      <c r="AE33" t="s">
        <v>76</v>
      </c>
      <c r="AF33">
        <v>7122175275</v>
      </c>
      <c r="AG33" t="s">
        <v>540</v>
      </c>
      <c r="AI33" t="s">
        <v>541</v>
      </c>
      <c r="AJ33">
        <v>6815015</v>
      </c>
      <c r="AM33" t="s">
        <v>542</v>
      </c>
      <c r="AN33" t="s">
        <v>543</v>
      </c>
      <c r="AO33" t="s">
        <v>544</v>
      </c>
      <c r="AP33" t="s">
        <v>545</v>
      </c>
      <c r="AQ33" t="s">
        <v>546</v>
      </c>
      <c r="AR33" t="s">
        <v>547</v>
      </c>
      <c r="AY33" s="5">
        <v>35300.6</v>
      </c>
      <c r="AZ33" s="5">
        <v>0</v>
      </c>
      <c r="BA33">
        <v>1</v>
      </c>
      <c r="BB33" t="s">
        <v>204</v>
      </c>
      <c r="BC33" t="s">
        <v>548</v>
      </c>
      <c r="BD33" t="s">
        <v>549</v>
      </c>
      <c r="BE33" t="s">
        <v>81</v>
      </c>
      <c r="BF33" t="s">
        <v>536</v>
      </c>
      <c r="BH33" s="6" t="s">
        <v>83</v>
      </c>
      <c r="BK33">
        <v>6</v>
      </c>
      <c r="BL33">
        <v>6</v>
      </c>
      <c r="BM33" t="s">
        <v>101</v>
      </c>
      <c r="BN33" s="3" t="s">
        <v>550</v>
      </c>
      <c r="BO33" s="5">
        <v>17556.8</v>
      </c>
      <c r="BP33" s="5">
        <v>35300.6</v>
      </c>
      <c r="BQ33" s="34">
        <v>0.44090755261950232</v>
      </c>
    </row>
    <row r="34" spans="1:69" x14ac:dyDescent="0.3">
      <c r="A34" s="3" t="s">
        <v>396</v>
      </c>
      <c r="B34" t="s">
        <v>67</v>
      </c>
      <c r="C34" t="s">
        <v>132</v>
      </c>
      <c r="D34" t="s">
        <v>190</v>
      </c>
      <c r="E34" t="s">
        <v>191</v>
      </c>
      <c r="F34" t="s">
        <v>154</v>
      </c>
      <c r="G34" t="s">
        <v>155</v>
      </c>
      <c r="H34" t="s">
        <v>73</v>
      </c>
      <c r="I34" t="s">
        <v>397</v>
      </c>
      <c r="J34" s="4">
        <v>45772</v>
      </c>
      <c r="K34" s="4">
        <v>46137</v>
      </c>
      <c r="L34" s="5">
        <v>10000</v>
      </c>
      <c r="M34" s="5">
        <v>10534.08</v>
      </c>
      <c r="N34">
        <v>119</v>
      </c>
      <c r="O34" t="s">
        <v>2728</v>
      </c>
      <c r="P34">
        <v>12</v>
      </c>
      <c r="Q34" t="s">
        <v>75</v>
      </c>
      <c r="R34">
        <v>1702.69</v>
      </c>
      <c r="S34">
        <v>696</v>
      </c>
      <c r="T34" s="5">
        <v>2443.39</v>
      </c>
      <c r="U34" s="5">
        <v>0</v>
      </c>
      <c r="V34">
        <v>4</v>
      </c>
      <c r="W34" s="5">
        <v>7900.56</v>
      </c>
      <c r="X34" s="5">
        <v>9196.1523386666649</v>
      </c>
      <c r="Y34" s="5">
        <v>3511.36</v>
      </c>
      <c r="Z34" s="5">
        <v>3067.4</v>
      </c>
      <c r="AA34" s="5">
        <v>174</v>
      </c>
      <c r="AB34" s="5">
        <v>2443.39</v>
      </c>
      <c r="AC34" s="5">
        <v>1000</v>
      </c>
      <c r="AD34" s="4">
        <v>46008</v>
      </c>
      <c r="AE34" t="s">
        <v>76</v>
      </c>
      <c r="AF34">
        <v>4472170440</v>
      </c>
      <c r="AG34" t="s">
        <v>398</v>
      </c>
      <c r="AI34" t="s">
        <v>399</v>
      </c>
      <c r="AJ34">
        <v>9411998</v>
      </c>
      <c r="AK34" t="s">
        <v>400</v>
      </c>
      <c r="AM34" t="s">
        <v>401</v>
      </c>
      <c r="AN34" t="s">
        <v>402</v>
      </c>
      <c r="AO34" t="s">
        <v>403</v>
      </c>
      <c r="AP34" t="s">
        <v>404</v>
      </c>
      <c r="AQ34" t="s">
        <v>405</v>
      </c>
      <c r="AR34" t="s">
        <v>405</v>
      </c>
      <c r="AY34" s="5">
        <v>17419.61</v>
      </c>
      <c r="AZ34" s="5">
        <v>0</v>
      </c>
      <c r="BA34">
        <v>1</v>
      </c>
      <c r="BB34" t="s">
        <v>204</v>
      </c>
      <c r="BC34" t="s">
        <v>406</v>
      </c>
      <c r="BD34" t="s">
        <v>407</v>
      </c>
      <c r="BE34" t="s">
        <v>149</v>
      </c>
      <c r="BF34" t="s">
        <v>132</v>
      </c>
      <c r="BH34" s="6" t="s">
        <v>83</v>
      </c>
      <c r="BK34">
        <v>6</v>
      </c>
      <c r="BL34">
        <v>6</v>
      </c>
      <c r="BM34" t="s">
        <v>101</v>
      </c>
      <c r="BN34" s="3" t="s">
        <v>408</v>
      </c>
      <c r="BO34" s="5">
        <v>7900.56</v>
      </c>
      <c r="BP34" s="5">
        <v>17419.61</v>
      </c>
      <c r="BQ34" s="34">
        <v>0.52791953084292154</v>
      </c>
    </row>
    <row r="35" spans="1:69" x14ac:dyDescent="0.3">
      <c r="A35" s="3" t="s">
        <v>520</v>
      </c>
      <c r="B35" t="s">
        <v>67</v>
      </c>
      <c r="C35" t="s">
        <v>68</v>
      </c>
      <c r="D35" t="s">
        <v>410</v>
      </c>
      <c r="E35" t="s">
        <v>411</v>
      </c>
      <c r="F35" t="s">
        <v>173</v>
      </c>
      <c r="G35" t="s">
        <v>174</v>
      </c>
      <c r="H35" t="s">
        <v>73</v>
      </c>
      <c r="I35" t="s">
        <v>521</v>
      </c>
      <c r="J35" s="4">
        <v>45832</v>
      </c>
      <c r="K35" s="4">
        <v>46015</v>
      </c>
      <c r="L35" s="5">
        <v>5000</v>
      </c>
      <c r="M35" s="5">
        <v>5267.04</v>
      </c>
      <c r="N35">
        <v>119</v>
      </c>
      <c r="O35" t="s">
        <v>2728</v>
      </c>
      <c r="P35">
        <v>6</v>
      </c>
      <c r="Q35" t="s">
        <v>75</v>
      </c>
      <c r="R35">
        <v>1320.32</v>
      </c>
      <c r="S35">
        <v>348</v>
      </c>
      <c r="T35" s="5">
        <v>2320</v>
      </c>
      <c r="U35" s="5">
        <v>0</v>
      </c>
      <c r="V35">
        <v>3.5</v>
      </c>
      <c r="W35" s="5">
        <v>4111.67</v>
      </c>
      <c r="X35" s="5">
        <v>6881.2618160000002</v>
      </c>
      <c r="Y35" s="5">
        <v>3233.83</v>
      </c>
      <c r="Z35" s="5">
        <v>1153.43</v>
      </c>
      <c r="AA35" s="5">
        <v>174</v>
      </c>
      <c r="AB35" s="5">
        <v>2320</v>
      </c>
      <c r="AC35" s="5">
        <v>1300</v>
      </c>
      <c r="AD35" s="4">
        <v>45929</v>
      </c>
      <c r="AE35" t="s">
        <v>76</v>
      </c>
      <c r="AF35">
        <v>5642385924</v>
      </c>
      <c r="AG35" t="s">
        <v>522</v>
      </c>
      <c r="AI35" t="s">
        <v>459</v>
      </c>
      <c r="AJ35">
        <v>6131023</v>
      </c>
      <c r="AK35" t="s">
        <v>523</v>
      </c>
      <c r="AL35" t="s">
        <v>524</v>
      </c>
      <c r="AM35" t="s">
        <v>525</v>
      </c>
      <c r="AN35" t="s">
        <v>526</v>
      </c>
      <c r="AO35" t="s">
        <v>527</v>
      </c>
      <c r="AP35" t="s">
        <v>528</v>
      </c>
      <c r="AQ35" t="s">
        <v>529</v>
      </c>
      <c r="AR35" t="s">
        <v>530</v>
      </c>
      <c r="AY35" s="5">
        <v>8143.58</v>
      </c>
      <c r="AZ35" s="5">
        <v>0</v>
      </c>
      <c r="BA35">
        <v>1</v>
      </c>
      <c r="BB35" t="s">
        <v>204</v>
      </c>
      <c r="BC35" t="s">
        <v>531</v>
      </c>
      <c r="BD35" t="s">
        <v>532</v>
      </c>
      <c r="BE35" t="s">
        <v>81</v>
      </c>
      <c r="BF35" t="s">
        <v>273</v>
      </c>
      <c r="BG35" t="s">
        <v>533</v>
      </c>
      <c r="BH35" s="6" t="s">
        <v>83</v>
      </c>
      <c r="BK35">
        <v>5</v>
      </c>
      <c r="BL35">
        <v>5</v>
      </c>
      <c r="BM35" t="s">
        <v>101</v>
      </c>
      <c r="BN35" s="3" t="s">
        <v>534</v>
      </c>
      <c r="BO35" s="5">
        <v>4111.67</v>
      </c>
      <c r="BP35" s="5">
        <v>8143.58</v>
      </c>
      <c r="BQ35" s="34">
        <v>0.84499222897055104</v>
      </c>
    </row>
    <row r="36" spans="1:69" x14ac:dyDescent="0.3">
      <c r="A36" s="3" t="s">
        <v>582</v>
      </c>
      <c r="B36" t="s">
        <v>67</v>
      </c>
      <c r="C36" t="s">
        <v>132</v>
      </c>
      <c r="D36" t="s">
        <v>190</v>
      </c>
      <c r="E36" t="s">
        <v>191</v>
      </c>
      <c r="F36" t="s">
        <v>154</v>
      </c>
      <c r="G36" t="s">
        <v>155</v>
      </c>
      <c r="H36" t="s">
        <v>73</v>
      </c>
      <c r="I36" t="s">
        <v>583</v>
      </c>
      <c r="J36" s="4">
        <v>45775</v>
      </c>
      <c r="K36" s="4">
        <v>46140</v>
      </c>
      <c r="L36" s="5">
        <v>10000</v>
      </c>
      <c r="M36" s="5">
        <v>10534.08</v>
      </c>
      <c r="N36">
        <v>116</v>
      </c>
      <c r="O36" t="s">
        <v>2728</v>
      </c>
      <c r="P36">
        <v>12</v>
      </c>
      <c r="Q36" t="s">
        <v>75</v>
      </c>
      <c r="R36">
        <v>1702.69</v>
      </c>
      <c r="S36">
        <v>696</v>
      </c>
      <c r="T36" s="5">
        <v>2320</v>
      </c>
      <c r="U36" s="5">
        <v>0</v>
      </c>
      <c r="V36">
        <v>3.6</v>
      </c>
      <c r="W36" s="5">
        <v>7900.56</v>
      </c>
      <c r="X36" s="5">
        <v>8430.1523386666649</v>
      </c>
      <c r="Y36" s="5">
        <v>3511.36</v>
      </c>
      <c r="Z36" s="5">
        <v>2424.79</v>
      </c>
      <c r="AA36" s="5">
        <v>174</v>
      </c>
      <c r="AB36" s="5">
        <v>2320</v>
      </c>
      <c r="AC36" s="5">
        <v>500</v>
      </c>
      <c r="AD36" s="4">
        <v>45959</v>
      </c>
      <c r="AE36" t="s">
        <v>76</v>
      </c>
      <c r="AF36">
        <v>4471414092</v>
      </c>
      <c r="AG36" t="s">
        <v>584</v>
      </c>
      <c r="AI36" t="s">
        <v>585</v>
      </c>
      <c r="AJ36">
        <v>2411023</v>
      </c>
      <c r="AK36" t="s">
        <v>586</v>
      </c>
      <c r="AL36" t="s">
        <v>587</v>
      </c>
      <c r="AM36" t="s">
        <v>588</v>
      </c>
      <c r="AN36" t="s">
        <v>589</v>
      </c>
      <c r="AO36" t="s">
        <v>590</v>
      </c>
      <c r="AP36" t="s">
        <v>591</v>
      </c>
      <c r="AQ36" t="s">
        <v>592</v>
      </c>
      <c r="AR36" t="s">
        <v>593</v>
      </c>
      <c r="AY36" s="5">
        <v>16653.61</v>
      </c>
      <c r="AZ36" s="5">
        <v>0</v>
      </c>
      <c r="BA36">
        <v>1</v>
      </c>
      <c r="BB36" t="s">
        <v>204</v>
      </c>
      <c r="BC36" t="s">
        <v>594</v>
      </c>
      <c r="BD36" t="s">
        <v>148</v>
      </c>
      <c r="BE36" t="s">
        <v>149</v>
      </c>
      <c r="BF36" t="s">
        <v>132</v>
      </c>
      <c r="BH36" s="6" t="s">
        <v>83</v>
      </c>
      <c r="BK36">
        <v>5</v>
      </c>
      <c r="BL36">
        <v>5</v>
      </c>
      <c r="BM36" t="s">
        <v>101</v>
      </c>
      <c r="BN36" s="3" t="s">
        <v>595</v>
      </c>
      <c r="BO36" s="5">
        <v>7900.56</v>
      </c>
      <c r="BP36" s="5">
        <v>16653.61</v>
      </c>
      <c r="BQ36" s="34">
        <v>0.50620570186684233</v>
      </c>
    </row>
    <row r="37" spans="1:69" x14ac:dyDescent="0.3">
      <c r="A37" s="3" t="s">
        <v>596</v>
      </c>
      <c r="B37" t="s">
        <v>67</v>
      </c>
      <c r="C37" t="s">
        <v>68</v>
      </c>
      <c r="D37" t="s">
        <v>410</v>
      </c>
      <c r="E37" t="s">
        <v>411</v>
      </c>
      <c r="F37" t="s">
        <v>173</v>
      </c>
      <c r="G37" t="s">
        <v>174</v>
      </c>
      <c r="H37" t="s">
        <v>73</v>
      </c>
      <c r="I37" t="s">
        <v>597</v>
      </c>
      <c r="J37" s="4">
        <v>45800</v>
      </c>
      <c r="K37" s="4">
        <v>45968</v>
      </c>
      <c r="L37" s="5">
        <v>5000</v>
      </c>
      <c r="M37" s="5">
        <v>5267.04</v>
      </c>
      <c r="N37">
        <v>115</v>
      </c>
      <c r="O37" t="s">
        <v>2728</v>
      </c>
      <c r="P37">
        <v>12</v>
      </c>
      <c r="Q37" t="s">
        <v>293</v>
      </c>
      <c r="R37">
        <v>673.4</v>
      </c>
      <c r="S37">
        <v>696</v>
      </c>
      <c r="T37" s="5">
        <v>3480</v>
      </c>
      <c r="U37" s="5">
        <v>12</v>
      </c>
      <c r="V37">
        <v>6</v>
      </c>
      <c r="W37" s="5">
        <v>2633.52</v>
      </c>
      <c r="X37" s="5">
        <v>7660.81</v>
      </c>
      <c r="Y37" s="5">
        <v>2633.52</v>
      </c>
      <c r="Z37" s="5">
        <v>1058.8800000000001</v>
      </c>
      <c r="AA37" s="5">
        <v>488.41</v>
      </c>
      <c r="AB37" s="5">
        <v>3480</v>
      </c>
      <c r="AC37" s="5">
        <v>680</v>
      </c>
      <c r="AD37" s="4">
        <v>45884</v>
      </c>
      <c r="AE37" t="s">
        <v>76</v>
      </c>
      <c r="AF37">
        <v>7224078649</v>
      </c>
      <c r="AG37" t="s">
        <v>598</v>
      </c>
      <c r="AI37" t="s">
        <v>370</v>
      </c>
      <c r="AJ37">
        <v>8944098</v>
      </c>
      <c r="AM37" t="s">
        <v>599</v>
      </c>
      <c r="AN37" t="s">
        <v>600</v>
      </c>
      <c r="AO37" t="s">
        <v>601</v>
      </c>
      <c r="AP37" t="s">
        <v>602</v>
      </c>
      <c r="AQ37" t="s">
        <v>603</v>
      </c>
      <c r="AR37" t="s">
        <v>604</v>
      </c>
      <c r="AY37" s="5">
        <v>7660.81</v>
      </c>
      <c r="AZ37" s="5">
        <v>0</v>
      </c>
      <c r="BA37">
        <v>1</v>
      </c>
      <c r="BB37" t="s">
        <v>204</v>
      </c>
      <c r="BC37" t="s">
        <v>605</v>
      </c>
      <c r="BD37" t="s">
        <v>80</v>
      </c>
      <c r="BE37" t="s">
        <v>81</v>
      </c>
      <c r="BF37" t="s">
        <v>82</v>
      </c>
      <c r="BH37" s="6" t="s">
        <v>83</v>
      </c>
      <c r="BK37">
        <v>10</v>
      </c>
      <c r="BL37">
        <v>9</v>
      </c>
      <c r="BM37" t="s">
        <v>101</v>
      </c>
      <c r="BN37" s="3" t="s">
        <v>606</v>
      </c>
      <c r="BO37" s="5">
        <v>2633.52</v>
      </c>
      <c r="BP37" s="5">
        <v>7660.81</v>
      </c>
      <c r="BQ37" s="34">
        <v>1</v>
      </c>
    </row>
    <row r="38" spans="1:69" x14ac:dyDescent="0.3">
      <c r="A38" s="3" t="s">
        <v>622</v>
      </c>
      <c r="B38" t="s">
        <v>67</v>
      </c>
      <c r="C38" t="s">
        <v>189</v>
      </c>
      <c r="D38" t="s">
        <v>276</v>
      </c>
      <c r="E38" t="s">
        <v>277</v>
      </c>
      <c r="F38" t="s">
        <v>192</v>
      </c>
      <c r="G38" t="s">
        <v>193</v>
      </c>
      <c r="H38" t="s">
        <v>73</v>
      </c>
      <c r="I38" t="s">
        <v>623</v>
      </c>
      <c r="J38" s="4">
        <v>45807</v>
      </c>
      <c r="K38" s="4">
        <v>46031</v>
      </c>
      <c r="L38" s="5">
        <v>10000</v>
      </c>
      <c r="M38" s="5">
        <v>10534.08</v>
      </c>
      <c r="N38">
        <v>108</v>
      </c>
      <c r="O38" t="s">
        <v>2728</v>
      </c>
      <c r="P38">
        <v>16</v>
      </c>
      <c r="Q38" t="s">
        <v>293</v>
      </c>
      <c r="R38">
        <v>1069.3399999999999</v>
      </c>
      <c r="S38">
        <v>928</v>
      </c>
      <c r="T38" s="5">
        <v>4640</v>
      </c>
      <c r="U38" s="5">
        <v>14</v>
      </c>
      <c r="V38">
        <v>8</v>
      </c>
      <c r="W38" s="5">
        <v>6583.8</v>
      </c>
      <c r="X38" s="5">
        <v>13190.79</v>
      </c>
      <c r="Y38" s="5">
        <v>5267.04</v>
      </c>
      <c r="Z38" s="5">
        <v>2823.7</v>
      </c>
      <c r="AA38" s="5">
        <v>460.05</v>
      </c>
      <c r="AB38" s="5">
        <v>4640</v>
      </c>
      <c r="AC38" s="5">
        <v>1070</v>
      </c>
      <c r="AD38" s="4">
        <v>45891</v>
      </c>
      <c r="AE38" t="s">
        <v>76</v>
      </c>
      <c r="AF38">
        <v>7221191802</v>
      </c>
      <c r="AG38" t="s">
        <v>624</v>
      </c>
      <c r="AI38" t="s">
        <v>370</v>
      </c>
      <c r="AJ38">
        <v>8944098</v>
      </c>
      <c r="AM38" t="s">
        <v>625</v>
      </c>
      <c r="AN38" t="s">
        <v>626</v>
      </c>
      <c r="AO38" t="s">
        <v>627</v>
      </c>
      <c r="AP38" t="s">
        <v>628</v>
      </c>
      <c r="AQ38" t="s">
        <v>629</v>
      </c>
      <c r="AR38" t="s">
        <v>630</v>
      </c>
      <c r="AY38" s="5">
        <v>15213.47</v>
      </c>
      <c r="AZ38" s="5">
        <v>0</v>
      </c>
      <c r="BA38">
        <v>1</v>
      </c>
      <c r="BB38" t="s">
        <v>204</v>
      </c>
      <c r="BC38" t="s">
        <v>631</v>
      </c>
      <c r="BD38" t="s">
        <v>632</v>
      </c>
      <c r="BE38" t="s">
        <v>81</v>
      </c>
      <c r="BF38" t="s">
        <v>112</v>
      </c>
      <c r="BH38" s="6" t="s">
        <v>83</v>
      </c>
      <c r="BK38">
        <v>8</v>
      </c>
      <c r="BL38">
        <v>8</v>
      </c>
      <c r="BM38" t="s">
        <v>101</v>
      </c>
      <c r="BN38" s="3" t="s">
        <v>633</v>
      </c>
      <c r="BO38" s="5">
        <v>6583.8</v>
      </c>
      <c r="BP38" s="5">
        <v>15213.47</v>
      </c>
      <c r="BQ38" s="34">
        <v>0.86704676842298301</v>
      </c>
    </row>
    <row r="39" spans="1:69" x14ac:dyDescent="0.3">
      <c r="A39" s="3" t="s">
        <v>607</v>
      </c>
      <c r="B39" t="s">
        <v>67</v>
      </c>
      <c r="C39" t="s">
        <v>104</v>
      </c>
      <c r="D39" t="s">
        <v>190</v>
      </c>
      <c r="E39" t="s">
        <v>191</v>
      </c>
      <c r="F39" t="s">
        <v>608</v>
      </c>
      <c r="G39" t="s">
        <v>609</v>
      </c>
      <c r="H39" t="s">
        <v>73</v>
      </c>
      <c r="I39" t="s">
        <v>610</v>
      </c>
      <c r="J39" s="4">
        <v>45874</v>
      </c>
      <c r="K39" s="4">
        <v>45966</v>
      </c>
      <c r="L39" s="5">
        <v>0</v>
      </c>
      <c r="M39" s="5">
        <v>210000</v>
      </c>
      <c r="N39">
        <v>108</v>
      </c>
      <c r="O39" t="s">
        <v>2728</v>
      </c>
      <c r="P39">
        <v>3</v>
      </c>
      <c r="Q39" t="s">
        <v>75</v>
      </c>
      <c r="R39">
        <v>18403</v>
      </c>
      <c r="S39">
        <v>17409</v>
      </c>
      <c r="T39" s="5">
        <v>0</v>
      </c>
      <c r="U39" s="5">
        <v>0</v>
      </c>
      <c r="V39">
        <v>7.2</v>
      </c>
      <c r="W39" s="5">
        <v>210000</v>
      </c>
      <c r="X39" s="5">
        <v>277809</v>
      </c>
      <c r="Y39" s="5">
        <v>210000</v>
      </c>
      <c r="Z39" s="5">
        <v>50400</v>
      </c>
      <c r="AA39" s="5">
        <v>17409</v>
      </c>
      <c r="AB39" s="5">
        <v>0</v>
      </c>
      <c r="AC39" s="5"/>
      <c r="AD39" s="4"/>
      <c r="AE39" t="s">
        <v>76</v>
      </c>
      <c r="AF39">
        <v>5510686525</v>
      </c>
      <c r="AG39" t="s">
        <v>611</v>
      </c>
      <c r="AI39" t="s">
        <v>612</v>
      </c>
      <c r="AJ39">
        <v>8429012</v>
      </c>
      <c r="AK39" t="s">
        <v>613</v>
      </c>
      <c r="AL39" t="s">
        <v>614</v>
      </c>
      <c r="AM39" t="s">
        <v>615</v>
      </c>
      <c r="AN39" t="s">
        <v>616</v>
      </c>
      <c r="AY39" s="5">
        <v>277809</v>
      </c>
      <c r="AZ39" s="5">
        <v>0</v>
      </c>
      <c r="BA39">
        <v>2</v>
      </c>
      <c r="BB39" t="s">
        <v>617</v>
      </c>
      <c r="BC39" t="s">
        <v>618</v>
      </c>
      <c r="BD39" t="s">
        <v>619</v>
      </c>
      <c r="BE39" t="s">
        <v>81</v>
      </c>
      <c r="BF39" t="s">
        <v>620</v>
      </c>
      <c r="BH39" s="6" t="s">
        <v>83</v>
      </c>
      <c r="BK39">
        <v>4</v>
      </c>
      <c r="BL39">
        <v>4</v>
      </c>
      <c r="BM39" t="s">
        <v>101</v>
      </c>
      <c r="BN39" s="3" t="s">
        <v>621</v>
      </c>
      <c r="BO39" s="5">
        <v>210000</v>
      </c>
      <c r="BP39" s="5">
        <v>277809</v>
      </c>
      <c r="BQ39" s="34">
        <v>1</v>
      </c>
    </row>
    <row r="40" spans="1:69" x14ac:dyDescent="0.3">
      <c r="A40" s="3" t="s">
        <v>634</v>
      </c>
      <c r="B40" t="s">
        <v>67</v>
      </c>
      <c r="C40" t="s">
        <v>189</v>
      </c>
      <c r="D40" t="s">
        <v>276</v>
      </c>
      <c r="E40" t="s">
        <v>277</v>
      </c>
      <c r="F40" t="s">
        <v>192</v>
      </c>
      <c r="G40" t="s">
        <v>193</v>
      </c>
      <c r="H40" t="s">
        <v>73</v>
      </c>
      <c r="I40" t="s">
        <v>635</v>
      </c>
      <c r="J40" s="4">
        <v>45846</v>
      </c>
      <c r="K40" s="4">
        <v>46211</v>
      </c>
      <c r="L40" s="5">
        <v>10000</v>
      </c>
      <c r="M40" s="5">
        <v>10534.08</v>
      </c>
      <c r="N40">
        <v>105</v>
      </c>
      <c r="O40" t="s">
        <v>2728</v>
      </c>
      <c r="P40">
        <v>12</v>
      </c>
      <c r="Q40" t="s">
        <v>75</v>
      </c>
      <c r="R40">
        <v>1702.69</v>
      </c>
      <c r="S40">
        <v>696</v>
      </c>
      <c r="T40" s="5">
        <v>2320</v>
      </c>
      <c r="U40" s="5">
        <v>0</v>
      </c>
      <c r="V40">
        <v>4</v>
      </c>
      <c r="W40" s="5">
        <v>9656.24</v>
      </c>
      <c r="X40" s="5">
        <v>9129.4600000000009</v>
      </c>
      <c r="Y40" s="5">
        <v>3511.36</v>
      </c>
      <c r="Z40" s="5">
        <v>3067.41</v>
      </c>
      <c r="AA40" s="5">
        <v>230.69</v>
      </c>
      <c r="AB40" s="5">
        <v>2320</v>
      </c>
      <c r="AC40" s="5">
        <v>2284</v>
      </c>
      <c r="AD40" s="4">
        <v>45890</v>
      </c>
      <c r="AE40" t="s">
        <v>76</v>
      </c>
      <c r="AF40">
        <v>7226407121</v>
      </c>
      <c r="AG40" t="s">
        <v>636</v>
      </c>
      <c r="AI40" t="s">
        <v>414</v>
      </c>
      <c r="AJ40">
        <v>6999041</v>
      </c>
      <c r="AM40" t="s">
        <v>637</v>
      </c>
      <c r="AN40" t="s">
        <v>638</v>
      </c>
      <c r="AO40" t="s">
        <v>639</v>
      </c>
      <c r="AP40" t="s">
        <v>640</v>
      </c>
      <c r="AQ40" t="s">
        <v>641</v>
      </c>
      <c r="AR40" t="s">
        <v>642</v>
      </c>
      <c r="AY40" s="5">
        <v>20642.3</v>
      </c>
      <c r="AZ40" s="5">
        <v>0</v>
      </c>
      <c r="BA40">
        <v>1</v>
      </c>
      <c r="BB40" t="s">
        <v>204</v>
      </c>
      <c r="BC40" t="s">
        <v>643</v>
      </c>
      <c r="BD40" t="s">
        <v>644</v>
      </c>
      <c r="BE40" t="s">
        <v>81</v>
      </c>
      <c r="BF40" t="s">
        <v>260</v>
      </c>
      <c r="BG40" t="s">
        <v>645</v>
      </c>
      <c r="BH40" s="6" t="s">
        <v>83</v>
      </c>
      <c r="BK40">
        <v>5</v>
      </c>
      <c r="BL40">
        <v>5</v>
      </c>
      <c r="BM40" t="s">
        <v>101</v>
      </c>
      <c r="BN40" s="3" t="s">
        <v>646</v>
      </c>
      <c r="BO40" s="5">
        <v>9656.24</v>
      </c>
      <c r="BP40" s="5">
        <v>20642.3</v>
      </c>
      <c r="BQ40" s="34">
        <v>0.44226951454053087</v>
      </c>
    </row>
    <row r="41" spans="1:69" x14ac:dyDescent="0.3">
      <c r="A41" s="3" t="s">
        <v>662</v>
      </c>
      <c r="B41" t="s">
        <v>67</v>
      </c>
      <c r="C41" t="s">
        <v>68</v>
      </c>
      <c r="D41" t="s">
        <v>335</v>
      </c>
      <c r="E41" t="s">
        <v>336</v>
      </c>
      <c r="F41" t="s">
        <v>173</v>
      </c>
      <c r="G41" t="s">
        <v>174</v>
      </c>
      <c r="H41" t="s">
        <v>73</v>
      </c>
      <c r="I41" t="s">
        <v>663</v>
      </c>
      <c r="J41" s="4">
        <v>45811</v>
      </c>
      <c r="K41" s="4">
        <v>46147</v>
      </c>
      <c r="L41" s="5">
        <v>25000</v>
      </c>
      <c r="M41" s="5">
        <v>26335.19</v>
      </c>
      <c r="N41">
        <v>104</v>
      </c>
      <c r="O41" t="s">
        <v>2728</v>
      </c>
      <c r="P41">
        <v>24</v>
      </c>
      <c r="Q41" t="s">
        <v>293</v>
      </c>
      <c r="R41">
        <v>2037.7</v>
      </c>
      <c r="S41">
        <v>1392</v>
      </c>
      <c r="T41" s="5">
        <v>5153.43</v>
      </c>
      <c r="U41" s="5">
        <v>14</v>
      </c>
      <c r="V41">
        <v>8</v>
      </c>
      <c r="W41" s="5">
        <v>19751.39</v>
      </c>
      <c r="X41" s="5">
        <v>21397.056227733301</v>
      </c>
      <c r="Y41" s="5">
        <v>8778.39</v>
      </c>
      <c r="Z41" s="5">
        <v>7059.23</v>
      </c>
      <c r="AA41" s="5">
        <v>406</v>
      </c>
      <c r="AB41" s="5">
        <v>5153.43</v>
      </c>
      <c r="AC41" s="5">
        <v>700</v>
      </c>
      <c r="AD41" s="4">
        <v>45944</v>
      </c>
      <c r="AE41" t="s">
        <v>76</v>
      </c>
      <c r="AF41">
        <v>7293511678</v>
      </c>
      <c r="AG41" t="s">
        <v>664</v>
      </c>
      <c r="AI41" t="s">
        <v>211</v>
      </c>
      <c r="AJ41">
        <v>6211023</v>
      </c>
      <c r="AK41" t="s">
        <v>665</v>
      </c>
      <c r="AL41" t="s">
        <v>666</v>
      </c>
      <c r="AM41" t="s">
        <v>667</v>
      </c>
      <c r="AN41" t="s">
        <v>668</v>
      </c>
      <c r="AO41" t="s">
        <v>669</v>
      </c>
      <c r="AP41" t="s">
        <v>670</v>
      </c>
      <c r="AQ41" t="s">
        <v>671</v>
      </c>
      <c r="AR41" t="s">
        <v>672</v>
      </c>
      <c r="AY41" s="5">
        <v>41194.1</v>
      </c>
      <c r="AZ41" s="5">
        <v>0</v>
      </c>
      <c r="BA41">
        <v>1</v>
      </c>
      <c r="BB41" t="s">
        <v>204</v>
      </c>
      <c r="BC41" t="s">
        <v>673</v>
      </c>
      <c r="BD41" t="s">
        <v>674</v>
      </c>
      <c r="BE41" t="s">
        <v>81</v>
      </c>
      <c r="BF41" t="s">
        <v>82</v>
      </c>
      <c r="BG41" t="s">
        <v>675</v>
      </c>
      <c r="BH41" s="6" t="s">
        <v>83</v>
      </c>
      <c r="BK41">
        <v>12</v>
      </c>
      <c r="BL41">
        <v>11</v>
      </c>
      <c r="BM41" t="s">
        <v>101</v>
      </c>
      <c r="BN41" s="3" t="s">
        <v>676</v>
      </c>
      <c r="BO41" s="5">
        <v>19751.39</v>
      </c>
      <c r="BP41" s="5">
        <v>41194.1</v>
      </c>
      <c r="BQ41" s="34">
        <v>0.51942040796457023</v>
      </c>
    </row>
    <row r="42" spans="1:69" x14ac:dyDescent="0.3">
      <c r="A42" s="3" t="s">
        <v>677</v>
      </c>
      <c r="B42" t="s">
        <v>67</v>
      </c>
      <c r="C42" t="s">
        <v>68</v>
      </c>
      <c r="D42" t="s">
        <v>335</v>
      </c>
      <c r="E42" t="s">
        <v>336</v>
      </c>
      <c r="F42" t="s">
        <v>173</v>
      </c>
      <c r="G42" t="s">
        <v>174</v>
      </c>
      <c r="H42" t="s">
        <v>73</v>
      </c>
      <c r="I42" t="s">
        <v>678</v>
      </c>
      <c r="J42" s="4">
        <v>45811</v>
      </c>
      <c r="K42" s="4">
        <v>45979</v>
      </c>
      <c r="L42" s="5">
        <v>7000</v>
      </c>
      <c r="M42" s="5">
        <v>7373.85</v>
      </c>
      <c r="N42">
        <v>104</v>
      </c>
      <c r="O42" t="s">
        <v>2728</v>
      </c>
      <c r="P42">
        <v>12</v>
      </c>
      <c r="Q42" t="s">
        <v>293</v>
      </c>
      <c r="R42">
        <v>919.56000000000006</v>
      </c>
      <c r="S42">
        <v>696</v>
      </c>
      <c r="T42" s="5">
        <v>3480.01</v>
      </c>
      <c r="U42" s="5">
        <v>12</v>
      </c>
      <c r="V42">
        <v>6</v>
      </c>
      <c r="W42" s="5">
        <v>3686.92</v>
      </c>
      <c r="X42" s="5">
        <v>9112.73</v>
      </c>
      <c r="Y42" s="5">
        <v>3686.92</v>
      </c>
      <c r="Z42" s="5">
        <v>1482.44</v>
      </c>
      <c r="AA42" s="5">
        <v>463.36</v>
      </c>
      <c r="AB42" s="5">
        <v>3480.01</v>
      </c>
      <c r="AC42" s="5">
        <v>1498</v>
      </c>
      <c r="AD42" s="4">
        <v>45908</v>
      </c>
      <c r="AE42" t="s">
        <v>76</v>
      </c>
      <c r="AF42">
        <v>7292966799</v>
      </c>
      <c r="AG42" t="s">
        <v>679</v>
      </c>
      <c r="AI42" t="s">
        <v>680</v>
      </c>
      <c r="AJ42">
        <v>7114010</v>
      </c>
      <c r="AM42" t="s">
        <v>681</v>
      </c>
      <c r="AN42" t="s">
        <v>682</v>
      </c>
      <c r="AO42" t="s">
        <v>683</v>
      </c>
      <c r="AP42" t="s">
        <v>684</v>
      </c>
      <c r="AQ42" t="s">
        <v>685</v>
      </c>
      <c r="AR42" t="s">
        <v>686</v>
      </c>
      <c r="AY42" s="5">
        <v>9112.73</v>
      </c>
      <c r="AZ42" s="5">
        <v>0</v>
      </c>
      <c r="BA42">
        <v>1</v>
      </c>
      <c r="BB42" t="s">
        <v>204</v>
      </c>
      <c r="BC42" t="s">
        <v>687</v>
      </c>
      <c r="BD42" t="s">
        <v>119</v>
      </c>
      <c r="BE42" t="s">
        <v>81</v>
      </c>
      <c r="BF42" t="s">
        <v>82</v>
      </c>
      <c r="BH42" s="6" t="s">
        <v>83</v>
      </c>
      <c r="BK42">
        <v>13</v>
      </c>
      <c r="BL42">
        <v>13</v>
      </c>
      <c r="BM42" t="s">
        <v>101</v>
      </c>
      <c r="BN42" s="3" t="s">
        <v>688</v>
      </c>
      <c r="BO42" s="5">
        <v>3686.92</v>
      </c>
      <c r="BP42" s="5">
        <v>9112.73</v>
      </c>
      <c r="BQ42" s="34">
        <v>1</v>
      </c>
    </row>
    <row r="43" spans="1:69" x14ac:dyDescent="0.3">
      <c r="A43" s="3" t="s">
        <v>456</v>
      </c>
      <c r="B43" t="s">
        <v>67</v>
      </c>
      <c r="C43" t="s">
        <v>189</v>
      </c>
      <c r="D43" t="s">
        <v>276</v>
      </c>
      <c r="E43" t="s">
        <v>277</v>
      </c>
      <c r="F43" t="s">
        <v>192</v>
      </c>
      <c r="G43" t="s">
        <v>193</v>
      </c>
      <c r="H43" t="s">
        <v>73</v>
      </c>
      <c r="I43" t="s">
        <v>457</v>
      </c>
      <c r="J43" s="4">
        <v>45848</v>
      </c>
      <c r="K43" s="4">
        <v>46032</v>
      </c>
      <c r="L43" s="5">
        <v>5000</v>
      </c>
      <c r="M43" s="5">
        <v>5267.04</v>
      </c>
      <c r="N43">
        <v>103</v>
      </c>
      <c r="O43" t="s">
        <v>2728</v>
      </c>
      <c r="P43">
        <v>6</v>
      </c>
      <c r="Q43" t="s">
        <v>75</v>
      </c>
      <c r="R43">
        <v>1322.42</v>
      </c>
      <c r="S43">
        <v>348</v>
      </c>
      <c r="T43" s="5">
        <v>2780.42</v>
      </c>
      <c r="U43" s="5">
        <v>0</v>
      </c>
      <c r="V43">
        <v>4</v>
      </c>
      <c r="W43" s="5">
        <v>4389.2</v>
      </c>
      <c r="X43" s="5">
        <v>8012.09</v>
      </c>
      <c r="Y43" s="5">
        <v>3511.36</v>
      </c>
      <c r="Z43" s="5">
        <v>1546.31</v>
      </c>
      <c r="AA43" s="5">
        <v>174</v>
      </c>
      <c r="AB43" s="5">
        <v>2780.42</v>
      </c>
      <c r="AC43" s="5">
        <v>500</v>
      </c>
      <c r="AD43" s="4">
        <v>45994</v>
      </c>
      <c r="AE43" t="s">
        <v>76</v>
      </c>
      <c r="AF43">
        <v>7223150550</v>
      </c>
      <c r="AG43" t="s">
        <v>458</v>
      </c>
      <c r="AI43" t="s">
        <v>459</v>
      </c>
      <c r="AJ43">
        <v>6131023</v>
      </c>
      <c r="AM43" t="s">
        <v>460</v>
      </c>
      <c r="AN43" t="s">
        <v>461</v>
      </c>
      <c r="AO43" t="s">
        <v>462</v>
      </c>
      <c r="AP43" t="s">
        <v>463</v>
      </c>
      <c r="AQ43" t="s">
        <v>464</v>
      </c>
      <c r="AR43" t="s">
        <v>465</v>
      </c>
      <c r="AY43" s="5">
        <v>9276.5</v>
      </c>
      <c r="AZ43" s="5">
        <v>0</v>
      </c>
      <c r="BA43">
        <v>1</v>
      </c>
      <c r="BB43" t="s">
        <v>204</v>
      </c>
      <c r="BC43" t="s">
        <v>466</v>
      </c>
      <c r="BD43" t="s">
        <v>467</v>
      </c>
      <c r="BE43" t="s">
        <v>81</v>
      </c>
      <c r="BF43" t="s">
        <v>260</v>
      </c>
      <c r="BG43" t="s">
        <v>468</v>
      </c>
      <c r="BH43" s="6" t="s">
        <v>83</v>
      </c>
      <c r="BK43">
        <v>5</v>
      </c>
      <c r="BL43">
        <v>5</v>
      </c>
      <c r="BM43" t="s">
        <v>101</v>
      </c>
      <c r="BN43" s="3" t="s">
        <v>469</v>
      </c>
      <c r="BO43" s="5">
        <v>4389.2</v>
      </c>
      <c r="BP43" s="5">
        <v>9276.5</v>
      </c>
      <c r="BQ43" s="34">
        <v>0.86369751522664795</v>
      </c>
    </row>
    <row r="44" spans="1:69" x14ac:dyDescent="0.3">
      <c r="A44" s="3" t="s">
        <v>689</v>
      </c>
      <c r="B44" t="s">
        <v>67</v>
      </c>
      <c r="C44" t="s">
        <v>189</v>
      </c>
      <c r="D44" t="s">
        <v>353</v>
      </c>
      <c r="E44" t="s">
        <v>354</v>
      </c>
      <c r="F44" t="s">
        <v>192</v>
      </c>
      <c r="G44" t="s">
        <v>193</v>
      </c>
      <c r="H44" t="s">
        <v>73</v>
      </c>
      <c r="I44" t="s">
        <v>690</v>
      </c>
      <c r="J44" s="4">
        <v>45799</v>
      </c>
      <c r="K44" s="4">
        <v>45967</v>
      </c>
      <c r="L44" s="5">
        <v>5000</v>
      </c>
      <c r="M44" s="5">
        <v>5267.04</v>
      </c>
      <c r="N44">
        <v>102</v>
      </c>
      <c r="O44" t="s">
        <v>2728</v>
      </c>
      <c r="P44">
        <v>12</v>
      </c>
      <c r="Q44" t="s">
        <v>293</v>
      </c>
      <c r="R44">
        <v>673.4</v>
      </c>
      <c r="S44">
        <v>696</v>
      </c>
      <c r="T44" s="5">
        <v>2900</v>
      </c>
      <c r="U44" s="5">
        <v>12</v>
      </c>
      <c r="V44">
        <v>5</v>
      </c>
      <c r="W44" s="5">
        <v>2194.6</v>
      </c>
      <c r="X44" s="5">
        <v>6430.81</v>
      </c>
      <c r="Y44" s="5">
        <v>2194.6</v>
      </c>
      <c r="Z44" s="5">
        <v>882.4</v>
      </c>
      <c r="AA44" s="5">
        <v>453.81</v>
      </c>
      <c r="AB44" s="5">
        <v>2900</v>
      </c>
      <c r="AC44" s="5">
        <v>675</v>
      </c>
      <c r="AD44" s="4">
        <v>45897</v>
      </c>
      <c r="AE44" t="s">
        <v>76</v>
      </c>
      <c r="AF44">
        <v>7298803794</v>
      </c>
      <c r="AG44" t="s">
        <v>691</v>
      </c>
      <c r="AI44" t="s">
        <v>158</v>
      </c>
      <c r="AJ44">
        <v>8711021</v>
      </c>
      <c r="AM44" t="s">
        <v>692</v>
      </c>
      <c r="AN44" t="s">
        <v>693</v>
      </c>
      <c r="AO44" t="s">
        <v>694</v>
      </c>
      <c r="AP44" t="s">
        <v>695</v>
      </c>
      <c r="AQ44" t="s">
        <v>696</v>
      </c>
      <c r="AR44" t="s">
        <v>697</v>
      </c>
      <c r="AY44" s="5">
        <v>6430.81</v>
      </c>
      <c r="AZ44" s="5">
        <v>0</v>
      </c>
      <c r="BA44">
        <v>1</v>
      </c>
      <c r="BB44" t="s">
        <v>204</v>
      </c>
      <c r="BC44" t="s">
        <v>698</v>
      </c>
      <c r="BD44" t="s">
        <v>288</v>
      </c>
      <c r="BE44" t="s">
        <v>81</v>
      </c>
      <c r="BF44" t="s">
        <v>189</v>
      </c>
      <c r="BH44" s="6" t="s">
        <v>83</v>
      </c>
      <c r="BK44">
        <v>9</v>
      </c>
      <c r="BL44">
        <v>9</v>
      </c>
      <c r="BM44" t="s">
        <v>101</v>
      </c>
      <c r="BN44" s="3" t="s">
        <v>699</v>
      </c>
      <c r="BO44" s="5">
        <v>2194.6</v>
      </c>
      <c r="BP44" s="5">
        <v>6430.81</v>
      </c>
      <c r="BQ44" s="34">
        <v>1</v>
      </c>
    </row>
    <row r="45" spans="1:69" x14ac:dyDescent="0.3">
      <c r="A45" s="3" t="s">
        <v>739</v>
      </c>
      <c r="B45" t="s">
        <v>67</v>
      </c>
      <c r="C45" t="s">
        <v>189</v>
      </c>
      <c r="D45" t="s">
        <v>353</v>
      </c>
      <c r="E45" t="s">
        <v>354</v>
      </c>
      <c r="F45" t="s">
        <v>192</v>
      </c>
      <c r="G45" t="s">
        <v>193</v>
      </c>
      <c r="H45" t="s">
        <v>73</v>
      </c>
      <c r="I45" t="s">
        <v>740</v>
      </c>
      <c r="J45" s="4">
        <v>45853</v>
      </c>
      <c r="K45" s="4">
        <v>46218</v>
      </c>
      <c r="L45" s="5">
        <v>10000</v>
      </c>
      <c r="M45" s="5">
        <v>10534.08</v>
      </c>
      <c r="N45">
        <v>98</v>
      </c>
      <c r="O45" t="s">
        <v>2728</v>
      </c>
      <c r="P45">
        <v>12</v>
      </c>
      <c r="Q45" t="s">
        <v>75</v>
      </c>
      <c r="R45">
        <v>1702.69</v>
      </c>
      <c r="S45">
        <v>696</v>
      </c>
      <c r="T45" s="5">
        <v>2320</v>
      </c>
      <c r="U45" s="5">
        <v>0</v>
      </c>
      <c r="V45">
        <v>3.2</v>
      </c>
      <c r="W45" s="5">
        <v>9043.7800000000007</v>
      </c>
      <c r="X45" s="5">
        <v>7693.46</v>
      </c>
      <c r="Y45" s="5">
        <v>2898.9</v>
      </c>
      <c r="Z45" s="5">
        <v>2300.56</v>
      </c>
      <c r="AA45" s="5">
        <v>174</v>
      </c>
      <c r="AB45" s="5">
        <v>2320</v>
      </c>
      <c r="AC45" s="5">
        <v>2000</v>
      </c>
      <c r="AD45" s="4">
        <v>45975</v>
      </c>
      <c r="AE45" t="s">
        <v>76</v>
      </c>
      <c r="AF45">
        <v>7223455461</v>
      </c>
      <c r="AG45" t="s">
        <v>741</v>
      </c>
      <c r="AI45" t="s">
        <v>357</v>
      </c>
      <c r="AJ45">
        <v>2071017</v>
      </c>
      <c r="AK45" t="s">
        <v>742</v>
      </c>
      <c r="AM45" t="s">
        <v>743</v>
      </c>
      <c r="AN45" t="s">
        <v>744</v>
      </c>
      <c r="AO45" t="s">
        <v>745</v>
      </c>
      <c r="AP45" t="s">
        <v>746</v>
      </c>
      <c r="AQ45" t="s">
        <v>747</v>
      </c>
      <c r="AR45" t="s">
        <v>748</v>
      </c>
      <c r="AY45" s="5">
        <v>19206.3</v>
      </c>
      <c r="AZ45" s="5">
        <v>0</v>
      </c>
      <c r="BA45">
        <v>1</v>
      </c>
      <c r="BB45" t="s">
        <v>204</v>
      </c>
      <c r="BC45" t="s">
        <v>749</v>
      </c>
      <c r="BD45" t="s">
        <v>750</v>
      </c>
      <c r="BE45" t="s">
        <v>81</v>
      </c>
      <c r="BF45" t="s">
        <v>189</v>
      </c>
      <c r="BG45" t="s">
        <v>751</v>
      </c>
      <c r="BH45" s="6" t="s">
        <v>83</v>
      </c>
      <c r="BK45">
        <v>5</v>
      </c>
      <c r="BL45">
        <v>5</v>
      </c>
      <c r="BM45" t="s">
        <v>101</v>
      </c>
      <c r="BN45" s="3" t="s">
        <v>752</v>
      </c>
      <c r="BO45" s="5">
        <v>9043.7800000000007</v>
      </c>
      <c r="BP45" s="5">
        <v>19206.3</v>
      </c>
      <c r="BQ45" s="34">
        <v>0.40056960476510312</v>
      </c>
    </row>
    <row r="46" spans="1:69" x14ac:dyDescent="0.3">
      <c r="A46" s="3" t="s">
        <v>728</v>
      </c>
      <c r="B46" t="s">
        <v>67</v>
      </c>
      <c r="C46" t="s">
        <v>189</v>
      </c>
      <c r="D46" t="s">
        <v>276</v>
      </c>
      <c r="E46" t="s">
        <v>277</v>
      </c>
      <c r="F46" t="s">
        <v>192</v>
      </c>
      <c r="G46" t="s">
        <v>193</v>
      </c>
      <c r="H46" t="s">
        <v>73</v>
      </c>
      <c r="I46" t="s">
        <v>729</v>
      </c>
      <c r="J46" s="4">
        <v>45803</v>
      </c>
      <c r="K46" s="4">
        <v>45915</v>
      </c>
      <c r="L46" s="5">
        <v>5000</v>
      </c>
      <c r="M46" s="5">
        <v>5267.04</v>
      </c>
      <c r="N46">
        <v>98</v>
      </c>
      <c r="O46" t="s">
        <v>2728</v>
      </c>
      <c r="P46">
        <v>16</v>
      </c>
      <c r="Q46" t="s">
        <v>279</v>
      </c>
      <c r="R46">
        <v>475.43</v>
      </c>
      <c r="S46">
        <v>928</v>
      </c>
      <c r="T46" s="5">
        <v>0</v>
      </c>
      <c r="U46" s="5">
        <v>16</v>
      </c>
      <c r="V46">
        <v>0.1</v>
      </c>
      <c r="W46" s="5">
        <v>26.89</v>
      </c>
      <c r="X46" s="5">
        <v>432.89</v>
      </c>
      <c r="Y46" s="5">
        <v>26.89</v>
      </c>
      <c r="Z46" s="5">
        <v>0</v>
      </c>
      <c r="AA46" s="5">
        <v>406</v>
      </c>
      <c r="AB46" s="5">
        <v>0</v>
      </c>
      <c r="AC46" s="5">
        <v>478</v>
      </c>
      <c r="AD46" s="4">
        <v>45967</v>
      </c>
      <c r="AE46" t="s">
        <v>76</v>
      </c>
      <c r="AF46">
        <v>7201686870</v>
      </c>
      <c r="AG46" t="s">
        <v>730</v>
      </c>
      <c r="AI46" t="s">
        <v>731</v>
      </c>
      <c r="AJ46">
        <v>6212013</v>
      </c>
      <c r="AM46" t="s">
        <v>732</v>
      </c>
      <c r="AN46" t="s">
        <v>733</v>
      </c>
      <c r="AO46" t="s">
        <v>734</v>
      </c>
      <c r="AP46" t="s">
        <v>733</v>
      </c>
      <c r="AQ46" t="s">
        <v>735</v>
      </c>
      <c r="AR46" t="s">
        <v>736</v>
      </c>
      <c r="AY46" s="5">
        <v>432.89</v>
      </c>
      <c r="AZ46" s="5">
        <v>0</v>
      </c>
      <c r="BA46">
        <v>1</v>
      </c>
      <c r="BB46" t="s">
        <v>204</v>
      </c>
      <c r="BC46" t="s">
        <v>737</v>
      </c>
      <c r="BD46" t="s">
        <v>453</v>
      </c>
      <c r="BE46" t="s">
        <v>81</v>
      </c>
      <c r="BF46" t="s">
        <v>304</v>
      </c>
      <c r="BH46" s="6" t="s">
        <v>83</v>
      </c>
      <c r="BK46">
        <v>17</v>
      </c>
      <c r="BL46">
        <v>16</v>
      </c>
      <c r="BM46" t="s">
        <v>101</v>
      </c>
      <c r="BN46" s="3" t="s">
        <v>738</v>
      </c>
      <c r="BO46" s="5">
        <v>26.89</v>
      </c>
      <c r="BP46" s="5">
        <v>432.89</v>
      </c>
      <c r="BQ46" s="34">
        <v>1</v>
      </c>
    </row>
    <row r="47" spans="1:69" x14ac:dyDescent="0.3">
      <c r="A47" s="3" t="s">
        <v>700</v>
      </c>
      <c r="B47" t="s">
        <v>67</v>
      </c>
      <c r="C47" t="s">
        <v>189</v>
      </c>
      <c r="D47" t="s">
        <v>276</v>
      </c>
      <c r="E47" t="s">
        <v>277</v>
      </c>
      <c r="F47" t="s">
        <v>192</v>
      </c>
      <c r="G47" t="s">
        <v>193</v>
      </c>
      <c r="H47" t="s">
        <v>73</v>
      </c>
      <c r="I47" t="s">
        <v>701</v>
      </c>
      <c r="J47" s="4">
        <v>45883</v>
      </c>
      <c r="K47" s="4">
        <v>46067</v>
      </c>
      <c r="L47" s="5">
        <v>10000</v>
      </c>
      <c r="M47" s="5">
        <v>10534.08</v>
      </c>
      <c r="N47">
        <v>98</v>
      </c>
      <c r="O47" t="s">
        <v>2728</v>
      </c>
      <c r="P47">
        <v>6</v>
      </c>
      <c r="Q47" t="s">
        <v>75</v>
      </c>
      <c r="R47">
        <v>2586.83</v>
      </c>
      <c r="S47">
        <v>348</v>
      </c>
      <c r="T47" s="5">
        <v>2320</v>
      </c>
      <c r="U47" s="5">
        <v>0</v>
      </c>
      <c r="V47">
        <v>3.6</v>
      </c>
      <c r="W47" s="5">
        <v>10365.23</v>
      </c>
      <c r="X47" s="5">
        <v>11667.34</v>
      </c>
      <c r="Y47" s="5">
        <v>6853.87</v>
      </c>
      <c r="Z47" s="5">
        <v>2319.46</v>
      </c>
      <c r="AA47" s="5">
        <v>174.01</v>
      </c>
      <c r="AB47" s="5">
        <v>2320</v>
      </c>
      <c r="AC47" s="5">
        <v>1000</v>
      </c>
      <c r="AD47" s="4">
        <v>45955</v>
      </c>
      <c r="AE47" t="s">
        <v>76</v>
      </c>
      <c r="AF47">
        <v>7201474818</v>
      </c>
      <c r="AG47" t="s">
        <v>703</v>
      </c>
      <c r="AI47" t="s">
        <v>251</v>
      </c>
      <c r="AJ47">
        <v>131011</v>
      </c>
      <c r="AK47" t="s">
        <v>704</v>
      </c>
      <c r="AM47" t="s">
        <v>705</v>
      </c>
      <c r="AN47" t="s">
        <v>706</v>
      </c>
      <c r="AO47" t="s">
        <v>707</v>
      </c>
      <c r="AP47" t="s">
        <v>708</v>
      </c>
      <c r="AQ47" t="s">
        <v>709</v>
      </c>
      <c r="AR47" t="s">
        <v>710</v>
      </c>
      <c r="AY47" s="5">
        <v>16725.009999999998</v>
      </c>
      <c r="AZ47" s="5">
        <v>0</v>
      </c>
      <c r="BA47">
        <v>1</v>
      </c>
      <c r="BB47" t="s">
        <v>204</v>
      </c>
      <c r="BC47" t="s">
        <v>711</v>
      </c>
      <c r="BD47" t="s">
        <v>712</v>
      </c>
      <c r="BE47" t="s">
        <v>81</v>
      </c>
      <c r="BF47" t="s">
        <v>189</v>
      </c>
      <c r="BG47" t="s">
        <v>713</v>
      </c>
      <c r="BH47" s="6" t="s">
        <v>83</v>
      </c>
      <c r="BK47">
        <v>4</v>
      </c>
      <c r="BL47">
        <v>4</v>
      </c>
      <c r="BM47" t="s">
        <v>101</v>
      </c>
      <c r="BN47" s="3" t="s">
        <v>714</v>
      </c>
      <c r="BO47" s="5">
        <v>10365.23</v>
      </c>
      <c r="BP47" s="5">
        <v>16725.009999999998</v>
      </c>
      <c r="BQ47" s="34">
        <v>0.69759838708616606</v>
      </c>
    </row>
    <row r="48" spans="1:69" x14ac:dyDescent="0.3">
      <c r="A48" s="3" t="s">
        <v>768</v>
      </c>
      <c r="B48" t="s">
        <v>67</v>
      </c>
      <c r="C48" t="s">
        <v>132</v>
      </c>
      <c r="D48" t="s">
        <v>190</v>
      </c>
      <c r="E48" t="s">
        <v>191</v>
      </c>
      <c r="F48" t="s">
        <v>154</v>
      </c>
      <c r="G48" t="s">
        <v>155</v>
      </c>
      <c r="H48" t="s">
        <v>73</v>
      </c>
      <c r="I48" t="s">
        <v>769</v>
      </c>
      <c r="J48" s="4">
        <v>45763</v>
      </c>
      <c r="K48" s="4">
        <v>46128</v>
      </c>
      <c r="L48" s="5">
        <v>10000</v>
      </c>
      <c r="M48" s="5">
        <v>10534.08</v>
      </c>
      <c r="N48">
        <v>96</v>
      </c>
      <c r="O48" t="s">
        <v>2728</v>
      </c>
      <c r="P48">
        <v>12</v>
      </c>
      <c r="Q48" t="s">
        <v>75</v>
      </c>
      <c r="R48">
        <v>1702.69</v>
      </c>
      <c r="S48">
        <v>696</v>
      </c>
      <c r="T48" s="5">
        <v>2320</v>
      </c>
      <c r="U48" s="5">
        <v>0</v>
      </c>
      <c r="V48">
        <v>3.2</v>
      </c>
      <c r="W48" s="5">
        <v>6509.34</v>
      </c>
      <c r="X48" s="5">
        <v>7792.5341013333336</v>
      </c>
      <c r="Y48" s="5">
        <v>2997.98</v>
      </c>
      <c r="Z48" s="5">
        <v>2300.5500000000002</v>
      </c>
      <c r="AA48" s="5">
        <v>174</v>
      </c>
      <c r="AB48" s="5">
        <v>2320</v>
      </c>
      <c r="AC48" s="5">
        <v>500</v>
      </c>
      <c r="AD48" s="4">
        <v>46002</v>
      </c>
      <c r="AE48" t="s">
        <v>76</v>
      </c>
      <c r="AF48">
        <v>4472218943</v>
      </c>
      <c r="AG48" t="s">
        <v>770</v>
      </c>
      <c r="AI48" t="s">
        <v>370</v>
      </c>
      <c r="AJ48">
        <v>8944098</v>
      </c>
      <c r="AM48" t="s">
        <v>771</v>
      </c>
      <c r="AN48" t="s">
        <v>772</v>
      </c>
      <c r="AO48" t="s">
        <v>773</v>
      </c>
      <c r="AP48" t="s">
        <v>774</v>
      </c>
      <c r="AQ48" t="s">
        <v>775</v>
      </c>
      <c r="AR48" t="s">
        <v>776</v>
      </c>
      <c r="AY48" s="5">
        <v>14371.3</v>
      </c>
      <c r="AZ48" s="5">
        <v>0</v>
      </c>
      <c r="BA48">
        <v>1</v>
      </c>
      <c r="BB48" t="s">
        <v>204</v>
      </c>
      <c r="BC48" t="s">
        <v>777</v>
      </c>
      <c r="BD48" t="s">
        <v>778</v>
      </c>
      <c r="BE48" t="s">
        <v>149</v>
      </c>
      <c r="BF48" t="s">
        <v>132</v>
      </c>
      <c r="BH48" s="6" t="s">
        <v>83</v>
      </c>
      <c r="BK48">
        <v>6</v>
      </c>
      <c r="BL48">
        <v>6</v>
      </c>
      <c r="BM48" t="s">
        <v>101</v>
      </c>
      <c r="BN48" s="3" t="s">
        <v>779</v>
      </c>
      <c r="BO48" s="5">
        <v>6509.34</v>
      </c>
      <c r="BP48" s="5">
        <v>14371.3</v>
      </c>
      <c r="BQ48" s="34">
        <v>0.54222889379063366</v>
      </c>
    </row>
    <row r="49" spans="1:69" x14ac:dyDescent="0.3">
      <c r="A49" s="3" t="s">
        <v>493</v>
      </c>
      <c r="B49" t="s">
        <v>67</v>
      </c>
      <c r="C49" t="s">
        <v>104</v>
      </c>
      <c r="D49" t="s">
        <v>494</v>
      </c>
      <c r="E49" t="s">
        <v>495</v>
      </c>
      <c r="F49" t="s">
        <v>424</v>
      </c>
      <c r="G49" t="s">
        <v>425</v>
      </c>
      <c r="H49" t="s">
        <v>73</v>
      </c>
      <c r="I49" t="s">
        <v>496</v>
      </c>
      <c r="J49" s="4">
        <v>45825</v>
      </c>
      <c r="K49" s="4">
        <v>46008</v>
      </c>
      <c r="L49" s="5">
        <v>10000</v>
      </c>
      <c r="M49" s="5">
        <v>10534.08</v>
      </c>
      <c r="N49">
        <v>96</v>
      </c>
      <c r="O49" t="s">
        <v>2728</v>
      </c>
      <c r="P49">
        <v>6</v>
      </c>
      <c r="Q49" t="s">
        <v>75</v>
      </c>
      <c r="R49">
        <v>2582.63</v>
      </c>
      <c r="S49">
        <v>348</v>
      </c>
      <c r="T49" s="5">
        <v>2320</v>
      </c>
      <c r="U49" s="5">
        <v>0</v>
      </c>
      <c r="V49">
        <v>3.9</v>
      </c>
      <c r="W49" s="5">
        <v>7022.72</v>
      </c>
      <c r="X49" s="5">
        <v>12312.17</v>
      </c>
      <c r="Y49" s="5">
        <v>7022.72</v>
      </c>
      <c r="Z49" s="5">
        <v>2795.45</v>
      </c>
      <c r="AA49" s="5">
        <v>174</v>
      </c>
      <c r="AB49" s="5">
        <v>2320</v>
      </c>
      <c r="AC49" s="5">
        <v>1000</v>
      </c>
      <c r="AD49" s="4">
        <v>45988</v>
      </c>
      <c r="AE49" t="s">
        <v>76</v>
      </c>
      <c r="AF49">
        <v>7201031689</v>
      </c>
      <c r="AG49" t="s">
        <v>497</v>
      </c>
      <c r="AI49" t="s">
        <v>498</v>
      </c>
      <c r="AJ49">
        <v>8933013</v>
      </c>
      <c r="AM49" t="s">
        <v>499</v>
      </c>
      <c r="AN49" t="s">
        <v>500</v>
      </c>
      <c r="AO49" t="s">
        <v>501</v>
      </c>
      <c r="AP49" t="s">
        <v>502</v>
      </c>
      <c r="AQ49" t="s">
        <v>503</v>
      </c>
      <c r="AR49" t="s">
        <v>504</v>
      </c>
      <c r="AY49" s="5">
        <v>12312.17</v>
      </c>
      <c r="AZ49" s="5">
        <v>0</v>
      </c>
      <c r="BA49">
        <v>1</v>
      </c>
      <c r="BB49" t="s">
        <v>204</v>
      </c>
      <c r="BC49" t="s">
        <v>505</v>
      </c>
      <c r="BD49" t="s">
        <v>506</v>
      </c>
      <c r="BE49" t="s">
        <v>81</v>
      </c>
      <c r="BF49" t="s">
        <v>431</v>
      </c>
      <c r="BG49" t="s">
        <v>507</v>
      </c>
      <c r="BH49" s="6" t="s">
        <v>83</v>
      </c>
      <c r="BK49">
        <v>6</v>
      </c>
      <c r="BL49">
        <v>6</v>
      </c>
      <c r="BM49" t="s">
        <v>101</v>
      </c>
      <c r="BN49" s="3" t="s">
        <v>508</v>
      </c>
      <c r="BO49" s="5">
        <v>7022.72</v>
      </c>
      <c r="BP49" s="5">
        <v>12312.17</v>
      </c>
      <c r="BQ49" s="34">
        <v>1</v>
      </c>
    </row>
    <row r="50" spans="1:69" x14ac:dyDescent="0.3">
      <c r="A50" s="3" t="s">
        <v>780</v>
      </c>
      <c r="B50" t="s">
        <v>67</v>
      </c>
      <c r="C50" t="s">
        <v>189</v>
      </c>
      <c r="D50" t="s">
        <v>353</v>
      </c>
      <c r="E50" t="s">
        <v>354</v>
      </c>
      <c r="F50" t="s">
        <v>192</v>
      </c>
      <c r="G50" t="s">
        <v>193</v>
      </c>
      <c r="H50" t="s">
        <v>73</v>
      </c>
      <c r="I50" t="s">
        <v>781</v>
      </c>
      <c r="J50" s="4">
        <v>45832</v>
      </c>
      <c r="K50" s="4">
        <v>46000</v>
      </c>
      <c r="L50" s="5">
        <v>8000</v>
      </c>
      <c r="M50" s="5">
        <v>8427.26</v>
      </c>
      <c r="N50">
        <v>96</v>
      </c>
      <c r="O50" t="s">
        <v>2728</v>
      </c>
      <c r="P50">
        <v>12</v>
      </c>
      <c r="Q50" t="s">
        <v>293</v>
      </c>
      <c r="R50">
        <v>1042.6400000000001</v>
      </c>
      <c r="S50">
        <v>696</v>
      </c>
      <c r="T50" s="5">
        <v>4060</v>
      </c>
      <c r="U50" s="5">
        <v>12</v>
      </c>
      <c r="V50">
        <v>7</v>
      </c>
      <c r="W50" s="5">
        <v>4915.9000000000005</v>
      </c>
      <c r="X50" s="5">
        <v>11321.69</v>
      </c>
      <c r="Y50" s="5">
        <v>4915.9000000000005</v>
      </c>
      <c r="Z50" s="5">
        <v>1976.58</v>
      </c>
      <c r="AA50" s="5">
        <v>369.21</v>
      </c>
      <c r="AB50" s="5">
        <v>4060</v>
      </c>
      <c r="AC50" s="5">
        <v>1650</v>
      </c>
      <c r="AD50" s="4">
        <v>45905</v>
      </c>
      <c r="AE50" t="s">
        <v>76</v>
      </c>
      <c r="AF50">
        <v>7122231528</v>
      </c>
      <c r="AG50" t="s">
        <v>782</v>
      </c>
      <c r="AI50" t="s">
        <v>370</v>
      </c>
      <c r="AJ50">
        <v>8944098</v>
      </c>
      <c r="AK50" t="s">
        <v>783</v>
      </c>
      <c r="AM50" t="s">
        <v>784</v>
      </c>
      <c r="AN50" t="s">
        <v>785</v>
      </c>
      <c r="AO50" t="s">
        <v>786</v>
      </c>
      <c r="AP50" t="s">
        <v>787</v>
      </c>
      <c r="AQ50" t="s">
        <v>788</v>
      </c>
      <c r="AR50" t="s">
        <v>789</v>
      </c>
      <c r="AY50" s="5">
        <v>11321.69</v>
      </c>
      <c r="AZ50" s="5">
        <v>0</v>
      </c>
      <c r="BA50">
        <v>1</v>
      </c>
      <c r="BB50" t="s">
        <v>204</v>
      </c>
      <c r="BC50" t="s">
        <v>790</v>
      </c>
      <c r="BD50" t="s">
        <v>791</v>
      </c>
      <c r="BE50" t="s">
        <v>81</v>
      </c>
      <c r="BF50" t="s">
        <v>189</v>
      </c>
      <c r="BG50" t="s">
        <v>792</v>
      </c>
      <c r="BH50" s="6" t="s">
        <v>83</v>
      </c>
      <c r="BK50">
        <v>8</v>
      </c>
      <c r="BL50">
        <v>8</v>
      </c>
      <c r="BM50" t="s">
        <v>101</v>
      </c>
      <c r="BN50" s="3" t="s">
        <v>793</v>
      </c>
      <c r="BO50" s="5">
        <v>4915.9000000000005</v>
      </c>
      <c r="BP50" s="5">
        <v>11321.69</v>
      </c>
      <c r="BQ50" s="34">
        <v>1</v>
      </c>
    </row>
    <row r="51" spans="1:69" x14ac:dyDescent="0.3">
      <c r="A51" s="3" t="s">
        <v>794</v>
      </c>
      <c r="B51" t="s">
        <v>67</v>
      </c>
      <c r="C51" t="s">
        <v>104</v>
      </c>
      <c r="D51" t="s">
        <v>795</v>
      </c>
      <c r="E51" t="s">
        <v>796</v>
      </c>
      <c r="F51" t="s">
        <v>424</v>
      </c>
      <c r="G51" t="s">
        <v>425</v>
      </c>
      <c r="H51" t="s">
        <v>73</v>
      </c>
      <c r="I51" t="s">
        <v>797</v>
      </c>
      <c r="J51" s="4">
        <v>45848</v>
      </c>
      <c r="K51" s="4">
        <v>46016</v>
      </c>
      <c r="L51" s="5">
        <v>5000</v>
      </c>
      <c r="M51" s="5">
        <v>5267.04</v>
      </c>
      <c r="N51">
        <v>95</v>
      </c>
      <c r="O51" t="s">
        <v>2728</v>
      </c>
      <c r="P51">
        <v>12</v>
      </c>
      <c r="Q51" t="s">
        <v>293</v>
      </c>
      <c r="R51">
        <v>673.4</v>
      </c>
      <c r="S51">
        <v>696</v>
      </c>
      <c r="T51" s="5">
        <v>4060</v>
      </c>
      <c r="U51" s="5">
        <v>11</v>
      </c>
      <c r="V51">
        <v>7</v>
      </c>
      <c r="W51" s="5">
        <v>3511.36</v>
      </c>
      <c r="X51" s="5">
        <v>8771.4104896000008</v>
      </c>
      <c r="Y51" s="5">
        <v>3072.44</v>
      </c>
      <c r="Z51" s="5">
        <v>1235.3699999999999</v>
      </c>
      <c r="AA51" s="5">
        <v>403.6</v>
      </c>
      <c r="AB51" s="5">
        <v>4060</v>
      </c>
      <c r="AC51" s="5">
        <v>674</v>
      </c>
      <c r="AD51" s="4">
        <v>45904</v>
      </c>
      <c r="AE51" t="s">
        <v>76</v>
      </c>
      <c r="AF51">
        <v>7226795168</v>
      </c>
      <c r="AG51" t="s">
        <v>798</v>
      </c>
      <c r="AI51" t="s">
        <v>211</v>
      </c>
      <c r="AJ51">
        <v>6211023</v>
      </c>
      <c r="AK51" t="s">
        <v>799</v>
      </c>
      <c r="AM51" t="s">
        <v>800</v>
      </c>
      <c r="AN51" t="s">
        <v>801</v>
      </c>
      <c r="AO51" t="s">
        <v>802</v>
      </c>
      <c r="AP51" t="s">
        <v>803</v>
      </c>
      <c r="AQ51" t="s">
        <v>804</v>
      </c>
      <c r="AR51" t="s">
        <v>805</v>
      </c>
      <c r="AY51" s="5">
        <v>9386.81</v>
      </c>
      <c r="AZ51" s="5">
        <v>0</v>
      </c>
      <c r="BA51">
        <v>1</v>
      </c>
      <c r="BB51" t="s">
        <v>204</v>
      </c>
      <c r="BC51" t="s">
        <v>806</v>
      </c>
      <c r="BD51" t="s">
        <v>807</v>
      </c>
      <c r="BE51" t="s">
        <v>81</v>
      </c>
      <c r="BF51" t="s">
        <v>104</v>
      </c>
      <c r="BG51" t="s">
        <v>808</v>
      </c>
      <c r="BH51" s="6" t="s">
        <v>83</v>
      </c>
      <c r="BK51">
        <v>7</v>
      </c>
      <c r="BL51">
        <v>7</v>
      </c>
      <c r="BM51" t="s">
        <v>101</v>
      </c>
      <c r="BN51" s="3" t="s">
        <v>809</v>
      </c>
      <c r="BO51" s="5">
        <v>3511.36</v>
      </c>
      <c r="BP51" s="5">
        <v>9386.81</v>
      </c>
      <c r="BQ51" s="34">
        <v>0.93443997370778797</v>
      </c>
    </row>
    <row r="52" spans="1:69" x14ac:dyDescent="0.3">
      <c r="A52" s="3" t="s">
        <v>810</v>
      </c>
      <c r="B52" t="s">
        <v>67</v>
      </c>
      <c r="C52" t="s">
        <v>189</v>
      </c>
      <c r="D52" t="s">
        <v>276</v>
      </c>
      <c r="E52" t="s">
        <v>277</v>
      </c>
      <c r="F52" t="s">
        <v>192</v>
      </c>
      <c r="G52" t="s">
        <v>193</v>
      </c>
      <c r="H52" t="s">
        <v>73</v>
      </c>
      <c r="I52" t="s">
        <v>811</v>
      </c>
      <c r="J52" s="4">
        <v>45891</v>
      </c>
      <c r="K52" s="4">
        <v>46059</v>
      </c>
      <c r="L52" s="5">
        <v>10000</v>
      </c>
      <c r="M52" s="5">
        <v>10534.08</v>
      </c>
      <c r="N52">
        <v>94</v>
      </c>
      <c r="O52" t="s">
        <v>2728</v>
      </c>
      <c r="P52">
        <v>12</v>
      </c>
      <c r="Q52" t="s">
        <v>293</v>
      </c>
      <c r="R52">
        <v>1288.8</v>
      </c>
      <c r="S52">
        <v>696</v>
      </c>
      <c r="T52" s="5">
        <v>4060</v>
      </c>
      <c r="U52" s="5">
        <v>8</v>
      </c>
      <c r="V52">
        <v>7</v>
      </c>
      <c r="W52" s="5">
        <v>9656.24</v>
      </c>
      <c r="X52" s="5">
        <v>13081.62</v>
      </c>
      <c r="Y52" s="5">
        <v>6144.88</v>
      </c>
      <c r="Z52" s="5">
        <v>2470.7399999999998</v>
      </c>
      <c r="AA52" s="5">
        <v>406</v>
      </c>
      <c r="AB52" s="5">
        <v>4060</v>
      </c>
      <c r="AC52" s="5">
        <v>1288.8</v>
      </c>
      <c r="AD52" s="4">
        <v>45905</v>
      </c>
      <c r="AE52" t="s">
        <v>76</v>
      </c>
      <c r="AF52">
        <v>7222950728</v>
      </c>
      <c r="AG52" t="s">
        <v>812</v>
      </c>
      <c r="AI52" t="s">
        <v>295</v>
      </c>
      <c r="AJ52">
        <v>8712011</v>
      </c>
      <c r="AK52" t="s">
        <v>813</v>
      </c>
      <c r="AM52" t="s">
        <v>814</v>
      </c>
      <c r="AN52" t="s">
        <v>815</v>
      </c>
      <c r="AO52" t="s">
        <v>816</v>
      </c>
      <c r="AP52" t="s">
        <v>817</v>
      </c>
      <c r="AQ52" t="s">
        <v>818</v>
      </c>
      <c r="AR52" t="s">
        <v>819</v>
      </c>
      <c r="AY52" s="5">
        <v>18004.82</v>
      </c>
      <c r="AZ52" s="5">
        <v>0</v>
      </c>
      <c r="BA52">
        <v>1</v>
      </c>
      <c r="BB52" t="s">
        <v>204</v>
      </c>
      <c r="BC52" t="s">
        <v>820</v>
      </c>
      <c r="BD52" t="s">
        <v>821</v>
      </c>
      <c r="BE52" t="s">
        <v>81</v>
      </c>
      <c r="BF52" t="s">
        <v>189</v>
      </c>
      <c r="BG52" t="s">
        <v>822</v>
      </c>
      <c r="BH52" s="6" t="s">
        <v>83</v>
      </c>
      <c r="BK52">
        <v>7</v>
      </c>
      <c r="BL52">
        <v>7</v>
      </c>
      <c r="BM52" t="s">
        <v>101</v>
      </c>
      <c r="BN52" s="3" t="s">
        <v>823</v>
      </c>
      <c r="BO52" s="5">
        <v>9656.24</v>
      </c>
      <c r="BP52" s="5">
        <v>18004.82</v>
      </c>
      <c r="BQ52" s="34">
        <v>0.72656210947957278</v>
      </c>
    </row>
    <row r="53" spans="1:69" x14ac:dyDescent="0.3">
      <c r="A53" s="3" t="s">
        <v>824</v>
      </c>
      <c r="B53" t="s">
        <v>67</v>
      </c>
      <c r="C53" t="s">
        <v>189</v>
      </c>
      <c r="D53" t="s">
        <v>276</v>
      </c>
      <c r="E53" t="s">
        <v>277</v>
      </c>
      <c r="F53" t="s">
        <v>192</v>
      </c>
      <c r="G53" t="s">
        <v>193</v>
      </c>
      <c r="H53" t="s">
        <v>73</v>
      </c>
      <c r="I53" t="s">
        <v>825</v>
      </c>
      <c r="J53" s="4">
        <v>45827</v>
      </c>
      <c r="K53" s="4">
        <v>46192</v>
      </c>
      <c r="L53" s="5">
        <v>25000</v>
      </c>
      <c r="M53" s="5">
        <v>26335.19</v>
      </c>
      <c r="N53">
        <v>94</v>
      </c>
      <c r="O53" t="s">
        <v>2728</v>
      </c>
      <c r="P53">
        <v>12</v>
      </c>
      <c r="Q53" t="s">
        <v>75</v>
      </c>
      <c r="R53">
        <v>4169.7299999999996</v>
      </c>
      <c r="S53">
        <v>696</v>
      </c>
      <c r="T53" s="5">
        <v>2320</v>
      </c>
      <c r="U53" s="5">
        <v>0</v>
      </c>
      <c r="V53">
        <v>3.3</v>
      </c>
      <c r="W53" s="5">
        <v>20920.57</v>
      </c>
      <c r="X53" s="5">
        <v>15998.3670721667</v>
      </c>
      <c r="Y53" s="5">
        <v>7752.98</v>
      </c>
      <c r="Z53" s="5">
        <v>5751.39</v>
      </c>
      <c r="AA53" s="5">
        <v>174</v>
      </c>
      <c r="AB53" s="5">
        <v>2320</v>
      </c>
      <c r="AC53" s="5">
        <v>2000</v>
      </c>
      <c r="AD53" s="4">
        <v>46001</v>
      </c>
      <c r="AE53" t="s">
        <v>76</v>
      </c>
      <c r="AF53">
        <v>7228603189</v>
      </c>
      <c r="AG53" t="s">
        <v>826</v>
      </c>
      <c r="AI53" t="s">
        <v>158</v>
      </c>
      <c r="AJ53">
        <v>8711021</v>
      </c>
      <c r="AK53" t="s">
        <v>827</v>
      </c>
      <c r="AM53" t="s">
        <v>828</v>
      </c>
      <c r="AN53" t="s">
        <v>829</v>
      </c>
      <c r="AO53" t="s">
        <v>830</v>
      </c>
      <c r="AP53" t="s">
        <v>831</v>
      </c>
      <c r="AQ53" t="s">
        <v>832</v>
      </c>
      <c r="AR53" t="s">
        <v>833</v>
      </c>
      <c r="AY53" s="5">
        <v>40668.730000000003</v>
      </c>
      <c r="AZ53" s="5">
        <v>0</v>
      </c>
      <c r="BA53">
        <v>1</v>
      </c>
      <c r="BB53" t="s">
        <v>204</v>
      </c>
      <c r="BC53" t="s">
        <v>834</v>
      </c>
      <c r="BD53" t="s">
        <v>260</v>
      </c>
      <c r="BE53" t="s">
        <v>81</v>
      </c>
      <c r="BF53" t="s">
        <v>260</v>
      </c>
      <c r="BG53" t="s">
        <v>835</v>
      </c>
      <c r="BH53" s="6" t="s">
        <v>83</v>
      </c>
      <c r="BK53">
        <v>4</v>
      </c>
      <c r="BL53">
        <v>4</v>
      </c>
      <c r="BM53" t="s">
        <v>101</v>
      </c>
      <c r="BN53" s="3" t="s">
        <v>836</v>
      </c>
      <c r="BO53" s="5">
        <v>20920.57</v>
      </c>
      <c r="BP53" s="5">
        <v>40668.730000000003</v>
      </c>
      <c r="BQ53" s="34">
        <v>0.39338250966201049</v>
      </c>
    </row>
    <row r="54" spans="1:69" x14ac:dyDescent="0.3">
      <c r="A54" s="3" t="s">
        <v>863</v>
      </c>
      <c r="B54" t="s">
        <v>67</v>
      </c>
      <c r="C54" t="s">
        <v>189</v>
      </c>
      <c r="D54" t="s">
        <v>276</v>
      </c>
      <c r="E54" t="s">
        <v>277</v>
      </c>
      <c r="F54" t="s">
        <v>192</v>
      </c>
      <c r="G54" t="s">
        <v>193</v>
      </c>
      <c r="H54" t="s">
        <v>73</v>
      </c>
      <c r="I54" t="s">
        <v>864</v>
      </c>
      <c r="J54" s="4">
        <v>45861</v>
      </c>
      <c r="K54" s="4">
        <v>46045</v>
      </c>
      <c r="L54" s="5">
        <v>10000</v>
      </c>
      <c r="M54" s="5">
        <v>10534.08</v>
      </c>
      <c r="N54">
        <v>90</v>
      </c>
      <c r="O54" t="s">
        <v>483</v>
      </c>
      <c r="P54">
        <v>6</v>
      </c>
      <c r="Q54" t="s">
        <v>75</v>
      </c>
      <c r="R54">
        <v>2586.83</v>
      </c>
      <c r="S54">
        <v>348</v>
      </c>
      <c r="T54" s="5">
        <v>1740</v>
      </c>
      <c r="U54" s="5">
        <v>0</v>
      </c>
      <c r="V54">
        <v>3</v>
      </c>
      <c r="W54" s="5">
        <v>8779.23</v>
      </c>
      <c r="X54" s="5">
        <v>9501.34</v>
      </c>
      <c r="Y54" s="5">
        <v>5267.87</v>
      </c>
      <c r="Z54" s="5">
        <v>2319.4699999999998</v>
      </c>
      <c r="AA54" s="5">
        <v>174</v>
      </c>
      <c r="AB54" s="5">
        <v>1740</v>
      </c>
      <c r="AC54" s="5">
        <v>2586</v>
      </c>
      <c r="AD54" s="4">
        <v>45894</v>
      </c>
      <c r="AE54" t="s">
        <v>76</v>
      </c>
      <c r="AF54">
        <v>7299320496</v>
      </c>
      <c r="AG54" t="s">
        <v>865</v>
      </c>
      <c r="AI54" t="s">
        <v>357</v>
      </c>
      <c r="AJ54">
        <v>2071017</v>
      </c>
      <c r="AK54" t="s">
        <v>866</v>
      </c>
      <c r="AM54" t="s">
        <v>867</v>
      </c>
      <c r="AN54" t="s">
        <v>868</v>
      </c>
      <c r="AO54" t="s">
        <v>869</v>
      </c>
      <c r="AP54" t="s">
        <v>870</v>
      </c>
      <c r="AQ54" t="s">
        <v>871</v>
      </c>
      <c r="AR54" t="s">
        <v>872</v>
      </c>
      <c r="AY54" s="5">
        <v>14559.01</v>
      </c>
      <c r="AZ54" s="5">
        <v>0</v>
      </c>
      <c r="BA54">
        <v>1</v>
      </c>
      <c r="BB54" t="s">
        <v>204</v>
      </c>
      <c r="BC54" t="s">
        <v>873</v>
      </c>
      <c r="BD54" t="s">
        <v>260</v>
      </c>
      <c r="BE54" t="s">
        <v>81</v>
      </c>
      <c r="BF54" t="s">
        <v>260</v>
      </c>
      <c r="BG54" t="s">
        <v>874</v>
      </c>
      <c r="BH54" s="6" t="s">
        <v>83</v>
      </c>
      <c r="BK54">
        <v>3</v>
      </c>
      <c r="BL54">
        <v>3</v>
      </c>
      <c r="BM54" t="s">
        <v>101</v>
      </c>
      <c r="BN54" s="3" t="s">
        <v>875</v>
      </c>
      <c r="BO54" s="5">
        <v>8779.23</v>
      </c>
      <c r="BP54" s="5">
        <v>14559.01</v>
      </c>
      <c r="BQ54" s="34">
        <v>0.65260893426132682</v>
      </c>
    </row>
    <row r="55" spans="1:69" x14ac:dyDescent="0.3">
      <c r="A55" s="3" t="s">
        <v>876</v>
      </c>
      <c r="B55" t="s">
        <v>67</v>
      </c>
      <c r="C55" t="s">
        <v>189</v>
      </c>
      <c r="D55" t="s">
        <v>276</v>
      </c>
      <c r="E55" t="s">
        <v>277</v>
      </c>
      <c r="F55" t="s">
        <v>192</v>
      </c>
      <c r="G55" t="s">
        <v>193</v>
      </c>
      <c r="H55" t="s">
        <v>73</v>
      </c>
      <c r="I55" t="s">
        <v>877</v>
      </c>
      <c r="J55" s="4">
        <v>45855</v>
      </c>
      <c r="K55" s="4">
        <v>46023</v>
      </c>
      <c r="L55" s="5">
        <v>10000</v>
      </c>
      <c r="M55" s="5">
        <v>10534.08</v>
      </c>
      <c r="N55">
        <v>88</v>
      </c>
      <c r="O55" t="s">
        <v>483</v>
      </c>
      <c r="P55">
        <v>12</v>
      </c>
      <c r="Q55" t="s">
        <v>293</v>
      </c>
      <c r="R55">
        <v>1288.8</v>
      </c>
      <c r="S55">
        <v>696</v>
      </c>
      <c r="T55" s="5">
        <v>3480</v>
      </c>
      <c r="U55" s="5">
        <v>11</v>
      </c>
      <c r="V55">
        <v>6.1000000000000014</v>
      </c>
      <c r="W55" s="5">
        <v>6312.89</v>
      </c>
      <c r="X55" s="5">
        <v>11380.8209792</v>
      </c>
      <c r="Y55" s="5">
        <v>5435.05</v>
      </c>
      <c r="Z55" s="5">
        <v>2117.77</v>
      </c>
      <c r="AA55" s="5">
        <v>348</v>
      </c>
      <c r="AB55" s="5">
        <v>3480</v>
      </c>
      <c r="AC55" s="5">
        <v>500</v>
      </c>
      <c r="AD55" s="4">
        <v>45952</v>
      </c>
      <c r="AE55" t="s">
        <v>76</v>
      </c>
      <c r="AF55">
        <v>7145498442</v>
      </c>
      <c r="AG55" t="s">
        <v>878</v>
      </c>
      <c r="AI55" t="s">
        <v>251</v>
      </c>
      <c r="AJ55">
        <v>131011</v>
      </c>
      <c r="AK55" t="s">
        <v>879</v>
      </c>
      <c r="AM55" t="s">
        <v>880</v>
      </c>
      <c r="AN55" t="s">
        <v>881</v>
      </c>
      <c r="AO55" t="s">
        <v>882</v>
      </c>
      <c r="AP55" t="s">
        <v>883</v>
      </c>
      <c r="AQ55" t="s">
        <v>884</v>
      </c>
      <c r="AR55" t="s">
        <v>885</v>
      </c>
      <c r="AY55" s="5">
        <v>12611.62</v>
      </c>
      <c r="AZ55" s="5">
        <v>0</v>
      </c>
      <c r="BA55">
        <v>1</v>
      </c>
      <c r="BB55" t="s">
        <v>204</v>
      </c>
      <c r="BC55" t="s">
        <v>886</v>
      </c>
      <c r="BD55" t="s">
        <v>887</v>
      </c>
      <c r="BE55" t="s">
        <v>81</v>
      </c>
      <c r="BF55" t="s">
        <v>260</v>
      </c>
      <c r="BG55" t="s">
        <v>888</v>
      </c>
      <c r="BH55" s="6" t="s">
        <v>83</v>
      </c>
      <c r="BK55">
        <v>11</v>
      </c>
      <c r="BL55">
        <v>11</v>
      </c>
      <c r="BM55" t="s">
        <v>101</v>
      </c>
      <c r="BN55" s="3" t="s">
        <v>889</v>
      </c>
      <c r="BO55" s="5">
        <v>6312.89</v>
      </c>
      <c r="BP55" s="5">
        <v>12611.62</v>
      </c>
      <c r="BQ55" s="34">
        <v>0.90240753996710965</v>
      </c>
    </row>
    <row r="56" spans="1:69" x14ac:dyDescent="0.3">
      <c r="A56" s="3" t="s">
        <v>551</v>
      </c>
      <c r="B56" t="s">
        <v>67</v>
      </c>
      <c r="C56" t="s">
        <v>68</v>
      </c>
      <c r="D56" t="s">
        <v>335</v>
      </c>
      <c r="E56" t="s">
        <v>336</v>
      </c>
      <c r="F56" t="s">
        <v>173</v>
      </c>
      <c r="G56" t="s">
        <v>174</v>
      </c>
      <c r="H56" t="s">
        <v>73</v>
      </c>
      <c r="I56" t="s">
        <v>552</v>
      </c>
      <c r="J56" s="4">
        <v>45714</v>
      </c>
      <c r="K56" s="4">
        <v>46079</v>
      </c>
      <c r="L56" s="5">
        <v>35000</v>
      </c>
      <c r="M56" s="5">
        <v>36869.269999999997</v>
      </c>
      <c r="N56">
        <v>87</v>
      </c>
      <c r="O56" t="s">
        <v>483</v>
      </c>
      <c r="P56">
        <v>12</v>
      </c>
      <c r="Q56" t="s">
        <v>75</v>
      </c>
      <c r="R56">
        <v>6532.14</v>
      </c>
      <c r="S56">
        <v>696</v>
      </c>
      <c r="T56" s="5">
        <v>1740</v>
      </c>
      <c r="U56" s="5">
        <v>0</v>
      </c>
      <c r="V56">
        <v>2.5</v>
      </c>
      <c r="W56" s="5">
        <v>18278.63</v>
      </c>
      <c r="X56" s="5">
        <v>17720.71257625</v>
      </c>
      <c r="Y56" s="5">
        <v>9061.31</v>
      </c>
      <c r="Z56" s="5">
        <v>6803.4000000000005</v>
      </c>
      <c r="AA56" s="5">
        <v>116</v>
      </c>
      <c r="AB56" s="5">
        <v>1740</v>
      </c>
      <c r="AC56" s="5">
        <v>2000</v>
      </c>
      <c r="AD56" s="4">
        <v>46003</v>
      </c>
      <c r="AE56" t="s">
        <v>76</v>
      </c>
      <c r="AF56">
        <v>7225031264</v>
      </c>
      <c r="AG56" t="s">
        <v>553</v>
      </c>
      <c r="AI56" t="s">
        <v>554</v>
      </c>
      <c r="AJ56">
        <v>6231013</v>
      </c>
      <c r="AK56" t="s">
        <v>555</v>
      </c>
      <c r="AM56" t="s">
        <v>556</v>
      </c>
      <c r="AN56" t="s">
        <v>557</v>
      </c>
      <c r="AO56" t="s">
        <v>558</v>
      </c>
      <c r="AP56" t="s">
        <v>559</v>
      </c>
      <c r="AQ56" t="s">
        <v>560</v>
      </c>
      <c r="AR56" t="s">
        <v>560</v>
      </c>
      <c r="AS56" t="s">
        <v>144</v>
      </c>
      <c r="AT56" t="s">
        <v>561</v>
      </c>
      <c r="AU56" t="s">
        <v>562</v>
      </c>
      <c r="AV56" t="s">
        <v>144</v>
      </c>
      <c r="AW56" t="s">
        <v>563</v>
      </c>
      <c r="AX56" t="s">
        <v>564</v>
      </c>
      <c r="AY56" s="5">
        <v>37143.14</v>
      </c>
      <c r="AZ56" s="5">
        <v>0</v>
      </c>
      <c r="BA56">
        <v>1</v>
      </c>
      <c r="BB56" t="s">
        <v>204</v>
      </c>
      <c r="BC56" t="s">
        <v>565</v>
      </c>
      <c r="BD56" t="s">
        <v>100</v>
      </c>
      <c r="BE56" t="s">
        <v>81</v>
      </c>
      <c r="BF56" t="s">
        <v>82</v>
      </c>
      <c r="BH56" s="6" t="s">
        <v>83</v>
      </c>
      <c r="BK56">
        <v>7</v>
      </c>
      <c r="BL56">
        <v>7</v>
      </c>
      <c r="BM56" t="s">
        <v>101</v>
      </c>
      <c r="BN56" s="3" t="s">
        <v>566</v>
      </c>
      <c r="BO56" s="5">
        <v>18278.63</v>
      </c>
      <c r="BP56" s="5">
        <v>37143.14</v>
      </c>
      <c r="BQ56" s="34">
        <v>0.47709247457942439</v>
      </c>
    </row>
    <row r="57" spans="1:69" x14ac:dyDescent="0.3">
      <c r="A57" s="3" t="s">
        <v>904</v>
      </c>
      <c r="B57" t="s">
        <v>67</v>
      </c>
      <c r="C57" t="s">
        <v>104</v>
      </c>
      <c r="D57" t="s">
        <v>190</v>
      </c>
      <c r="E57" t="s">
        <v>191</v>
      </c>
      <c r="F57" t="s">
        <v>424</v>
      </c>
      <c r="G57" t="s">
        <v>425</v>
      </c>
      <c r="H57" t="s">
        <v>73</v>
      </c>
      <c r="I57" t="s">
        <v>905</v>
      </c>
      <c r="J57" s="4">
        <v>45775</v>
      </c>
      <c r="K57" s="4">
        <v>46140</v>
      </c>
      <c r="L57" s="5">
        <v>15000</v>
      </c>
      <c r="M57" s="5">
        <v>15801.12</v>
      </c>
      <c r="N57">
        <v>84</v>
      </c>
      <c r="O57" t="s">
        <v>483</v>
      </c>
      <c r="P57">
        <v>12</v>
      </c>
      <c r="Q57" t="s">
        <v>75</v>
      </c>
      <c r="R57">
        <v>2525.04</v>
      </c>
      <c r="S57">
        <v>696</v>
      </c>
      <c r="T57" s="5">
        <v>1740</v>
      </c>
      <c r="U57" s="5">
        <v>0</v>
      </c>
      <c r="V57">
        <v>2.4</v>
      </c>
      <c r="W57" s="5">
        <v>10226.51</v>
      </c>
      <c r="X57" s="5">
        <v>7799.263508</v>
      </c>
      <c r="Y57" s="5">
        <v>3642.71</v>
      </c>
      <c r="Z57" s="5">
        <v>2300.5500000000002</v>
      </c>
      <c r="AA57" s="5">
        <v>116</v>
      </c>
      <c r="AB57" s="5">
        <v>1740</v>
      </c>
      <c r="AC57" s="5">
        <v>500</v>
      </c>
      <c r="AD57" s="4">
        <v>46002</v>
      </c>
      <c r="AE57" t="s">
        <v>76</v>
      </c>
      <c r="AF57">
        <v>7225619622</v>
      </c>
      <c r="AG57" t="s">
        <v>906</v>
      </c>
      <c r="AI57" t="s">
        <v>295</v>
      </c>
      <c r="AJ57">
        <v>8712011</v>
      </c>
      <c r="AM57" t="s">
        <v>907</v>
      </c>
      <c r="AN57" t="s">
        <v>908</v>
      </c>
      <c r="AO57" t="s">
        <v>909</v>
      </c>
      <c r="AP57" t="s">
        <v>910</v>
      </c>
      <c r="AQ57" t="s">
        <v>911</v>
      </c>
      <c r="AR57" t="s">
        <v>912</v>
      </c>
      <c r="AY57" s="5">
        <v>20134.45</v>
      </c>
      <c r="AZ57" s="5">
        <v>0</v>
      </c>
      <c r="BA57">
        <v>1</v>
      </c>
      <c r="BB57" t="s">
        <v>204</v>
      </c>
      <c r="BC57" t="s">
        <v>913</v>
      </c>
      <c r="BD57" t="s">
        <v>914</v>
      </c>
      <c r="BE57" t="s">
        <v>81</v>
      </c>
      <c r="BF57" t="s">
        <v>648</v>
      </c>
      <c r="BH57" s="6" t="s">
        <v>83</v>
      </c>
      <c r="BK57">
        <v>6</v>
      </c>
      <c r="BL57">
        <v>6</v>
      </c>
      <c r="BM57" t="s">
        <v>101</v>
      </c>
      <c r="BN57" s="3" t="s">
        <v>915</v>
      </c>
      <c r="BO57" s="5">
        <v>10226.51</v>
      </c>
      <c r="BP57" s="5">
        <v>20134.45</v>
      </c>
      <c r="BQ57" s="34">
        <v>0.38735915349065903</v>
      </c>
    </row>
    <row r="58" spans="1:69" x14ac:dyDescent="0.3">
      <c r="A58" s="3" t="s">
        <v>567</v>
      </c>
      <c r="B58" t="s">
        <v>67</v>
      </c>
      <c r="C58" t="s">
        <v>536</v>
      </c>
      <c r="D58" t="s">
        <v>568</v>
      </c>
      <c r="E58" t="s">
        <v>569</v>
      </c>
      <c r="F58" t="s">
        <v>154</v>
      </c>
      <c r="G58" t="s">
        <v>155</v>
      </c>
      <c r="H58" t="s">
        <v>73</v>
      </c>
      <c r="I58" t="s">
        <v>570</v>
      </c>
      <c r="J58" s="4">
        <v>45804</v>
      </c>
      <c r="K58" s="4">
        <v>45988</v>
      </c>
      <c r="L58" s="5">
        <v>7000</v>
      </c>
      <c r="M58" s="5">
        <v>7373.85</v>
      </c>
      <c r="N58">
        <v>84</v>
      </c>
      <c r="O58" t="s">
        <v>483</v>
      </c>
      <c r="P58">
        <v>6</v>
      </c>
      <c r="Q58" t="s">
        <v>75</v>
      </c>
      <c r="R58">
        <v>1828.18</v>
      </c>
      <c r="S58">
        <v>348</v>
      </c>
      <c r="T58" s="5">
        <v>1740</v>
      </c>
      <c r="U58" s="5">
        <v>0</v>
      </c>
      <c r="V58">
        <v>2.2000000000000002</v>
      </c>
      <c r="W58" s="5">
        <v>2802.5</v>
      </c>
      <c r="X58" s="5">
        <v>5740.92</v>
      </c>
      <c r="Y58" s="5">
        <v>2802.5</v>
      </c>
      <c r="Z58" s="5">
        <v>1082.42</v>
      </c>
      <c r="AA58" s="5">
        <v>116</v>
      </c>
      <c r="AB58" s="5">
        <v>1740</v>
      </c>
      <c r="AC58" s="5">
        <v>500</v>
      </c>
      <c r="AD58" s="4">
        <v>46010</v>
      </c>
      <c r="AE58" t="s">
        <v>76</v>
      </c>
      <c r="AF58">
        <v>7122282815</v>
      </c>
      <c r="AG58" t="s">
        <v>571</v>
      </c>
      <c r="AI58" t="s">
        <v>295</v>
      </c>
      <c r="AJ58">
        <v>8712011</v>
      </c>
      <c r="AM58" t="s">
        <v>572</v>
      </c>
      <c r="AN58" t="s">
        <v>573</v>
      </c>
      <c r="AO58" t="s">
        <v>574</v>
      </c>
      <c r="AP58" t="s">
        <v>575</v>
      </c>
      <c r="AQ58" t="s">
        <v>576</v>
      </c>
      <c r="AR58" t="s">
        <v>577</v>
      </c>
      <c r="AY58" s="5">
        <v>5740.92</v>
      </c>
      <c r="AZ58" s="5">
        <v>0</v>
      </c>
      <c r="BA58">
        <v>1</v>
      </c>
      <c r="BB58" t="s">
        <v>204</v>
      </c>
      <c r="BC58" t="s">
        <v>578</v>
      </c>
      <c r="BD58" t="s">
        <v>579</v>
      </c>
      <c r="BE58" t="s">
        <v>81</v>
      </c>
      <c r="BF58" t="s">
        <v>580</v>
      </c>
      <c r="BH58" s="6" t="s">
        <v>83</v>
      </c>
      <c r="BK58">
        <v>5</v>
      </c>
      <c r="BL58">
        <v>5</v>
      </c>
      <c r="BM58" t="s">
        <v>101</v>
      </c>
      <c r="BN58" s="3" t="s">
        <v>581</v>
      </c>
      <c r="BO58" s="5">
        <v>2802.5</v>
      </c>
      <c r="BP58" s="5">
        <v>5740.92</v>
      </c>
      <c r="BQ58" s="34">
        <v>1</v>
      </c>
    </row>
    <row r="59" spans="1:69" x14ac:dyDescent="0.3">
      <c r="A59" s="3" t="s">
        <v>945</v>
      </c>
      <c r="B59" t="s">
        <v>67</v>
      </c>
      <c r="C59" t="s">
        <v>68</v>
      </c>
      <c r="D59" t="s">
        <v>410</v>
      </c>
      <c r="E59" t="s">
        <v>411</v>
      </c>
      <c r="F59" t="s">
        <v>173</v>
      </c>
      <c r="G59" t="s">
        <v>174</v>
      </c>
      <c r="H59" t="s">
        <v>73</v>
      </c>
      <c r="I59" t="s">
        <v>946</v>
      </c>
      <c r="J59" s="4">
        <v>45838</v>
      </c>
      <c r="K59" s="4">
        <v>46023</v>
      </c>
      <c r="L59" s="5">
        <v>5000</v>
      </c>
      <c r="M59" s="5">
        <v>5267.04</v>
      </c>
      <c r="N59">
        <v>82</v>
      </c>
      <c r="O59" t="s">
        <v>483</v>
      </c>
      <c r="P59">
        <v>6</v>
      </c>
      <c r="Q59" t="s">
        <v>75</v>
      </c>
      <c r="R59">
        <v>1324.52</v>
      </c>
      <c r="S59">
        <v>348</v>
      </c>
      <c r="T59" s="5">
        <v>1740</v>
      </c>
      <c r="U59" s="5">
        <v>0</v>
      </c>
      <c r="V59">
        <v>2.6</v>
      </c>
      <c r="W59" s="5">
        <v>3357.07</v>
      </c>
      <c r="X59" s="5">
        <v>5112.5949680000003</v>
      </c>
      <c r="Y59" s="5">
        <v>2479.23</v>
      </c>
      <c r="Z59" s="5">
        <v>777.36</v>
      </c>
      <c r="AA59" s="5">
        <v>116</v>
      </c>
      <c r="AB59" s="5">
        <v>1740</v>
      </c>
      <c r="AC59" s="5">
        <v>500</v>
      </c>
      <c r="AD59" s="4">
        <v>45971</v>
      </c>
      <c r="AE59" t="s">
        <v>76</v>
      </c>
      <c r="AF59">
        <v>7227829505</v>
      </c>
      <c r="AG59" t="s">
        <v>947</v>
      </c>
      <c r="AI59" t="s">
        <v>370</v>
      </c>
      <c r="AJ59">
        <v>8944098</v>
      </c>
      <c r="AK59" t="s">
        <v>948</v>
      </c>
      <c r="AL59" t="s">
        <v>949</v>
      </c>
      <c r="AM59" t="s">
        <v>950</v>
      </c>
      <c r="AN59" t="s">
        <v>951</v>
      </c>
      <c r="AO59" t="s">
        <v>952</v>
      </c>
      <c r="AP59" t="s">
        <v>953</v>
      </c>
      <c r="AQ59" t="s">
        <v>954</v>
      </c>
      <c r="AR59" t="s">
        <v>955</v>
      </c>
      <c r="AY59" s="5">
        <v>6379.1100000000006</v>
      </c>
      <c r="AZ59" s="5">
        <v>0</v>
      </c>
      <c r="BA59">
        <v>1</v>
      </c>
      <c r="BB59" t="s">
        <v>204</v>
      </c>
      <c r="BC59" t="s">
        <v>956</v>
      </c>
      <c r="BD59" t="s">
        <v>957</v>
      </c>
      <c r="BE59" t="s">
        <v>81</v>
      </c>
      <c r="BF59" t="s">
        <v>273</v>
      </c>
      <c r="BG59" t="s">
        <v>958</v>
      </c>
      <c r="BH59" s="6" t="s">
        <v>83</v>
      </c>
      <c r="BK59">
        <v>3</v>
      </c>
      <c r="BL59">
        <v>3</v>
      </c>
      <c r="BM59" t="s">
        <v>101</v>
      </c>
      <c r="BN59" s="3" t="s">
        <v>959</v>
      </c>
      <c r="BO59" s="5">
        <v>3357.07</v>
      </c>
      <c r="BP59" s="5">
        <v>6379.1100000000006</v>
      </c>
      <c r="BQ59" s="34">
        <v>0.80145897593864968</v>
      </c>
    </row>
    <row r="60" spans="1:69" x14ac:dyDescent="0.3">
      <c r="A60" s="3" t="s">
        <v>933</v>
      </c>
      <c r="B60" t="s">
        <v>67</v>
      </c>
      <c r="C60" t="s">
        <v>132</v>
      </c>
      <c r="D60" t="s">
        <v>190</v>
      </c>
      <c r="E60" t="s">
        <v>191</v>
      </c>
      <c r="F60" t="s">
        <v>154</v>
      </c>
      <c r="G60" t="s">
        <v>155</v>
      </c>
      <c r="H60" t="s">
        <v>73</v>
      </c>
      <c r="I60" t="s">
        <v>934</v>
      </c>
      <c r="J60" s="4">
        <v>45791</v>
      </c>
      <c r="K60" s="4">
        <v>45959</v>
      </c>
      <c r="L60" s="5">
        <v>5000</v>
      </c>
      <c r="M60" s="5">
        <v>5267.04</v>
      </c>
      <c r="N60">
        <v>82</v>
      </c>
      <c r="O60" t="s">
        <v>483</v>
      </c>
      <c r="P60">
        <v>24</v>
      </c>
      <c r="Q60" t="s">
        <v>279</v>
      </c>
      <c r="R60">
        <v>365.7</v>
      </c>
      <c r="S60">
        <v>1392</v>
      </c>
      <c r="T60" s="5">
        <v>2965.07</v>
      </c>
      <c r="U60" s="5">
        <v>24</v>
      </c>
      <c r="V60">
        <v>5</v>
      </c>
      <c r="W60" s="5">
        <v>1097.3</v>
      </c>
      <c r="X60" s="5">
        <v>5141.57</v>
      </c>
      <c r="Y60" s="5">
        <v>1097.3</v>
      </c>
      <c r="Z60" s="5">
        <v>441.2</v>
      </c>
      <c r="AA60" s="5">
        <v>638</v>
      </c>
      <c r="AB60" s="5">
        <v>2965.07</v>
      </c>
      <c r="AC60" s="5">
        <v>1825.24</v>
      </c>
      <c r="AD60" s="4">
        <v>45964</v>
      </c>
      <c r="AE60" t="s">
        <v>76</v>
      </c>
      <c r="AF60">
        <v>5513324034</v>
      </c>
      <c r="AG60" t="s">
        <v>935</v>
      </c>
      <c r="AI60" t="s">
        <v>936</v>
      </c>
      <c r="AJ60">
        <v>8921018</v>
      </c>
      <c r="AM60" t="s">
        <v>937</v>
      </c>
      <c r="AN60" t="s">
        <v>938</v>
      </c>
      <c r="AO60" t="s">
        <v>939</v>
      </c>
      <c r="AP60" t="s">
        <v>940</v>
      </c>
      <c r="AQ60" t="s">
        <v>941</v>
      </c>
      <c r="AR60" t="s">
        <v>942</v>
      </c>
      <c r="AY60" s="5">
        <v>5141.57</v>
      </c>
      <c r="AZ60" s="5">
        <v>0</v>
      </c>
      <c r="BA60">
        <v>1</v>
      </c>
      <c r="BB60" t="s">
        <v>204</v>
      </c>
      <c r="BC60" t="s">
        <v>943</v>
      </c>
      <c r="BD60" t="s">
        <v>132</v>
      </c>
      <c r="BE60" t="s">
        <v>149</v>
      </c>
      <c r="BF60" t="s">
        <v>132</v>
      </c>
      <c r="BH60" s="6" t="s">
        <v>83</v>
      </c>
      <c r="BK60">
        <v>29</v>
      </c>
      <c r="BL60">
        <v>29</v>
      </c>
      <c r="BM60" t="s">
        <v>101</v>
      </c>
      <c r="BN60" s="3" t="s">
        <v>944</v>
      </c>
      <c r="BO60" s="5">
        <v>1097.3</v>
      </c>
      <c r="BP60" s="5">
        <v>5141.57</v>
      </c>
      <c r="BQ60" s="34">
        <v>1</v>
      </c>
    </row>
    <row r="61" spans="1:69" x14ac:dyDescent="0.3">
      <c r="A61" s="3" t="s">
        <v>753</v>
      </c>
      <c r="B61" t="s">
        <v>67</v>
      </c>
      <c r="C61" t="s">
        <v>104</v>
      </c>
      <c r="D61" t="s">
        <v>494</v>
      </c>
      <c r="E61" t="s">
        <v>495</v>
      </c>
      <c r="F61" t="s">
        <v>424</v>
      </c>
      <c r="G61" t="s">
        <v>425</v>
      </c>
      <c r="H61" t="s">
        <v>73</v>
      </c>
      <c r="I61" t="s">
        <v>754</v>
      </c>
      <c r="J61" s="4">
        <v>45833</v>
      </c>
      <c r="K61" s="4">
        <v>46001</v>
      </c>
      <c r="L61" s="5">
        <v>7000</v>
      </c>
      <c r="M61" s="5">
        <v>7373.85</v>
      </c>
      <c r="N61">
        <v>82</v>
      </c>
      <c r="O61" t="s">
        <v>483</v>
      </c>
      <c r="P61">
        <v>12</v>
      </c>
      <c r="Q61" t="s">
        <v>293</v>
      </c>
      <c r="R61">
        <v>919.56000000000006</v>
      </c>
      <c r="S61">
        <v>696</v>
      </c>
      <c r="T61" s="5">
        <v>3480</v>
      </c>
      <c r="U61" s="5">
        <v>12</v>
      </c>
      <c r="V61">
        <v>5.9</v>
      </c>
      <c r="W61" s="5">
        <v>3686.92</v>
      </c>
      <c r="X61" s="5">
        <v>8814.73</v>
      </c>
      <c r="Y61" s="5">
        <v>3686.92</v>
      </c>
      <c r="Z61" s="5">
        <v>1357.8</v>
      </c>
      <c r="AA61" s="5">
        <v>290.01</v>
      </c>
      <c r="AB61" s="5">
        <v>3480</v>
      </c>
      <c r="AC61" s="5">
        <v>920</v>
      </c>
      <c r="AD61" s="4">
        <v>45989</v>
      </c>
      <c r="AE61" t="s">
        <v>76</v>
      </c>
      <c r="AF61">
        <v>7226713715</v>
      </c>
      <c r="AG61" t="s">
        <v>755</v>
      </c>
      <c r="AI61" t="s">
        <v>158</v>
      </c>
      <c r="AJ61">
        <v>8711021</v>
      </c>
      <c r="AK61" t="s">
        <v>756</v>
      </c>
      <c r="AM61" t="s">
        <v>757</v>
      </c>
      <c r="AN61" t="s">
        <v>758</v>
      </c>
      <c r="AO61" t="s">
        <v>759</v>
      </c>
      <c r="AP61" t="s">
        <v>760</v>
      </c>
      <c r="AQ61" t="s">
        <v>761</v>
      </c>
      <c r="AR61" t="s">
        <v>762</v>
      </c>
      <c r="AY61" s="5">
        <v>8814.73</v>
      </c>
      <c r="AZ61" s="5">
        <v>0</v>
      </c>
      <c r="BA61">
        <v>1</v>
      </c>
      <c r="BB61" t="s">
        <v>204</v>
      </c>
      <c r="BC61" t="s">
        <v>763</v>
      </c>
      <c r="BD61" t="s">
        <v>764</v>
      </c>
      <c r="BE61" t="s">
        <v>81</v>
      </c>
      <c r="BF61" t="s">
        <v>765</v>
      </c>
      <c r="BG61" t="s">
        <v>766</v>
      </c>
      <c r="BH61" s="6" t="s">
        <v>83</v>
      </c>
      <c r="BK61">
        <v>10</v>
      </c>
      <c r="BL61">
        <v>9</v>
      </c>
      <c r="BM61" t="s">
        <v>101</v>
      </c>
      <c r="BN61" s="3" t="s">
        <v>767</v>
      </c>
      <c r="BO61" s="5">
        <v>3686.92</v>
      </c>
      <c r="BP61" s="5">
        <v>8814.73</v>
      </c>
      <c r="BQ61" s="34">
        <v>1</v>
      </c>
    </row>
    <row r="62" spans="1:69" x14ac:dyDescent="0.3">
      <c r="A62" s="3" t="s">
        <v>649</v>
      </c>
      <c r="B62" t="s">
        <v>67</v>
      </c>
      <c r="C62" t="s">
        <v>104</v>
      </c>
      <c r="D62" t="s">
        <v>190</v>
      </c>
      <c r="E62" t="s">
        <v>191</v>
      </c>
      <c r="F62" t="s">
        <v>424</v>
      </c>
      <c r="G62" t="s">
        <v>425</v>
      </c>
      <c r="H62" t="s">
        <v>73</v>
      </c>
      <c r="I62" t="s">
        <v>650</v>
      </c>
      <c r="J62" s="4">
        <v>45783</v>
      </c>
      <c r="K62" s="4">
        <v>46148</v>
      </c>
      <c r="L62" s="5">
        <v>10000</v>
      </c>
      <c r="M62" s="5">
        <v>10534.08</v>
      </c>
      <c r="N62">
        <v>77</v>
      </c>
      <c r="O62" t="s">
        <v>483</v>
      </c>
      <c r="P62">
        <v>12</v>
      </c>
      <c r="Q62" t="s">
        <v>75</v>
      </c>
      <c r="R62">
        <v>1702.69</v>
      </c>
      <c r="S62">
        <v>696</v>
      </c>
      <c r="T62" s="5">
        <v>1740</v>
      </c>
      <c r="U62" s="5">
        <v>0</v>
      </c>
      <c r="V62">
        <v>2.6</v>
      </c>
      <c r="W62" s="5">
        <v>7022.72</v>
      </c>
      <c r="X62" s="5">
        <v>6095.8423386666664</v>
      </c>
      <c r="Y62" s="5">
        <v>2633.52</v>
      </c>
      <c r="Z62" s="5">
        <v>1606.32</v>
      </c>
      <c r="AA62" s="5">
        <v>116</v>
      </c>
      <c r="AB62" s="5">
        <v>1740</v>
      </c>
      <c r="AC62" s="5">
        <v>800</v>
      </c>
      <c r="AD62" s="4">
        <v>45985</v>
      </c>
      <c r="AE62" t="s">
        <v>76</v>
      </c>
      <c r="AF62">
        <v>5573771781</v>
      </c>
      <c r="AG62" t="s">
        <v>651</v>
      </c>
      <c r="AI62" t="s">
        <v>281</v>
      </c>
      <c r="AJ62">
        <v>2093011</v>
      </c>
      <c r="AM62" t="s">
        <v>652</v>
      </c>
      <c r="AN62" t="s">
        <v>653</v>
      </c>
      <c r="AO62" t="s">
        <v>654</v>
      </c>
      <c r="AP62" t="s">
        <v>655</v>
      </c>
      <c r="AQ62" t="s">
        <v>656</v>
      </c>
      <c r="AR62" t="s">
        <v>657</v>
      </c>
      <c r="AY62" s="5">
        <v>14319.3</v>
      </c>
      <c r="AZ62" s="5">
        <v>0</v>
      </c>
      <c r="BA62">
        <v>1</v>
      </c>
      <c r="BB62" t="s">
        <v>204</v>
      </c>
      <c r="BC62" t="s">
        <v>658</v>
      </c>
      <c r="BD62" t="s">
        <v>659</v>
      </c>
      <c r="BE62" t="s">
        <v>81</v>
      </c>
      <c r="BF62" t="s">
        <v>660</v>
      </c>
      <c r="BH62" s="6" t="s">
        <v>83</v>
      </c>
      <c r="BK62">
        <v>7</v>
      </c>
      <c r="BL62">
        <v>7</v>
      </c>
      <c r="BM62" t="s">
        <v>101</v>
      </c>
      <c r="BN62" s="3" t="s">
        <v>661</v>
      </c>
      <c r="BO62" s="5">
        <v>7022.72</v>
      </c>
      <c r="BP62" s="5">
        <v>14319.3</v>
      </c>
      <c r="BQ62" s="34">
        <v>0.4257081239073604</v>
      </c>
    </row>
    <row r="63" spans="1:69" x14ac:dyDescent="0.3">
      <c r="A63" s="3" t="s">
        <v>1015</v>
      </c>
      <c r="B63" t="s">
        <v>67</v>
      </c>
      <c r="C63" t="s">
        <v>189</v>
      </c>
      <c r="D63" t="s">
        <v>190</v>
      </c>
      <c r="E63" t="s">
        <v>191</v>
      </c>
      <c r="F63" t="s">
        <v>192</v>
      </c>
      <c r="G63" t="s">
        <v>193</v>
      </c>
      <c r="H63" t="s">
        <v>73</v>
      </c>
      <c r="I63" t="s">
        <v>1016</v>
      </c>
      <c r="J63" s="4">
        <v>45785</v>
      </c>
      <c r="K63" s="4">
        <v>46150</v>
      </c>
      <c r="L63" s="5">
        <v>10000</v>
      </c>
      <c r="M63" s="5">
        <v>10534.08</v>
      </c>
      <c r="N63">
        <v>75</v>
      </c>
      <c r="O63" t="s">
        <v>483</v>
      </c>
      <c r="P63">
        <v>24</v>
      </c>
      <c r="Q63" t="s">
        <v>1017</v>
      </c>
      <c r="R63">
        <v>880.35</v>
      </c>
      <c r="S63">
        <v>1392</v>
      </c>
      <c r="T63" s="5">
        <v>3378.11</v>
      </c>
      <c r="U63" s="5">
        <v>0</v>
      </c>
      <c r="V63">
        <v>5</v>
      </c>
      <c r="W63" s="5">
        <v>6583.8</v>
      </c>
      <c r="X63" s="5">
        <v>7721.8423386666664</v>
      </c>
      <c r="Y63" s="5">
        <v>2194.6</v>
      </c>
      <c r="Z63" s="5">
        <v>1917.13</v>
      </c>
      <c r="AA63" s="5">
        <v>232</v>
      </c>
      <c r="AB63" s="5">
        <v>3378.11</v>
      </c>
      <c r="AC63" s="5">
        <v>1500</v>
      </c>
      <c r="AD63" s="4">
        <v>45947</v>
      </c>
      <c r="AE63" t="s">
        <v>76</v>
      </c>
      <c r="AF63">
        <v>7225060623</v>
      </c>
      <c r="AG63" t="s">
        <v>1018</v>
      </c>
      <c r="AI63" t="s">
        <v>370</v>
      </c>
      <c r="AJ63">
        <v>8944098</v>
      </c>
      <c r="AM63" t="s">
        <v>1019</v>
      </c>
      <c r="AN63" t="s">
        <v>1020</v>
      </c>
      <c r="AO63" t="s">
        <v>1021</v>
      </c>
      <c r="AP63" t="s">
        <v>1022</v>
      </c>
      <c r="AQ63" t="s">
        <v>1023</v>
      </c>
      <c r="AR63" t="s">
        <v>1024</v>
      </c>
      <c r="AY63" s="5">
        <v>15945.3</v>
      </c>
      <c r="AZ63" s="5">
        <v>0</v>
      </c>
      <c r="BA63">
        <v>1</v>
      </c>
      <c r="BB63" t="s">
        <v>204</v>
      </c>
      <c r="BC63" t="s">
        <v>1025</v>
      </c>
      <c r="BD63" t="s">
        <v>1026</v>
      </c>
      <c r="BE63" t="s">
        <v>81</v>
      </c>
      <c r="BF63" t="s">
        <v>189</v>
      </c>
      <c r="BH63" s="6" t="s">
        <v>83</v>
      </c>
      <c r="BK63">
        <v>11</v>
      </c>
      <c r="BL63">
        <v>9</v>
      </c>
      <c r="BM63" t="s">
        <v>101</v>
      </c>
      <c r="BN63" s="3" t="s">
        <v>1027</v>
      </c>
      <c r="BO63" s="5">
        <v>6583.8</v>
      </c>
      <c r="BP63" s="5">
        <v>15945.3</v>
      </c>
      <c r="BQ63" s="34">
        <v>0.48427074678222842</v>
      </c>
    </row>
    <row r="64" spans="1:69" x14ac:dyDescent="0.3">
      <c r="A64" s="3" t="s">
        <v>1103</v>
      </c>
      <c r="B64" t="s">
        <v>67</v>
      </c>
      <c r="C64" t="s">
        <v>68</v>
      </c>
      <c r="D64" t="s">
        <v>190</v>
      </c>
      <c r="E64" t="s">
        <v>191</v>
      </c>
      <c r="F64" t="s">
        <v>173</v>
      </c>
      <c r="G64" t="s">
        <v>174</v>
      </c>
      <c r="H64" t="s">
        <v>73</v>
      </c>
      <c r="I64" t="s">
        <v>1104</v>
      </c>
      <c r="J64" s="4">
        <v>45763</v>
      </c>
      <c r="K64" s="4">
        <v>46128</v>
      </c>
      <c r="L64" s="5">
        <v>12000</v>
      </c>
      <c r="M64" s="5">
        <v>12640.89</v>
      </c>
      <c r="N64">
        <v>67</v>
      </c>
      <c r="O64" t="s">
        <v>483</v>
      </c>
      <c r="P64">
        <v>12</v>
      </c>
      <c r="Q64" t="s">
        <v>75</v>
      </c>
      <c r="R64">
        <v>2031.63</v>
      </c>
      <c r="S64">
        <v>696</v>
      </c>
      <c r="T64" s="5">
        <v>1740</v>
      </c>
      <c r="U64" s="5">
        <v>0</v>
      </c>
      <c r="V64">
        <v>2.2999999999999998</v>
      </c>
      <c r="W64" s="5">
        <v>6928.22</v>
      </c>
      <c r="X64" s="5">
        <v>6411.0334273333328</v>
      </c>
      <c r="Y64" s="5">
        <v>2714.59</v>
      </c>
      <c r="Z64" s="5">
        <v>1840.44</v>
      </c>
      <c r="AA64" s="5">
        <v>116</v>
      </c>
      <c r="AB64" s="5">
        <v>1740</v>
      </c>
      <c r="AC64" s="5">
        <v>2000</v>
      </c>
      <c r="AD64" s="4">
        <v>45988</v>
      </c>
      <c r="AE64" t="s">
        <v>76</v>
      </c>
      <c r="AF64">
        <v>7221087019</v>
      </c>
      <c r="AG64" t="s">
        <v>1105</v>
      </c>
      <c r="AI64" t="s">
        <v>1106</v>
      </c>
      <c r="AJ64">
        <v>8934011</v>
      </c>
      <c r="AM64" t="s">
        <v>1107</v>
      </c>
      <c r="AN64" t="s">
        <v>1108</v>
      </c>
      <c r="AO64" t="s">
        <v>1109</v>
      </c>
      <c r="AP64" t="s">
        <v>1110</v>
      </c>
      <c r="AQ64" t="s">
        <v>1111</v>
      </c>
      <c r="AR64" t="s">
        <v>1112</v>
      </c>
      <c r="AY64" s="5">
        <v>14305.55</v>
      </c>
      <c r="AZ64" s="5">
        <v>0</v>
      </c>
      <c r="BA64">
        <v>1</v>
      </c>
      <c r="BB64" t="s">
        <v>204</v>
      </c>
      <c r="BC64" t="s">
        <v>1113</v>
      </c>
      <c r="BD64" t="s">
        <v>100</v>
      </c>
      <c r="BE64" t="s">
        <v>81</v>
      </c>
      <c r="BF64" t="s">
        <v>82</v>
      </c>
      <c r="BH64" s="6" t="s">
        <v>83</v>
      </c>
      <c r="BK64">
        <v>8</v>
      </c>
      <c r="BL64">
        <v>8</v>
      </c>
      <c r="BM64" t="s">
        <v>101</v>
      </c>
      <c r="BN64" s="3" t="s">
        <v>1114</v>
      </c>
      <c r="BO64" s="5">
        <v>6928.22</v>
      </c>
      <c r="BP64" s="5">
        <v>14305.55</v>
      </c>
      <c r="BQ64" s="34">
        <v>0.44815008352236252</v>
      </c>
    </row>
    <row r="65" spans="1:69" x14ac:dyDescent="0.3">
      <c r="A65" s="3" t="s">
        <v>1115</v>
      </c>
      <c r="B65" t="s">
        <v>67</v>
      </c>
      <c r="C65" t="s">
        <v>536</v>
      </c>
      <c r="D65" t="s">
        <v>917</v>
      </c>
      <c r="E65" t="s">
        <v>918</v>
      </c>
      <c r="F65" t="s">
        <v>154</v>
      </c>
      <c r="G65" t="s">
        <v>155</v>
      </c>
      <c r="H65" t="s">
        <v>73</v>
      </c>
      <c r="I65" t="s">
        <v>1116</v>
      </c>
      <c r="J65" s="4">
        <v>45824</v>
      </c>
      <c r="K65" s="4">
        <v>46007</v>
      </c>
      <c r="L65" s="5">
        <v>10000</v>
      </c>
      <c r="M65" s="5">
        <v>10534.08</v>
      </c>
      <c r="N65">
        <v>67</v>
      </c>
      <c r="O65" t="s">
        <v>483</v>
      </c>
      <c r="P65">
        <v>6</v>
      </c>
      <c r="Q65" t="s">
        <v>75</v>
      </c>
      <c r="R65">
        <v>2582.63</v>
      </c>
      <c r="S65">
        <v>348</v>
      </c>
      <c r="T65" s="5">
        <v>1160</v>
      </c>
      <c r="U65" s="5">
        <v>0</v>
      </c>
      <c r="V65">
        <v>2.7</v>
      </c>
      <c r="W65" s="5">
        <v>5267.04</v>
      </c>
      <c r="X65" s="5">
        <v>8194.7999999999993</v>
      </c>
      <c r="Y65" s="5">
        <v>5267.04</v>
      </c>
      <c r="Z65" s="5">
        <v>1651.76</v>
      </c>
      <c r="AA65" s="5">
        <v>116</v>
      </c>
      <c r="AB65" s="5">
        <v>1160</v>
      </c>
      <c r="AC65" s="5">
        <v>1292</v>
      </c>
      <c r="AD65" s="4">
        <v>45966</v>
      </c>
      <c r="AE65" t="s">
        <v>76</v>
      </c>
      <c r="AF65">
        <v>7121352721</v>
      </c>
      <c r="AG65" t="s">
        <v>1117</v>
      </c>
      <c r="AI65" t="s">
        <v>211</v>
      </c>
      <c r="AJ65">
        <v>6211023</v>
      </c>
      <c r="AK65" t="s">
        <v>1118</v>
      </c>
      <c r="AL65" t="s">
        <v>1119</v>
      </c>
      <c r="AM65" t="s">
        <v>1120</v>
      </c>
      <c r="AN65" t="s">
        <v>1121</v>
      </c>
      <c r="AO65" t="s">
        <v>1122</v>
      </c>
      <c r="AP65" t="s">
        <v>1123</v>
      </c>
      <c r="AQ65" t="s">
        <v>1124</v>
      </c>
      <c r="AR65" t="s">
        <v>1125</v>
      </c>
      <c r="AY65" s="5">
        <v>8194.7999999999993</v>
      </c>
      <c r="AZ65" s="5">
        <v>0</v>
      </c>
      <c r="BA65">
        <v>1</v>
      </c>
      <c r="BB65" t="s">
        <v>204</v>
      </c>
      <c r="BC65" t="s">
        <v>1126</v>
      </c>
      <c r="BD65" t="s">
        <v>1127</v>
      </c>
      <c r="BE65" t="s">
        <v>81</v>
      </c>
      <c r="BF65" t="s">
        <v>536</v>
      </c>
      <c r="BG65" t="s">
        <v>1128</v>
      </c>
      <c r="BH65" s="6" t="s">
        <v>83</v>
      </c>
      <c r="BK65">
        <v>3</v>
      </c>
      <c r="BL65">
        <v>3</v>
      </c>
      <c r="BM65" t="s">
        <v>101</v>
      </c>
      <c r="BN65" s="3" t="s">
        <v>1129</v>
      </c>
      <c r="BO65" s="5">
        <v>5267.04</v>
      </c>
      <c r="BP65" s="5">
        <v>8194.7999999999993</v>
      </c>
      <c r="BQ65" s="34">
        <v>1</v>
      </c>
    </row>
    <row r="66" spans="1:69" x14ac:dyDescent="0.3">
      <c r="A66" s="3" t="s">
        <v>1164</v>
      </c>
      <c r="B66" t="s">
        <v>67</v>
      </c>
      <c r="C66" t="s">
        <v>68</v>
      </c>
      <c r="D66" t="s">
        <v>335</v>
      </c>
      <c r="E66" t="s">
        <v>336</v>
      </c>
      <c r="F66" t="s">
        <v>173</v>
      </c>
      <c r="G66" t="s">
        <v>174</v>
      </c>
      <c r="H66" t="s">
        <v>175</v>
      </c>
      <c r="I66" t="s">
        <v>1165</v>
      </c>
      <c r="J66" s="4">
        <v>45553</v>
      </c>
      <c r="K66" s="4">
        <v>46099</v>
      </c>
      <c r="L66" s="5">
        <v>80000</v>
      </c>
      <c r="M66" s="5">
        <v>84272.62</v>
      </c>
      <c r="N66">
        <v>63</v>
      </c>
      <c r="O66" t="s">
        <v>483</v>
      </c>
      <c r="P66">
        <v>18</v>
      </c>
      <c r="Q66" t="s">
        <v>75</v>
      </c>
      <c r="R66">
        <v>9747.24</v>
      </c>
      <c r="S66">
        <v>1044</v>
      </c>
      <c r="T66" s="5">
        <v>1160</v>
      </c>
      <c r="U66" s="5">
        <v>0</v>
      </c>
      <c r="V66">
        <v>2.1</v>
      </c>
      <c r="W66" s="5">
        <v>38531.39</v>
      </c>
      <c r="X66" s="5">
        <v>21595.68</v>
      </c>
      <c r="Y66" s="5">
        <v>14048.7</v>
      </c>
      <c r="Z66" s="5">
        <v>6270.98</v>
      </c>
      <c r="AA66" s="5">
        <v>116</v>
      </c>
      <c r="AB66" s="5">
        <v>1160</v>
      </c>
      <c r="AC66" s="5">
        <v>4000</v>
      </c>
      <c r="AD66" s="4">
        <v>46003</v>
      </c>
      <c r="AE66" t="s">
        <v>76</v>
      </c>
      <c r="AF66">
        <v>7261018239</v>
      </c>
      <c r="AG66" t="s">
        <v>1166</v>
      </c>
      <c r="AI66" t="s">
        <v>1167</v>
      </c>
      <c r="AJ66">
        <v>8611015</v>
      </c>
      <c r="AM66" t="s">
        <v>1168</v>
      </c>
      <c r="AN66" t="s">
        <v>1169</v>
      </c>
      <c r="AO66" t="s">
        <v>1170</v>
      </c>
      <c r="AP66" t="s">
        <v>1169</v>
      </c>
      <c r="AQ66" t="s">
        <v>1171</v>
      </c>
      <c r="AR66" t="s">
        <v>1172</v>
      </c>
      <c r="AY66" s="5">
        <v>46078.37</v>
      </c>
      <c r="AZ66" s="5">
        <v>0</v>
      </c>
      <c r="BA66">
        <v>1</v>
      </c>
      <c r="BB66" t="s">
        <v>78</v>
      </c>
      <c r="BC66" t="s">
        <v>1173</v>
      </c>
      <c r="BD66" t="s">
        <v>80</v>
      </c>
      <c r="BE66" t="s">
        <v>81</v>
      </c>
      <c r="BF66" t="s">
        <v>82</v>
      </c>
      <c r="BH66" s="6" t="s">
        <v>83</v>
      </c>
      <c r="BK66">
        <v>8</v>
      </c>
      <c r="BL66">
        <v>6</v>
      </c>
      <c r="BM66" t="s">
        <v>101</v>
      </c>
      <c r="BN66" s="3" t="s">
        <v>1174</v>
      </c>
      <c r="BO66" s="5">
        <v>38531.39</v>
      </c>
      <c r="BP66" s="5">
        <v>46078.37</v>
      </c>
      <c r="BQ66" s="34">
        <v>0.46867282848763958</v>
      </c>
    </row>
    <row r="67" spans="1:69" x14ac:dyDescent="0.3">
      <c r="A67" s="3" t="s">
        <v>1132</v>
      </c>
      <c r="B67" t="s">
        <v>67</v>
      </c>
      <c r="C67" t="s">
        <v>104</v>
      </c>
      <c r="D67" t="s">
        <v>1133</v>
      </c>
      <c r="E67" t="s">
        <v>1134</v>
      </c>
      <c r="F67" t="s">
        <v>424</v>
      </c>
      <c r="G67" t="s">
        <v>425</v>
      </c>
      <c r="H67" t="s">
        <v>175</v>
      </c>
      <c r="I67" t="s">
        <v>1135</v>
      </c>
      <c r="J67" s="4">
        <v>45796</v>
      </c>
      <c r="K67" s="4">
        <v>45980</v>
      </c>
      <c r="L67" s="5">
        <v>50000</v>
      </c>
      <c r="M67" s="5">
        <v>52670.39</v>
      </c>
      <c r="N67">
        <v>63</v>
      </c>
      <c r="O67" t="s">
        <v>483</v>
      </c>
      <c r="P67">
        <v>6</v>
      </c>
      <c r="Q67" t="s">
        <v>75</v>
      </c>
      <c r="R67">
        <v>11727.65</v>
      </c>
      <c r="S67">
        <v>348</v>
      </c>
      <c r="T67" s="5">
        <v>1217.33</v>
      </c>
      <c r="U67" s="5">
        <v>0</v>
      </c>
      <c r="V67">
        <v>2</v>
      </c>
      <c r="W67" s="5">
        <v>17556.8</v>
      </c>
      <c r="X67" s="5">
        <v>24672.639999999999</v>
      </c>
      <c r="Y67" s="5">
        <v>17556.8</v>
      </c>
      <c r="Z67" s="5">
        <v>5782.51</v>
      </c>
      <c r="AA67" s="5">
        <v>116</v>
      </c>
      <c r="AB67" s="5">
        <v>1217.33</v>
      </c>
      <c r="AC67" s="5">
        <v>12307</v>
      </c>
      <c r="AD67" s="4">
        <v>45957</v>
      </c>
      <c r="AE67" t="s">
        <v>76</v>
      </c>
      <c r="AF67">
        <v>7293597278</v>
      </c>
      <c r="AG67" t="s">
        <v>1136</v>
      </c>
      <c r="AI67" t="s">
        <v>1137</v>
      </c>
      <c r="AJ67">
        <v>2084010</v>
      </c>
      <c r="AK67" t="s">
        <v>1138</v>
      </c>
      <c r="AM67" t="s">
        <v>1139</v>
      </c>
      <c r="AN67" t="s">
        <v>1140</v>
      </c>
      <c r="AO67" t="s">
        <v>1141</v>
      </c>
      <c r="AP67" t="s">
        <v>1142</v>
      </c>
      <c r="AQ67" t="s">
        <v>1143</v>
      </c>
      <c r="AR67" t="s">
        <v>1144</v>
      </c>
      <c r="AS67" t="s">
        <v>144</v>
      </c>
      <c r="AT67" t="s">
        <v>1145</v>
      </c>
      <c r="AU67" t="s">
        <v>1146</v>
      </c>
      <c r="AY67" s="5">
        <v>24672.639999999999</v>
      </c>
      <c r="AZ67" s="5">
        <v>0</v>
      </c>
      <c r="BA67">
        <v>1</v>
      </c>
      <c r="BB67" t="s">
        <v>204</v>
      </c>
      <c r="BC67" t="s">
        <v>1147</v>
      </c>
      <c r="BD67" t="s">
        <v>1148</v>
      </c>
      <c r="BE67" t="s">
        <v>81</v>
      </c>
      <c r="BF67" t="s">
        <v>648</v>
      </c>
      <c r="BH67" s="6" t="s">
        <v>83</v>
      </c>
      <c r="BK67">
        <v>5</v>
      </c>
      <c r="BL67">
        <v>5</v>
      </c>
      <c r="BM67" t="s">
        <v>101</v>
      </c>
      <c r="BN67" s="3" t="s">
        <v>1149</v>
      </c>
      <c r="BO67" s="5">
        <v>17556.8</v>
      </c>
      <c r="BP67" s="5">
        <v>24672.639999999999</v>
      </c>
      <c r="BQ67" s="34">
        <v>1</v>
      </c>
    </row>
    <row r="68" spans="1:69" x14ac:dyDescent="0.3">
      <c r="A68" s="3" t="s">
        <v>1002</v>
      </c>
      <c r="B68" t="s">
        <v>67</v>
      </c>
      <c r="C68" t="s">
        <v>68</v>
      </c>
      <c r="D68" t="s">
        <v>335</v>
      </c>
      <c r="E68" t="s">
        <v>336</v>
      </c>
      <c r="F68" t="s">
        <v>173</v>
      </c>
      <c r="G68" t="s">
        <v>174</v>
      </c>
      <c r="H68" t="s">
        <v>73</v>
      </c>
      <c r="I68" t="s">
        <v>1003</v>
      </c>
      <c r="J68" s="4">
        <v>45810</v>
      </c>
      <c r="K68" s="4">
        <v>46146</v>
      </c>
      <c r="L68" s="5">
        <v>15000</v>
      </c>
      <c r="M68" s="5">
        <v>15801.12</v>
      </c>
      <c r="N68">
        <v>63</v>
      </c>
      <c r="O68" t="s">
        <v>483</v>
      </c>
      <c r="P68">
        <v>24</v>
      </c>
      <c r="Q68" t="s">
        <v>293</v>
      </c>
      <c r="R68">
        <v>1245.82</v>
      </c>
      <c r="S68">
        <v>1392</v>
      </c>
      <c r="T68" s="5">
        <v>2900</v>
      </c>
      <c r="U68" s="5">
        <v>14</v>
      </c>
      <c r="V68">
        <v>4.5</v>
      </c>
      <c r="W68" s="5">
        <v>9835.5500000000011</v>
      </c>
      <c r="X68" s="5">
        <v>8501.5200511999992</v>
      </c>
      <c r="Y68" s="5">
        <v>3251.75</v>
      </c>
      <c r="Z68" s="5">
        <v>2117.77</v>
      </c>
      <c r="AA68" s="5">
        <v>232</v>
      </c>
      <c r="AB68" s="5">
        <v>2900</v>
      </c>
      <c r="AC68" s="5">
        <v>3000</v>
      </c>
      <c r="AD68" s="4">
        <v>46009</v>
      </c>
      <c r="AE68" t="s">
        <v>76</v>
      </c>
      <c r="AF68">
        <v>7225103543</v>
      </c>
      <c r="AG68" t="s">
        <v>1004</v>
      </c>
      <c r="AI68" t="s">
        <v>459</v>
      </c>
      <c r="AJ68">
        <v>6131023</v>
      </c>
      <c r="AK68" t="s">
        <v>1005</v>
      </c>
      <c r="AL68" t="s">
        <v>1006</v>
      </c>
      <c r="AM68" t="s">
        <v>1007</v>
      </c>
      <c r="AN68" t="s">
        <v>1008</v>
      </c>
      <c r="AO68" t="s">
        <v>1009</v>
      </c>
      <c r="AP68" t="s">
        <v>1010</v>
      </c>
      <c r="AQ68" t="s">
        <v>1011</v>
      </c>
      <c r="AR68" t="s">
        <v>1012</v>
      </c>
      <c r="AY68" s="5">
        <v>20379.75</v>
      </c>
      <c r="AZ68" s="5">
        <v>0</v>
      </c>
      <c r="BA68">
        <v>1</v>
      </c>
      <c r="BB68" t="s">
        <v>204</v>
      </c>
      <c r="BC68" t="s">
        <v>1013</v>
      </c>
      <c r="BD68" t="s">
        <v>80</v>
      </c>
      <c r="BE68" t="s">
        <v>81</v>
      </c>
      <c r="BF68" t="s">
        <v>82</v>
      </c>
      <c r="BH68" s="6" t="s">
        <v>83</v>
      </c>
      <c r="BK68">
        <v>8</v>
      </c>
      <c r="BL68">
        <v>7</v>
      </c>
      <c r="BM68" t="s">
        <v>101</v>
      </c>
      <c r="BN68" s="3" t="s">
        <v>1014</v>
      </c>
      <c r="BO68" s="5">
        <v>9835.5500000000011</v>
      </c>
      <c r="BP68" s="5">
        <v>20379.75</v>
      </c>
      <c r="BQ68" s="34">
        <v>0.41715526692918209</v>
      </c>
    </row>
    <row r="69" spans="1:69" x14ac:dyDescent="0.3">
      <c r="A69" s="3" t="s">
        <v>850</v>
      </c>
      <c r="B69" t="s">
        <v>67</v>
      </c>
      <c r="C69" t="s">
        <v>104</v>
      </c>
      <c r="D69" t="s">
        <v>494</v>
      </c>
      <c r="E69" t="s">
        <v>495</v>
      </c>
      <c r="F69" t="s">
        <v>424</v>
      </c>
      <c r="G69" t="s">
        <v>425</v>
      </c>
      <c r="H69" t="s">
        <v>73</v>
      </c>
      <c r="I69" t="s">
        <v>851</v>
      </c>
      <c r="J69" s="4">
        <v>45853</v>
      </c>
      <c r="K69" s="4">
        <v>46021</v>
      </c>
      <c r="L69" s="5">
        <v>5000</v>
      </c>
      <c r="M69" s="5">
        <v>5267.04</v>
      </c>
      <c r="N69">
        <v>62</v>
      </c>
      <c r="O69" t="s">
        <v>483</v>
      </c>
      <c r="P69">
        <v>12</v>
      </c>
      <c r="Q69" t="s">
        <v>293</v>
      </c>
      <c r="R69">
        <v>673.4</v>
      </c>
      <c r="S69">
        <v>696</v>
      </c>
      <c r="T69" s="5">
        <v>3232.4</v>
      </c>
      <c r="U69" s="5">
        <v>11</v>
      </c>
      <c r="V69">
        <v>5</v>
      </c>
      <c r="W69" s="5">
        <v>2633.52</v>
      </c>
      <c r="X69" s="5">
        <v>6541.4104895999999</v>
      </c>
      <c r="Y69" s="5">
        <v>2194.6</v>
      </c>
      <c r="Z69" s="5">
        <v>882.41</v>
      </c>
      <c r="AA69" s="5">
        <v>232</v>
      </c>
      <c r="AB69" s="5">
        <v>3232.4</v>
      </c>
      <c r="AC69" s="5">
        <v>673</v>
      </c>
      <c r="AD69" s="4">
        <v>45990</v>
      </c>
      <c r="AE69" t="s">
        <v>76</v>
      </c>
      <c r="AF69">
        <v>7293711279</v>
      </c>
      <c r="AG69" t="s">
        <v>852</v>
      </c>
      <c r="AI69" t="s">
        <v>158</v>
      </c>
      <c r="AJ69">
        <v>8711021</v>
      </c>
      <c r="AM69" t="s">
        <v>853</v>
      </c>
      <c r="AN69" t="s">
        <v>854</v>
      </c>
      <c r="AO69" t="s">
        <v>855</v>
      </c>
      <c r="AP69" t="s">
        <v>856</v>
      </c>
      <c r="AQ69" t="s">
        <v>857</v>
      </c>
      <c r="AR69" t="s">
        <v>858</v>
      </c>
      <c r="AY69" s="5">
        <v>7156.81</v>
      </c>
      <c r="AZ69" s="5">
        <v>0</v>
      </c>
      <c r="BA69">
        <v>1</v>
      </c>
      <c r="BB69" t="s">
        <v>204</v>
      </c>
      <c r="BC69" t="s">
        <v>859</v>
      </c>
      <c r="BD69" t="s">
        <v>860</v>
      </c>
      <c r="BE69" t="s">
        <v>81</v>
      </c>
      <c r="BF69" t="s">
        <v>104</v>
      </c>
      <c r="BG69" t="s">
        <v>861</v>
      </c>
      <c r="BH69" s="6" t="s">
        <v>83</v>
      </c>
      <c r="BK69">
        <v>11</v>
      </c>
      <c r="BL69">
        <v>11</v>
      </c>
      <c r="BM69" t="s">
        <v>101</v>
      </c>
      <c r="BN69" s="3" t="s">
        <v>862</v>
      </c>
      <c r="BO69" s="5">
        <v>2633.52</v>
      </c>
      <c r="BP69" s="5">
        <v>7156.81</v>
      </c>
      <c r="BQ69" s="34">
        <v>0.91401203743008397</v>
      </c>
    </row>
    <row r="70" spans="1:69" x14ac:dyDescent="0.3">
      <c r="A70" s="3" t="s">
        <v>1238</v>
      </c>
      <c r="B70" t="s">
        <v>67</v>
      </c>
      <c r="C70" t="s">
        <v>132</v>
      </c>
      <c r="D70" t="s">
        <v>1206</v>
      </c>
      <c r="E70" t="s">
        <v>1207</v>
      </c>
      <c r="F70" t="s">
        <v>154</v>
      </c>
      <c r="G70" t="s">
        <v>155</v>
      </c>
      <c r="H70" t="s">
        <v>73</v>
      </c>
      <c r="I70" t="s">
        <v>1239</v>
      </c>
      <c r="J70" s="4">
        <v>45800</v>
      </c>
      <c r="K70" s="4">
        <v>45984</v>
      </c>
      <c r="L70" s="5">
        <v>5000</v>
      </c>
      <c r="M70" s="5">
        <v>5267.04</v>
      </c>
      <c r="N70">
        <v>60</v>
      </c>
      <c r="O70" t="s">
        <v>702</v>
      </c>
      <c r="P70">
        <v>6</v>
      </c>
      <c r="Q70" t="s">
        <v>75</v>
      </c>
      <c r="R70">
        <v>1322.42</v>
      </c>
      <c r="S70">
        <v>348</v>
      </c>
      <c r="T70" s="5">
        <v>1740</v>
      </c>
      <c r="U70" s="5">
        <v>0</v>
      </c>
      <c r="V70">
        <v>2</v>
      </c>
      <c r="W70" s="5">
        <v>1755.68</v>
      </c>
      <c r="X70" s="5">
        <v>4374.08</v>
      </c>
      <c r="Y70" s="5">
        <v>1755.68</v>
      </c>
      <c r="Z70" s="5">
        <v>773.15</v>
      </c>
      <c r="AA70" s="5">
        <v>105.25</v>
      </c>
      <c r="AB70" s="5">
        <v>1740</v>
      </c>
      <c r="AC70" s="5">
        <v>1323</v>
      </c>
      <c r="AD70" s="4">
        <v>45953</v>
      </c>
      <c r="AE70" t="s">
        <v>76</v>
      </c>
      <c r="AF70">
        <v>4472036771</v>
      </c>
      <c r="AG70" t="s">
        <v>1240</v>
      </c>
      <c r="AI70" t="s">
        <v>1210</v>
      </c>
      <c r="AJ70">
        <v>9213018</v>
      </c>
      <c r="AM70" t="s">
        <v>1241</v>
      </c>
      <c r="AN70" t="s">
        <v>1242</v>
      </c>
      <c r="AO70" t="s">
        <v>1243</v>
      </c>
      <c r="AP70" t="s">
        <v>1244</v>
      </c>
      <c r="AQ70" t="s">
        <v>1245</v>
      </c>
      <c r="AR70" t="s">
        <v>1246</v>
      </c>
      <c r="AY70" s="5">
        <v>4374.08</v>
      </c>
      <c r="AZ70" s="5">
        <v>0</v>
      </c>
      <c r="BA70">
        <v>1</v>
      </c>
      <c r="BB70" t="s">
        <v>204</v>
      </c>
      <c r="BC70" t="s">
        <v>1247</v>
      </c>
      <c r="BD70" t="s">
        <v>168</v>
      </c>
      <c r="BE70" t="s">
        <v>149</v>
      </c>
      <c r="BF70" t="s">
        <v>132</v>
      </c>
      <c r="BH70" s="6" t="s">
        <v>83</v>
      </c>
      <c r="BK70">
        <v>3</v>
      </c>
      <c r="BL70">
        <v>3</v>
      </c>
      <c r="BM70" t="s">
        <v>101</v>
      </c>
      <c r="BN70" s="3" t="s">
        <v>1248</v>
      </c>
      <c r="BO70" s="5">
        <v>1755.68</v>
      </c>
      <c r="BP70" s="5">
        <v>4374.08</v>
      </c>
      <c r="BQ70" s="34">
        <v>1</v>
      </c>
    </row>
    <row r="71" spans="1:69" x14ac:dyDescent="0.3">
      <c r="A71" s="3" t="s">
        <v>1250</v>
      </c>
      <c r="B71" t="s">
        <v>67</v>
      </c>
      <c r="C71" t="s">
        <v>189</v>
      </c>
      <c r="D71" t="s">
        <v>190</v>
      </c>
      <c r="E71" t="s">
        <v>191</v>
      </c>
      <c r="F71" t="s">
        <v>192</v>
      </c>
      <c r="G71" t="s">
        <v>193</v>
      </c>
      <c r="H71" t="s">
        <v>73</v>
      </c>
      <c r="I71" t="s">
        <v>1251</v>
      </c>
      <c r="J71" s="4">
        <v>45770</v>
      </c>
      <c r="K71" s="4">
        <v>46135</v>
      </c>
      <c r="L71" s="5">
        <v>10000</v>
      </c>
      <c r="M71" s="5">
        <v>10534.08</v>
      </c>
      <c r="N71">
        <v>60</v>
      </c>
      <c r="O71" t="s">
        <v>702</v>
      </c>
      <c r="P71">
        <v>12</v>
      </c>
      <c r="Q71" t="s">
        <v>75</v>
      </c>
      <c r="R71">
        <v>1702.69</v>
      </c>
      <c r="S71">
        <v>696</v>
      </c>
      <c r="T71" s="5">
        <v>1217.46</v>
      </c>
      <c r="U71" s="5">
        <v>0</v>
      </c>
      <c r="V71">
        <v>2</v>
      </c>
      <c r="W71" s="5">
        <v>6144.88</v>
      </c>
      <c r="X71" s="5">
        <v>4564.8423386666664</v>
      </c>
      <c r="Y71" s="5">
        <v>1755.68</v>
      </c>
      <c r="Z71" s="5">
        <v>1533.7</v>
      </c>
      <c r="AA71" s="5">
        <v>58</v>
      </c>
      <c r="AB71" s="5">
        <v>1217.46</v>
      </c>
      <c r="AC71" s="5">
        <v>2282</v>
      </c>
      <c r="AD71" s="4">
        <v>45958</v>
      </c>
      <c r="AE71" t="s">
        <v>76</v>
      </c>
      <c r="AF71">
        <v>7225684720</v>
      </c>
      <c r="AG71" t="s">
        <v>1252</v>
      </c>
      <c r="AI71" t="s">
        <v>1253</v>
      </c>
      <c r="AJ71">
        <v>6325048</v>
      </c>
      <c r="AM71" t="s">
        <v>1254</v>
      </c>
      <c r="AN71" t="s">
        <v>1255</v>
      </c>
      <c r="AO71" t="s">
        <v>1256</v>
      </c>
      <c r="AP71" t="s">
        <v>1257</v>
      </c>
      <c r="AQ71" t="s">
        <v>1258</v>
      </c>
      <c r="AR71" t="s">
        <v>1259</v>
      </c>
      <c r="AY71" s="5">
        <v>12788.3</v>
      </c>
      <c r="AZ71" s="5">
        <v>0</v>
      </c>
      <c r="BA71">
        <v>1</v>
      </c>
      <c r="BB71" t="s">
        <v>204</v>
      </c>
      <c r="BC71" t="s">
        <v>1260</v>
      </c>
      <c r="BD71" t="s">
        <v>989</v>
      </c>
      <c r="BE71" t="s">
        <v>81</v>
      </c>
      <c r="BF71" t="s">
        <v>289</v>
      </c>
      <c r="BH71" s="6" t="s">
        <v>83</v>
      </c>
      <c r="BK71">
        <v>4</v>
      </c>
      <c r="BL71">
        <v>4</v>
      </c>
      <c r="BM71" t="s">
        <v>101</v>
      </c>
      <c r="BN71" s="3" t="s">
        <v>1261</v>
      </c>
      <c r="BO71" s="5">
        <v>6144.88</v>
      </c>
      <c r="BP71" s="5">
        <v>12788.3</v>
      </c>
      <c r="BQ71" s="34">
        <v>0.35695458651006512</v>
      </c>
    </row>
    <row r="72" spans="1:69" x14ac:dyDescent="0.3">
      <c r="A72" s="3" t="s">
        <v>837</v>
      </c>
      <c r="B72" t="s">
        <v>67</v>
      </c>
      <c r="C72" t="s">
        <v>104</v>
      </c>
      <c r="D72" t="s">
        <v>190</v>
      </c>
      <c r="E72" t="s">
        <v>191</v>
      </c>
      <c r="F72" t="s">
        <v>424</v>
      </c>
      <c r="G72" t="s">
        <v>425</v>
      </c>
      <c r="H72" t="s">
        <v>73</v>
      </c>
      <c r="I72" t="s">
        <v>838</v>
      </c>
      <c r="J72" s="4">
        <v>45770</v>
      </c>
      <c r="K72" s="4">
        <v>46135</v>
      </c>
      <c r="L72" s="5">
        <v>15000</v>
      </c>
      <c r="M72" s="5">
        <v>15801.12</v>
      </c>
      <c r="N72">
        <v>60</v>
      </c>
      <c r="O72" t="s">
        <v>702</v>
      </c>
      <c r="P72">
        <v>12</v>
      </c>
      <c r="Q72" t="s">
        <v>75</v>
      </c>
      <c r="R72">
        <v>2525.04</v>
      </c>
      <c r="S72">
        <v>696</v>
      </c>
      <c r="T72" s="5">
        <v>1328.19</v>
      </c>
      <c r="U72" s="5">
        <v>0</v>
      </c>
      <c r="V72">
        <v>2</v>
      </c>
      <c r="W72" s="5">
        <v>9217.32</v>
      </c>
      <c r="X72" s="5">
        <v>6320.263508</v>
      </c>
      <c r="Y72" s="5">
        <v>2633.52</v>
      </c>
      <c r="Z72" s="5">
        <v>2300.5500000000002</v>
      </c>
      <c r="AA72" s="5">
        <v>58</v>
      </c>
      <c r="AB72" s="5">
        <v>1328.19</v>
      </c>
      <c r="AC72" s="5">
        <v>1000</v>
      </c>
      <c r="AD72" s="4">
        <v>45989</v>
      </c>
      <c r="AE72" t="s">
        <v>76</v>
      </c>
      <c r="AF72">
        <v>7224852577</v>
      </c>
      <c r="AG72" t="s">
        <v>839</v>
      </c>
      <c r="AI72" t="s">
        <v>158</v>
      </c>
      <c r="AJ72">
        <v>8711021</v>
      </c>
      <c r="AM72" t="s">
        <v>840</v>
      </c>
      <c r="AN72" t="s">
        <v>841</v>
      </c>
      <c r="AO72" t="s">
        <v>842</v>
      </c>
      <c r="AP72" t="s">
        <v>843</v>
      </c>
      <c r="AQ72" t="s">
        <v>844</v>
      </c>
      <c r="AR72" t="s">
        <v>845</v>
      </c>
      <c r="AY72" s="5">
        <v>18655.45</v>
      </c>
      <c r="AZ72" s="5">
        <v>0</v>
      </c>
      <c r="BA72">
        <v>1</v>
      </c>
      <c r="BB72" t="s">
        <v>204</v>
      </c>
      <c r="BC72" t="s">
        <v>846</v>
      </c>
      <c r="BD72" t="s">
        <v>847</v>
      </c>
      <c r="BE72" t="s">
        <v>81</v>
      </c>
      <c r="BF72" t="s">
        <v>848</v>
      </c>
      <c r="BH72" s="6" t="s">
        <v>83</v>
      </c>
      <c r="BK72">
        <v>6</v>
      </c>
      <c r="BL72">
        <v>6</v>
      </c>
      <c r="BM72" t="s">
        <v>101</v>
      </c>
      <c r="BN72" s="3" t="s">
        <v>849</v>
      </c>
      <c r="BO72" s="5">
        <v>9217.32</v>
      </c>
      <c r="BP72" s="5">
        <v>18655.45</v>
      </c>
      <c r="BQ72" s="34">
        <v>0.33878912103433578</v>
      </c>
    </row>
    <row r="73" spans="1:69" x14ac:dyDescent="0.3">
      <c r="A73" s="3" t="s">
        <v>975</v>
      </c>
      <c r="B73" t="s">
        <v>67</v>
      </c>
      <c r="C73" t="s">
        <v>189</v>
      </c>
      <c r="D73" t="s">
        <v>276</v>
      </c>
      <c r="E73" t="s">
        <v>277</v>
      </c>
      <c r="F73" t="s">
        <v>192</v>
      </c>
      <c r="G73" t="s">
        <v>193</v>
      </c>
      <c r="H73" t="s">
        <v>73</v>
      </c>
      <c r="I73" t="s">
        <v>976</v>
      </c>
      <c r="J73" s="4">
        <v>45855</v>
      </c>
      <c r="K73" s="4">
        <v>46023</v>
      </c>
      <c r="L73" s="5">
        <v>5000</v>
      </c>
      <c r="M73" s="5">
        <v>5267.04</v>
      </c>
      <c r="N73">
        <v>60</v>
      </c>
      <c r="O73" t="s">
        <v>702</v>
      </c>
      <c r="P73">
        <v>24</v>
      </c>
      <c r="Q73" t="s">
        <v>279</v>
      </c>
      <c r="R73">
        <v>365.7</v>
      </c>
      <c r="S73">
        <v>1392</v>
      </c>
      <c r="T73" s="5">
        <v>5495.47</v>
      </c>
      <c r="U73" s="5">
        <v>22</v>
      </c>
      <c r="V73">
        <v>9</v>
      </c>
      <c r="W73" s="5">
        <v>2414.06</v>
      </c>
      <c r="X73" s="5">
        <v>8728.7704895999996</v>
      </c>
      <c r="Y73" s="5">
        <v>1975.14</v>
      </c>
      <c r="Z73" s="5">
        <v>794.16</v>
      </c>
      <c r="AA73" s="5">
        <v>464</v>
      </c>
      <c r="AB73" s="5">
        <v>5495.47</v>
      </c>
      <c r="AC73" s="5">
        <v>500</v>
      </c>
      <c r="AD73" s="4">
        <v>46001</v>
      </c>
      <c r="AE73" t="s">
        <v>76</v>
      </c>
      <c r="AF73">
        <v>5649639680</v>
      </c>
      <c r="AG73" t="s">
        <v>977</v>
      </c>
      <c r="AI73" t="s">
        <v>978</v>
      </c>
      <c r="AJ73">
        <v>2094027</v>
      </c>
      <c r="AK73" t="s">
        <v>979</v>
      </c>
      <c r="AM73" t="s">
        <v>980</v>
      </c>
      <c r="AN73" t="s">
        <v>981</v>
      </c>
      <c r="AO73" t="s">
        <v>982</v>
      </c>
      <c r="AP73" t="s">
        <v>983</v>
      </c>
      <c r="AQ73" t="s">
        <v>984</v>
      </c>
      <c r="AR73" t="s">
        <v>985</v>
      </c>
      <c r="AY73" s="5">
        <v>9344.17</v>
      </c>
      <c r="AZ73" s="5">
        <v>0</v>
      </c>
      <c r="BA73">
        <v>1</v>
      </c>
      <c r="BB73" t="s">
        <v>204</v>
      </c>
      <c r="BC73" t="s">
        <v>986</v>
      </c>
      <c r="BD73" t="s">
        <v>260</v>
      </c>
      <c r="BE73" t="s">
        <v>81</v>
      </c>
      <c r="BF73" t="s">
        <v>260</v>
      </c>
      <c r="BG73" t="s">
        <v>987</v>
      </c>
      <c r="BH73" s="6" t="s">
        <v>83</v>
      </c>
      <c r="BK73">
        <v>21</v>
      </c>
      <c r="BL73">
        <v>19</v>
      </c>
      <c r="BM73" t="s">
        <v>101</v>
      </c>
      <c r="BN73" s="3" t="s">
        <v>988</v>
      </c>
      <c r="BO73" s="5">
        <v>2414.06</v>
      </c>
      <c r="BP73" s="5">
        <v>9344.17</v>
      </c>
      <c r="BQ73" s="34">
        <v>0.93414080540058664</v>
      </c>
    </row>
    <row r="74" spans="1:69" x14ac:dyDescent="0.3">
      <c r="A74" s="3" t="s">
        <v>1262</v>
      </c>
      <c r="B74" t="s">
        <v>67</v>
      </c>
      <c r="C74" t="s">
        <v>68</v>
      </c>
      <c r="D74" t="s">
        <v>335</v>
      </c>
      <c r="E74" t="s">
        <v>336</v>
      </c>
      <c r="F74" t="s">
        <v>173</v>
      </c>
      <c r="G74" t="s">
        <v>174</v>
      </c>
      <c r="H74" t="s">
        <v>73</v>
      </c>
      <c r="I74" t="s">
        <v>1263</v>
      </c>
      <c r="J74" s="4">
        <v>45740</v>
      </c>
      <c r="K74" s="4">
        <v>46105</v>
      </c>
      <c r="L74" s="5">
        <v>30000</v>
      </c>
      <c r="M74" s="5">
        <v>31602.23</v>
      </c>
      <c r="N74">
        <v>59</v>
      </c>
      <c r="O74" t="s">
        <v>702</v>
      </c>
      <c r="P74">
        <v>12</v>
      </c>
      <c r="Q74" t="s">
        <v>75</v>
      </c>
      <c r="R74">
        <v>4412.13</v>
      </c>
      <c r="S74">
        <v>696</v>
      </c>
      <c r="T74" s="5">
        <v>580</v>
      </c>
      <c r="U74" s="5">
        <v>0</v>
      </c>
      <c r="V74">
        <v>1.3</v>
      </c>
      <c r="W74" s="5">
        <v>14644.5</v>
      </c>
      <c r="X74" s="5">
        <v>6469.0333000000001</v>
      </c>
      <c r="Y74" s="5">
        <v>4110.42</v>
      </c>
      <c r="Z74" s="5">
        <v>1720.61</v>
      </c>
      <c r="AA74" s="5">
        <v>58</v>
      </c>
      <c r="AB74" s="5">
        <v>580</v>
      </c>
      <c r="AC74" s="5">
        <v>1966</v>
      </c>
      <c r="AD74" s="4">
        <v>45989</v>
      </c>
      <c r="AE74" t="s">
        <v>76</v>
      </c>
      <c r="AF74">
        <v>5522737345</v>
      </c>
      <c r="AG74" t="s">
        <v>1264</v>
      </c>
      <c r="AI74" t="s">
        <v>211</v>
      </c>
      <c r="AJ74">
        <v>6211023</v>
      </c>
      <c r="AK74" t="s">
        <v>1265</v>
      </c>
      <c r="AM74" t="s">
        <v>1266</v>
      </c>
      <c r="AN74" t="s">
        <v>1267</v>
      </c>
      <c r="AO74" t="s">
        <v>1268</v>
      </c>
      <c r="AP74" t="s">
        <v>1269</v>
      </c>
      <c r="AQ74" t="s">
        <v>1270</v>
      </c>
      <c r="AR74" t="s">
        <v>1271</v>
      </c>
      <c r="AS74" t="s">
        <v>144</v>
      </c>
      <c r="AT74" t="s">
        <v>1272</v>
      </c>
      <c r="AU74" t="s">
        <v>1273</v>
      </c>
      <c r="AY74" s="5">
        <v>23885.55</v>
      </c>
      <c r="AZ74" s="5">
        <v>0</v>
      </c>
      <c r="BA74">
        <v>1</v>
      </c>
      <c r="BB74" t="s">
        <v>204</v>
      </c>
      <c r="BC74" t="s">
        <v>1274</v>
      </c>
      <c r="BD74" t="s">
        <v>80</v>
      </c>
      <c r="BE74" t="s">
        <v>81</v>
      </c>
      <c r="BF74" t="s">
        <v>82</v>
      </c>
      <c r="BH74" s="6" t="s">
        <v>83</v>
      </c>
      <c r="BK74">
        <v>6</v>
      </c>
      <c r="BL74">
        <v>6</v>
      </c>
      <c r="BM74" t="s">
        <v>101</v>
      </c>
      <c r="BN74" s="3" t="s">
        <v>1275</v>
      </c>
      <c r="BO74" s="5">
        <v>14644.5</v>
      </c>
      <c r="BP74" s="5">
        <v>23885.55</v>
      </c>
      <c r="BQ74" s="34">
        <v>0.27083459664943871</v>
      </c>
    </row>
    <row r="75" spans="1:69" x14ac:dyDescent="0.3">
      <c r="A75" s="3" t="s">
        <v>1292</v>
      </c>
      <c r="B75" t="s">
        <v>67</v>
      </c>
      <c r="C75" t="s">
        <v>132</v>
      </c>
      <c r="D75" t="s">
        <v>1293</v>
      </c>
      <c r="E75" t="s">
        <v>1294</v>
      </c>
      <c r="F75" t="s">
        <v>154</v>
      </c>
      <c r="G75" t="s">
        <v>155</v>
      </c>
      <c r="H75" t="s">
        <v>73</v>
      </c>
      <c r="I75" t="s">
        <v>1295</v>
      </c>
      <c r="J75" s="4">
        <v>45862</v>
      </c>
      <c r="K75" s="4">
        <v>46227</v>
      </c>
      <c r="L75" s="5">
        <v>20000</v>
      </c>
      <c r="M75" s="5">
        <v>21068.16</v>
      </c>
      <c r="N75">
        <v>59</v>
      </c>
      <c r="O75" t="s">
        <v>702</v>
      </c>
      <c r="P75">
        <v>12</v>
      </c>
      <c r="Q75" t="s">
        <v>75</v>
      </c>
      <c r="R75">
        <v>3347.38</v>
      </c>
      <c r="S75">
        <v>696</v>
      </c>
      <c r="T75" s="5">
        <v>1160</v>
      </c>
      <c r="U75" s="5">
        <v>0</v>
      </c>
      <c r="V75">
        <v>1.3</v>
      </c>
      <c r="W75" s="5">
        <v>16643.27</v>
      </c>
      <c r="X75" s="5">
        <v>5349.5341013333327</v>
      </c>
      <c r="Y75" s="5">
        <v>2597.83</v>
      </c>
      <c r="Z75" s="5">
        <v>1533.7</v>
      </c>
      <c r="AA75" s="5">
        <v>58</v>
      </c>
      <c r="AB75" s="5">
        <v>1160</v>
      </c>
      <c r="AC75" s="5">
        <v>1000</v>
      </c>
      <c r="AD75" s="4">
        <v>46009</v>
      </c>
      <c r="AE75" t="s">
        <v>76</v>
      </c>
      <c r="AF75">
        <v>7861289536</v>
      </c>
      <c r="AG75" t="s">
        <v>1296</v>
      </c>
      <c r="AI75" t="s">
        <v>158</v>
      </c>
      <c r="AJ75">
        <v>8711021</v>
      </c>
      <c r="AK75" t="s">
        <v>1297</v>
      </c>
      <c r="AM75" t="s">
        <v>1298</v>
      </c>
      <c r="AN75" t="s">
        <v>1299</v>
      </c>
      <c r="AO75" t="s">
        <v>1300</v>
      </c>
      <c r="AP75" t="s">
        <v>1301</v>
      </c>
      <c r="AQ75" t="s">
        <v>1302</v>
      </c>
      <c r="AR75" t="s">
        <v>1303</v>
      </c>
      <c r="AY75" s="5">
        <v>31664.6</v>
      </c>
      <c r="AZ75" s="5">
        <v>0</v>
      </c>
      <c r="BA75">
        <v>1</v>
      </c>
      <c r="BB75" t="s">
        <v>204</v>
      </c>
      <c r="BC75" t="s">
        <v>1304</v>
      </c>
      <c r="BD75" t="s">
        <v>1305</v>
      </c>
      <c r="BE75" t="s">
        <v>149</v>
      </c>
      <c r="BF75" t="s">
        <v>132</v>
      </c>
      <c r="BG75" t="s">
        <v>1306</v>
      </c>
      <c r="BH75" s="6" t="s">
        <v>83</v>
      </c>
      <c r="BK75">
        <v>3</v>
      </c>
      <c r="BL75">
        <v>2</v>
      </c>
      <c r="BM75" t="s">
        <v>101</v>
      </c>
      <c r="BN75" s="3" t="s">
        <v>1307</v>
      </c>
      <c r="BO75" s="5">
        <v>16643.27</v>
      </c>
      <c r="BP75" s="5">
        <v>31664.6</v>
      </c>
      <c r="BQ75" s="34">
        <v>0.1689436816297484</v>
      </c>
    </row>
    <row r="76" spans="1:69" x14ac:dyDescent="0.3">
      <c r="A76" s="3" t="s">
        <v>1308</v>
      </c>
      <c r="B76" t="s">
        <v>67</v>
      </c>
      <c r="C76" t="s">
        <v>68</v>
      </c>
      <c r="D76" t="s">
        <v>335</v>
      </c>
      <c r="E76" t="s">
        <v>336</v>
      </c>
      <c r="F76" t="s">
        <v>173</v>
      </c>
      <c r="G76" t="s">
        <v>174</v>
      </c>
      <c r="H76" t="s">
        <v>73</v>
      </c>
      <c r="I76" t="s">
        <v>1309</v>
      </c>
      <c r="J76" s="4">
        <v>45684</v>
      </c>
      <c r="K76" s="4">
        <v>46049</v>
      </c>
      <c r="L76" s="5">
        <v>35000</v>
      </c>
      <c r="M76" s="5">
        <v>36869.269999999997</v>
      </c>
      <c r="N76">
        <v>56</v>
      </c>
      <c r="O76" t="s">
        <v>702</v>
      </c>
      <c r="P76">
        <v>12</v>
      </c>
      <c r="Q76" t="s">
        <v>75</v>
      </c>
      <c r="R76">
        <v>5232.78</v>
      </c>
      <c r="S76">
        <v>696</v>
      </c>
      <c r="T76" s="5">
        <v>1160</v>
      </c>
      <c r="U76" s="5">
        <v>0</v>
      </c>
      <c r="V76">
        <v>1.4</v>
      </c>
      <c r="W76" s="5">
        <v>15308.32</v>
      </c>
      <c r="X76" s="5">
        <v>8625.4600000000009</v>
      </c>
      <c r="Y76" s="5">
        <v>6217.58</v>
      </c>
      <c r="Z76" s="5">
        <v>1189.8800000000001</v>
      </c>
      <c r="AA76" s="5">
        <v>58</v>
      </c>
      <c r="AB76" s="5">
        <v>1160</v>
      </c>
      <c r="AC76" s="5">
        <v>500</v>
      </c>
      <c r="AD76" s="4">
        <v>46006</v>
      </c>
      <c r="AE76" t="s">
        <v>76</v>
      </c>
      <c r="AF76">
        <v>7229076845</v>
      </c>
      <c r="AG76" t="s">
        <v>1310</v>
      </c>
      <c r="AI76" t="s">
        <v>1311</v>
      </c>
      <c r="AJ76">
        <v>3596014</v>
      </c>
      <c r="AK76" t="s">
        <v>1312</v>
      </c>
      <c r="AL76" t="s">
        <v>1313</v>
      </c>
      <c r="AM76" t="s">
        <v>1314</v>
      </c>
      <c r="AN76" t="s">
        <v>1315</v>
      </c>
      <c r="AO76" t="s">
        <v>1316</v>
      </c>
      <c r="AP76" t="s">
        <v>1317</v>
      </c>
      <c r="AQ76" t="s">
        <v>1318</v>
      </c>
      <c r="AR76" t="s">
        <v>1317</v>
      </c>
      <c r="AS76" t="s">
        <v>144</v>
      </c>
      <c r="AT76" t="s">
        <v>1319</v>
      </c>
      <c r="AU76" t="s">
        <v>1320</v>
      </c>
      <c r="AY76" s="5">
        <v>17716.2</v>
      </c>
      <c r="AZ76" s="5">
        <v>0</v>
      </c>
      <c r="BA76">
        <v>4</v>
      </c>
      <c r="BB76" t="s">
        <v>1130</v>
      </c>
      <c r="BC76" t="s">
        <v>1321</v>
      </c>
      <c r="BD76" t="s">
        <v>80</v>
      </c>
      <c r="BE76" t="s">
        <v>81</v>
      </c>
      <c r="BF76" t="s">
        <v>82</v>
      </c>
      <c r="BH76" s="6" t="s">
        <v>83</v>
      </c>
      <c r="BK76">
        <v>5</v>
      </c>
      <c r="BL76">
        <v>4</v>
      </c>
      <c r="BM76" t="s">
        <v>101</v>
      </c>
      <c r="BN76" s="3" t="s">
        <v>1322</v>
      </c>
      <c r="BO76" s="5">
        <v>15308.32</v>
      </c>
      <c r="BP76" s="5">
        <v>17716.2</v>
      </c>
      <c r="BQ76" s="34">
        <v>0.48686851582167739</v>
      </c>
    </row>
    <row r="77" spans="1:69" x14ac:dyDescent="0.3">
      <c r="A77" s="3" t="s">
        <v>1323</v>
      </c>
      <c r="B77" t="s">
        <v>67</v>
      </c>
      <c r="C77" t="s">
        <v>132</v>
      </c>
      <c r="D77" t="s">
        <v>190</v>
      </c>
      <c r="E77" t="s">
        <v>191</v>
      </c>
      <c r="F77" t="s">
        <v>154</v>
      </c>
      <c r="G77" t="s">
        <v>155</v>
      </c>
      <c r="H77" t="s">
        <v>73</v>
      </c>
      <c r="I77" t="s">
        <v>1324</v>
      </c>
      <c r="J77" s="4">
        <v>45775</v>
      </c>
      <c r="K77" s="4">
        <v>45958</v>
      </c>
      <c r="L77" s="5">
        <v>6000</v>
      </c>
      <c r="M77" s="5">
        <v>6320.45</v>
      </c>
      <c r="N77">
        <v>55</v>
      </c>
      <c r="O77" t="s">
        <v>702</v>
      </c>
      <c r="P77">
        <v>6</v>
      </c>
      <c r="Q77" t="s">
        <v>75</v>
      </c>
      <c r="R77">
        <v>1572.78</v>
      </c>
      <c r="S77">
        <v>348</v>
      </c>
      <c r="T77" s="5">
        <v>580</v>
      </c>
      <c r="U77" s="5">
        <v>0</v>
      </c>
      <c r="V77">
        <v>1</v>
      </c>
      <c r="W77" s="5">
        <v>1053.4100000000001</v>
      </c>
      <c r="X77" s="5">
        <v>2183.12</v>
      </c>
      <c r="Y77" s="5">
        <v>1053.4100000000001</v>
      </c>
      <c r="Z77" s="5">
        <v>461.37</v>
      </c>
      <c r="AA77" s="5">
        <v>88.34</v>
      </c>
      <c r="AB77" s="5">
        <v>580</v>
      </c>
      <c r="AC77" s="5">
        <v>1573</v>
      </c>
      <c r="AD77" s="4">
        <v>45929</v>
      </c>
      <c r="AE77" t="s">
        <v>76</v>
      </c>
      <c r="AF77">
        <v>4471151624</v>
      </c>
      <c r="AG77" t="s">
        <v>1326</v>
      </c>
      <c r="AI77" t="s">
        <v>370</v>
      </c>
      <c r="AJ77">
        <v>8944098</v>
      </c>
      <c r="AM77" t="s">
        <v>1327</v>
      </c>
      <c r="AN77" t="s">
        <v>1242</v>
      </c>
      <c r="AO77" t="s">
        <v>1328</v>
      </c>
      <c r="AP77" t="s">
        <v>1329</v>
      </c>
      <c r="AQ77" t="s">
        <v>1330</v>
      </c>
      <c r="AR77" t="s">
        <v>1331</v>
      </c>
      <c r="AY77" s="5">
        <v>2183.12</v>
      </c>
      <c r="AZ77" s="5">
        <v>0</v>
      </c>
      <c r="BA77">
        <v>1</v>
      </c>
      <c r="BB77" t="s">
        <v>204</v>
      </c>
      <c r="BC77" t="s">
        <v>1332</v>
      </c>
      <c r="BD77" t="s">
        <v>1333</v>
      </c>
      <c r="BE77" t="s">
        <v>149</v>
      </c>
      <c r="BF77" t="s">
        <v>132</v>
      </c>
      <c r="BH77" s="6" t="s">
        <v>83</v>
      </c>
      <c r="BK77">
        <v>3</v>
      </c>
      <c r="BL77">
        <v>2</v>
      </c>
      <c r="BM77" t="s">
        <v>101</v>
      </c>
      <c r="BN77" s="3" t="s">
        <v>1334</v>
      </c>
      <c r="BO77" s="5">
        <v>1053.4100000000001</v>
      </c>
      <c r="BP77" s="5">
        <v>2183.12</v>
      </c>
      <c r="BQ77" s="34">
        <v>1</v>
      </c>
    </row>
    <row r="78" spans="1:69" x14ac:dyDescent="0.3">
      <c r="A78" s="3" t="s">
        <v>1371</v>
      </c>
      <c r="B78" t="s">
        <v>67</v>
      </c>
      <c r="C78" t="s">
        <v>189</v>
      </c>
      <c r="D78" t="s">
        <v>353</v>
      </c>
      <c r="E78" t="s">
        <v>354</v>
      </c>
      <c r="F78" t="s">
        <v>192</v>
      </c>
      <c r="G78" t="s">
        <v>193</v>
      </c>
      <c r="H78" t="s">
        <v>73</v>
      </c>
      <c r="I78" t="s">
        <v>1372</v>
      </c>
      <c r="J78" s="4">
        <v>45862</v>
      </c>
      <c r="K78" s="4">
        <v>46198</v>
      </c>
      <c r="L78" s="5">
        <v>10000</v>
      </c>
      <c r="M78" s="5">
        <v>10534.08</v>
      </c>
      <c r="N78">
        <v>53</v>
      </c>
      <c r="O78" t="s">
        <v>702</v>
      </c>
      <c r="P78">
        <v>24</v>
      </c>
      <c r="Q78" t="s">
        <v>293</v>
      </c>
      <c r="R78">
        <v>849.88</v>
      </c>
      <c r="S78">
        <v>1392</v>
      </c>
      <c r="T78" s="5">
        <v>2320</v>
      </c>
      <c r="U78" s="5">
        <v>10</v>
      </c>
      <c r="V78">
        <v>4</v>
      </c>
      <c r="W78" s="5">
        <v>7900.56</v>
      </c>
      <c r="X78" s="5">
        <v>5718.9400000000014</v>
      </c>
      <c r="Y78" s="5">
        <v>1755.68</v>
      </c>
      <c r="Z78" s="5">
        <v>1411.85</v>
      </c>
      <c r="AA78" s="5">
        <v>231.41</v>
      </c>
      <c r="AB78" s="5">
        <v>2320</v>
      </c>
      <c r="AC78" s="5">
        <v>849.88</v>
      </c>
      <c r="AD78" s="4">
        <v>45946</v>
      </c>
      <c r="AE78" t="s">
        <v>76</v>
      </c>
      <c r="AF78">
        <v>7222295955</v>
      </c>
      <c r="AG78" t="s">
        <v>1373</v>
      </c>
      <c r="AI78" t="s">
        <v>357</v>
      </c>
      <c r="AJ78">
        <v>2071017</v>
      </c>
      <c r="AM78" t="s">
        <v>1374</v>
      </c>
      <c r="AN78" t="s">
        <v>1375</v>
      </c>
      <c r="AO78" t="s">
        <v>1376</v>
      </c>
      <c r="AP78" t="s">
        <v>1377</v>
      </c>
      <c r="AQ78" t="s">
        <v>1378</v>
      </c>
      <c r="AR78" t="s">
        <v>1379</v>
      </c>
      <c r="AY78" s="5">
        <v>16805.29</v>
      </c>
      <c r="AZ78" s="5">
        <v>0</v>
      </c>
      <c r="BA78">
        <v>1</v>
      </c>
      <c r="BB78" t="s">
        <v>204</v>
      </c>
      <c r="BC78" t="s">
        <v>1380</v>
      </c>
      <c r="BD78" t="s">
        <v>1381</v>
      </c>
      <c r="BE78" t="s">
        <v>81</v>
      </c>
      <c r="BF78" t="s">
        <v>189</v>
      </c>
      <c r="BG78" t="s">
        <v>1382</v>
      </c>
      <c r="BH78" s="6" t="s">
        <v>83</v>
      </c>
      <c r="BK78">
        <v>4</v>
      </c>
      <c r="BL78">
        <v>4</v>
      </c>
      <c r="BM78" t="s">
        <v>101</v>
      </c>
      <c r="BN78" s="3" t="s">
        <v>1383</v>
      </c>
      <c r="BO78" s="5">
        <v>7900.56</v>
      </c>
      <c r="BP78" s="5">
        <v>16805.29</v>
      </c>
      <c r="BQ78" s="34">
        <v>0.34030593937980252</v>
      </c>
    </row>
    <row r="79" spans="1:69" x14ac:dyDescent="0.3">
      <c r="A79" s="3" t="s">
        <v>1384</v>
      </c>
      <c r="B79" t="s">
        <v>67</v>
      </c>
      <c r="C79" t="s">
        <v>68</v>
      </c>
      <c r="D79" t="s">
        <v>410</v>
      </c>
      <c r="E79" t="s">
        <v>411</v>
      </c>
      <c r="F79" t="s">
        <v>173</v>
      </c>
      <c r="G79" t="s">
        <v>174</v>
      </c>
      <c r="H79" t="s">
        <v>73</v>
      </c>
      <c r="I79" t="s">
        <v>1385</v>
      </c>
      <c r="J79" s="4">
        <v>45856</v>
      </c>
      <c r="K79" s="4">
        <v>45968</v>
      </c>
      <c r="L79" s="5">
        <v>10000</v>
      </c>
      <c r="M79" s="5">
        <v>10534.08</v>
      </c>
      <c r="N79">
        <v>52</v>
      </c>
      <c r="O79" t="s">
        <v>702</v>
      </c>
      <c r="P79">
        <v>16</v>
      </c>
      <c r="Q79" t="s">
        <v>279</v>
      </c>
      <c r="R79">
        <v>892.86</v>
      </c>
      <c r="S79">
        <v>928</v>
      </c>
      <c r="T79" s="5">
        <v>1160</v>
      </c>
      <c r="U79" s="5">
        <v>16</v>
      </c>
      <c r="V79">
        <v>1.3</v>
      </c>
      <c r="W79" s="5">
        <v>923.44</v>
      </c>
      <c r="X79" s="5">
        <v>2665.92</v>
      </c>
      <c r="Y79" s="5">
        <v>923.44</v>
      </c>
      <c r="Z79" s="5">
        <v>176.48</v>
      </c>
      <c r="AA79" s="5">
        <v>406</v>
      </c>
      <c r="AB79" s="5">
        <v>1160</v>
      </c>
      <c r="AC79" s="5">
        <v>893</v>
      </c>
      <c r="AD79" s="4">
        <v>45971</v>
      </c>
      <c r="AE79" t="s">
        <v>76</v>
      </c>
      <c r="AF79">
        <v>7228467516</v>
      </c>
      <c r="AG79" t="s">
        <v>1386</v>
      </c>
      <c r="AI79" t="s">
        <v>1387</v>
      </c>
      <c r="AJ79">
        <v>6132055</v>
      </c>
      <c r="AK79" t="s">
        <v>1388</v>
      </c>
      <c r="AL79" t="s">
        <v>1389</v>
      </c>
      <c r="AM79" t="s">
        <v>1390</v>
      </c>
      <c r="AN79" t="s">
        <v>1391</v>
      </c>
      <c r="AO79" t="s">
        <v>1392</v>
      </c>
      <c r="AP79" t="s">
        <v>1393</v>
      </c>
      <c r="AQ79" t="s">
        <v>1394</v>
      </c>
      <c r="AR79" t="s">
        <v>1395</v>
      </c>
      <c r="AY79" s="5">
        <v>2665.92</v>
      </c>
      <c r="AZ79" s="5">
        <v>0</v>
      </c>
      <c r="BA79">
        <v>1</v>
      </c>
      <c r="BB79" t="s">
        <v>204</v>
      </c>
      <c r="BC79" t="s">
        <v>1396</v>
      </c>
      <c r="BD79" t="s">
        <v>1397</v>
      </c>
      <c r="BE79" t="s">
        <v>81</v>
      </c>
      <c r="BF79" t="s">
        <v>1398</v>
      </c>
      <c r="BG79" t="s">
        <v>1399</v>
      </c>
      <c r="BH79" s="6" t="s">
        <v>83</v>
      </c>
      <c r="BK79">
        <v>10</v>
      </c>
      <c r="BL79">
        <v>10</v>
      </c>
      <c r="BM79" t="s">
        <v>101</v>
      </c>
      <c r="BN79" s="3" t="s">
        <v>1400</v>
      </c>
      <c r="BO79" s="5">
        <v>923.44</v>
      </c>
      <c r="BP79" s="5">
        <v>2665.92</v>
      </c>
      <c r="BQ79" s="34">
        <v>1</v>
      </c>
    </row>
    <row r="80" spans="1:69" x14ac:dyDescent="0.3">
      <c r="A80" s="3" t="s">
        <v>1426</v>
      </c>
      <c r="B80" t="s">
        <v>67</v>
      </c>
      <c r="C80" t="s">
        <v>189</v>
      </c>
      <c r="D80" t="s">
        <v>276</v>
      </c>
      <c r="E80" t="s">
        <v>277</v>
      </c>
      <c r="F80" t="s">
        <v>192</v>
      </c>
      <c r="G80" t="s">
        <v>193</v>
      </c>
      <c r="H80" t="s">
        <v>73</v>
      </c>
      <c r="I80" t="s">
        <v>1427</v>
      </c>
      <c r="J80" s="4">
        <v>45866</v>
      </c>
      <c r="K80" s="4">
        <v>46235</v>
      </c>
      <c r="L80" s="5">
        <v>10000</v>
      </c>
      <c r="M80" s="5">
        <v>10534.08</v>
      </c>
      <c r="N80">
        <v>49</v>
      </c>
      <c r="O80" t="s">
        <v>702</v>
      </c>
      <c r="P80">
        <v>12</v>
      </c>
      <c r="Q80" t="s">
        <v>75</v>
      </c>
      <c r="R80">
        <v>1711.1</v>
      </c>
      <c r="S80">
        <v>696</v>
      </c>
      <c r="T80" s="5">
        <v>580</v>
      </c>
      <c r="U80" s="5">
        <v>0</v>
      </c>
      <c r="V80">
        <v>1.8</v>
      </c>
      <c r="W80" s="5">
        <v>8778.4</v>
      </c>
      <c r="X80" s="5">
        <v>3582.1937173333331</v>
      </c>
      <c r="Y80" s="5">
        <v>1755.68</v>
      </c>
      <c r="Z80" s="5">
        <v>1188.51</v>
      </c>
      <c r="AA80" s="5">
        <v>58</v>
      </c>
      <c r="AB80" s="5">
        <v>580</v>
      </c>
      <c r="AC80" s="5">
        <v>1000</v>
      </c>
      <c r="AD80" s="4">
        <v>45981</v>
      </c>
      <c r="AE80" t="s">
        <v>76</v>
      </c>
      <c r="AF80">
        <v>7223016047</v>
      </c>
      <c r="AG80" t="s">
        <v>1428</v>
      </c>
      <c r="AI80" t="s">
        <v>399</v>
      </c>
      <c r="AJ80">
        <v>9411998</v>
      </c>
      <c r="AK80" t="s">
        <v>1429</v>
      </c>
      <c r="AM80" t="s">
        <v>1430</v>
      </c>
      <c r="AN80" t="s">
        <v>1431</v>
      </c>
      <c r="AO80" t="s">
        <v>1432</v>
      </c>
      <c r="AP80" t="s">
        <v>1433</v>
      </c>
      <c r="AQ80" t="s">
        <v>1434</v>
      </c>
      <c r="AR80" t="s">
        <v>1435</v>
      </c>
      <c r="AY80" s="5">
        <v>16806.96</v>
      </c>
      <c r="AZ80" s="5">
        <v>0</v>
      </c>
      <c r="BA80">
        <v>1</v>
      </c>
      <c r="BB80" t="s">
        <v>204</v>
      </c>
      <c r="BC80" t="s">
        <v>1436</v>
      </c>
      <c r="BD80" t="s">
        <v>1437</v>
      </c>
      <c r="BE80" t="s">
        <v>81</v>
      </c>
      <c r="BF80" t="s">
        <v>260</v>
      </c>
      <c r="BG80" t="s">
        <v>1438</v>
      </c>
      <c r="BH80" s="6" t="s">
        <v>83</v>
      </c>
      <c r="BK80">
        <v>3</v>
      </c>
      <c r="BL80">
        <v>3</v>
      </c>
      <c r="BM80" t="s">
        <v>101</v>
      </c>
      <c r="BN80" s="3" t="s">
        <v>1439</v>
      </c>
      <c r="BO80" s="5">
        <v>8778.4</v>
      </c>
      <c r="BP80" s="5">
        <v>16806.96</v>
      </c>
      <c r="BQ80" s="34">
        <v>0.21313751667959779</v>
      </c>
    </row>
    <row r="81" spans="1:69" x14ac:dyDescent="0.3">
      <c r="A81" s="3" t="s">
        <v>916</v>
      </c>
      <c r="B81" t="s">
        <v>67</v>
      </c>
      <c r="C81" t="s">
        <v>536</v>
      </c>
      <c r="D81" t="s">
        <v>917</v>
      </c>
      <c r="E81" t="s">
        <v>918</v>
      </c>
      <c r="F81" t="s">
        <v>154</v>
      </c>
      <c r="G81" t="s">
        <v>155</v>
      </c>
      <c r="H81" t="s">
        <v>73</v>
      </c>
      <c r="I81" t="s">
        <v>919</v>
      </c>
      <c r="J81" s="4">
        <v>45835</v>
      </c>
      <c r="K81" s="4">
        <v>46023</v>
      </c>
      <c r="L81" s="5">
        <v>20000</v>
      </c>
      <c r="M81" s="5">
        <v>21068.16</v>
      </c>
      <c r="N81">
        <v>49</v>
      </c>
      <c r="O81" t="s">
        <v>702</v>
      </c>
      <c r="P81">
        <v>6</v>
      </c>
      <c r="Q81" t="s">
        <v>75</v>
      </c>
      <c r="R81">
        <v>5149.28</v>
      </c>
      <c r="S81">
        <v>348</v>
      </c>
      <c r="T81" s="5">
        <v>1160</v>
      </c>
      <c r="U81" s="5">
        <v>0</v>
      </c>
      <c r="V81">
        <v>1.6</v>
      </c>
      <c r="W81" s="5">
        <v>10199.86</v>
      </c>
      <c r="X81" s="5">
        <v>9486.4215386666656</v>
      </c>
      <c r="Y81" s="5">
        <v>6688.5</v>
      </c>
      <c r="Z81" s="5">
        <v>1579.92</v>
      </c>
      <c r="AA81" s="5">
        <v>58</v>
      </c>
      <c r="AB81" s="5">
        <v>1160</v>
      </c>
      <c r="AC81" s="5">
        <v>1200</v>
      </c>
      <c r="AD81" s="4">
        <v>45994</v>
      </c>
      <c r="AE81" t="s">
        <v>76</v>
      </c>
      <c r="AF81">
        <v>7121828911</v>
      </c>
      <c r="AG81" t="s">
        <v>920</v>
      </c>
      <c r="AI81" t="s">
        <v>921</v>
      </c>
      <c r="AJ81">
        <v>8811011</v>
      </c>
      <c r="AK81" t="s">
        <v>922</v>
      </c>
      <c r="AL81" t="s">
        <v>923</v>
      </c>
      <c r="AM81" t="s">
        <v>924</v>
      </c>
      <c r="AN81" t="s">
        <v>925</v>
      </c>
      <c r="AO81" t="s">
        <v>926</v>
      </c>
      <c r="AP81" t="s">
        <v>927</v>
      </c>
      <c r="AQ81" t="s">
        <v>928</v>
      </c>
      <c r="AR81" t="s">
        <v>929</v>
      </c>
      <c r="AY81" s="5">
        <v>14577.71</v>
      </c>
      <c r="AZ81" s="5">
        <v>0</v>
      </c>
      <c r="BA81">
        <v>1</v>
      </c>
      <c r="BB81" t="s">
        <v>204</v>
      </c>
      <c r="BC81" t="s">
        <v>930</v>
      </c>
      <c r="BD81" t="s">
        <v>549</v>
      </c>
      <c r="BE81" t="s">
        <v>81</v>
      </c>
      <c r="BF81" t="s">
        <v>536</v>
      </c>
      <c r="BG81" t="s">
        <v>931</v>
      </c>
      <c r="BH81" s="6" t="s">
        <v>83</v>
      </c>
      <c r="BK81">
        <v>4</v>
      </c>
      <c r="BL81">
        <v>4</v>
      </c>
      <c r="BM81" t="s">
        <v>101</v>
      </c>
      <c r="BN81" s="3" t="s">
        <v>932</v>
      </c>
      <c r="BO81" s="5">
        <v>10199.86</v>
      </c>
      <c r="BP81" s="5">
        <v>14577.71</v>
      </c>
      <c r="BQ81" s="34">
        <v>0.65074840552231217</v>
      </c>
    </row>
    <row r="82" spans="1:69" x14ac:dyDescent="0.3">
      <c r="A82" s="3" t="s">
        <v>960</v>
      </c>
      <c r="B82" t="s">
        <v>67</v>
      </c>
      <c r="C82" t="s">
        <v>189</v>
      </c>
      <c r="D82" t="s">
        <v>353</v>
      </c>
      <c r="E82" t="s">
        <v>354</v>
      </c>
      <c r="F82" t="s">
        <v>192</v>
      </c>
      <c r="G82" t="s">
        <v>193</v>
      </c>
      <c r="H82" t="s">
        <v>73</v>
      </c>
      <c r="I82" t="s">
        <v>961</v>
      </c>
      <c r="J82" s="4">
        <v>45867</v>
      </c>
      <c r="K82" s="4">
        <v>46054</v>
      </c>
      <c r="L82" s="5">
        <v>5000</v>
      </c>
      <c r="M82" s="5">
        <v>5267.04</v>
      </c>
      <c r="N82">
        <v>49</v>
      </c>
      <c r="O82" t="s">
        <v>702</v>
      </c>
      <c r="P82">
        <v>6</v>
      </c>
      <c r="Q82" t="s">
        <v>75</v>
      </c>
      <c r="R82">
        <v>1328.72</v>
      </c>
      <c r="S82">
        <v>348</v>
      </c>
      <c r="T82" s="5">
        <v>1740</v>
      </c>
      <c r="U82" s="5">
        <v>0</v>
      </c>
      <c r="V82">
        <v>2</v>
      </c>
      <c r="W82" s="5">
        <v>3520.08</v>
      </c>
      <c r="X82" s="5">
        <v>4406.1626410666668</v>
      </c>
      <c r="Y82" s="5">
        <v>1764.4</v>
      </c>
      <c r="Z82" s="5">
        <v>785.76</v>
      </c>
      <c r="AA82" s="5">
        <v>116</v>
      </c>
      <c r="AB82" s="5">
        <v>1740</v>
      </c>
      <c r="AC82" s="5">
        <v>400</v>
      </c>
      <c r="AD82" s="4">
        <v>46004</v>
      </c>
      <c r="AE82" t="s">
        <v>76</v>
      </c>
      <c r="AF82">
        <v>3344773102</v>
      </c>
      <c r="AG82" t="s">
        <v>962</v>
      </c>
      <c r="AI82" t="s">
        <v>963</v>
      </c>
      <c r="AJ82">
        <v>7113012</v>
      </c>
      <c r="AK82" t="s">
        <v>964</v>
      </c>
      <c r="AM82" t="s">
        <v>965</v>
      </c>
      <c r="AN82" t="s">
        <v>966</v>
      </c>
      <c r="AO82" t="s">
        <v>967</v>
      </c>
      <c r="AP82" t="s">
        <v>968</v>
      </c>
      <c r="AQ82" t="s">
        <v>969</v>
      </c>
      <c r="AR82" t="s">
        <v>970</v>
      </c>
      <c r="AY82" s="5">
        <v>6947.6</v>
      </c>
      <c r="AZ82" s="5">
        <v>0</v>
      </c>
      <c r="BA82">
        <v>1</v>
      </c>
      <c r="BB82" t="s">
        <v>204</v>
      </c>
      <c r="BC82" t="s">
        <v>971</v>
      </c>
      <c r="BD82" t="s">
        <v>972</v>
      </c>
      <c r="BE82" t="s">
        <v>81</v>
      </c>
      <c r="BF82" t="s">
        <v>189</v>
      </c>
      <c r="BG82" t="s">
        <v>973</v>
      </c>
      <c r="BH82" s="6" t="s">
        <v>83</v>
      </c>
      <c r="BK82">
        <v>4</v>
      </c>
      <c r="BL82">
        <v>4</v>
      </c>
      <c r="BM82" t="s">
        <v>101</v>
      </c>
      <c r="BN82" s="3" t="s">
        <v>974</v>
      </c>
      <c r="BO82" s="5">
        <v>3520.08</v>
      </c>
      <c r="BP82" s="5">
        <v>6947.6</v>
      </c>
      <c r="BQ82" s="34">
        <v>0.63419924017886276</v>
      </c>
    </row>
    <row r="83" spans="1:69" x14ac:dyDescent="0.3">
      <c r="A83" s="3" t="s">
        <v>1453</v>
      </c>
      <c r="B83" t="s">
        <v>67</v>
      </c>
      <c r="C83" t="s">
        <v>189</v>
      </c>
      <c r="D83" t="s">
        <v>276</v>
      </c>
      <c r="E83" t="s">
        <v>277</v>
      </c>
      <c r="F83" t="s">
        <v>192</v>
      </c>
      <c r="G83" t="s">
        <v>193</v>
      </c>
      <c r="H83" t="s">
        <v>175</v>
      </c>
      <c r="I83" t="s">
        <v>1454</v>
      </c>
      <c r="J83" s="4">
        <v>45926</v>
      </c>
      <c r="K83" s="4">
        <v>46113</v>
      </c>
      <c r="L83" s="5">
        <v>10000</v>
      </c>
      <c r="M83" s="5">
        <v>10534.08</v>
      </c>
      <c r="N83">
        <v>49</v>
      </c>
      <c r="O83" t="s">
        <v>702</v>
      </c>
      <c r="P83">
        <v>6</v>
      </c>
      <c r="Q83" t="s">
        <v>75</v>
      </c>
      <c r="R83">
        <v>2599.44</v>
      </c>
      <c r="S83">
        <v>348</v>
      </c>
      <c r="T83" s="5">
        <v>1160</v>
      </c>
      <c r="U83" s="5">
        <v>0</v>
      </c>
      <c r="V83">
        <v>2</v>
      </c>
      <c r="W83" s="5">
        <v>10534.08</v>
      </c>
      <c r="X83" s="5">
        <v>6358.8815978666662</v>
      </c>
      <c r="Y83" s="5">
        <v>3511.36</v>
      </c>
      <c r="Z83" s="5">
        <v>1571.52</v>
      </c>
      <c r="AA83" s="5">
        <v>116</v>
      </c>
      <c r="AB83" s="5">
        <v>1160</v>
      </c>
      <c r="AC83" s="5"/>
      <c r="AD83" s="4"/>
      <c r="AE83" t="s">
        <v>76</v>
      </c>
      <c r="AF83">
        <v>7294046761</v>
      </c>
      <c r="AG83" t="s">
        <v>1455</v>
      </c>
      <c r="AI83" t="s">
        <v>459</v>
      </c>
      <c r="AJ83">
        <v>6131023</v>
      </c>
      <c r="AK83" t="s">
        <v>1456</v>
      </c>
      <c r="AM83" t="s">
        <v>1457</v>
      </c>
      <c r="AN83" t="s">
        <v>1458</v>
      </c>
      <c r="AO83" t="s">
        <v>1459</v>
      </c>
      <c r="AP83" t="s">
        <v>1460</v>
      </c>
      <c r="AQ83" t="s">
        <v>1461</v>
      </c>
      <c r="AR83" t="s">
        <v>1462</v>
      </c>
      <c r="AY83" s="5">
        <v>16524.64</v>
      </c>
      <c r="AZ83" s="5">
        <v>0</v>
      </c>
      <c r="BA83">
        <v>1</v>
      </c>
      <c r="BB83" t="s">
        <v>204</v>
      </c>
      <c r="BC83" t="s">
        <v>1463</v>
      </c>
      <c r="BD83" t="s">
        <v>272</v>
      </c>
      <c r="BE83" t="s">
        <v>81</v>
      </c>
      <c r="BF83" t="s">
        <v>189</v>
      </c>
      <c r="BG83" t="s">
        <v>1464</v>
      </c>
      <c r="BH83" s="6" t="s">
        <v>83</v>
      </c>
      <c r="BK83">
        <v>2</v>
      </c>
      <c r="BL83">
        <v>2</v>
      </c>
      <c r="BM83" t="s">
        <v>101</v>
      </c>
      <c r="BN83" s="3" t="s">
        <v>1465</v>
      </c>
      <c r="BO83" s="5">
        <v>10534.08</v>
      </c>
      <c r="BP83" s="5">
        <v>16524.64</v>
      </c>
      <c r="BQ83" s="34">
        <v>0.38481211075500987</v>
      </c>
    </row>
    <row r="84" spans="1:69" x14ac:dyDescent="0.3">
      <c r="A84" s="3" t="s">
        <v>1401</v>
      </c>
      <c r="B84" t="s">
        <v>67</v>
      </c>
      <c r="C84" t="s">
        <v>132</v>
      </c>
      <c r="D84" t="s">
        <v>1293</v>
      </c>
      <c r="E84" t="s">
        <v>1294</v>
      </c>
      <c r="F84" t="s">
        <v>154</v>
      </c>
      <c r="G84" t="s">
        <v>155</v>
      </c>
      <c r="H84" t="s">
        <v>73</v>
      </c>
      <c r="I84" t="s">
        <v>1402</v>
      </c>
      <c r="J84" s="4">
        <v>45866</v>
      </c>
      <c r="K84" s="4">
        <v>46034</v>
      </c>
      <c r="L84" s="5">
        <v>5000</v>
      </c>
      <c r="M84" s="5">
        <v>5267.04</v>
      </c>
      <c r="N84">
        <v>49</v>
      </c>
      <c r="O84" t="s">
        <v>702</v>
      </c>
      <c r="P84">
        <v>12</v>
      </c>
      <c r="Q84" t="s">
        <v>293</v>
      </c>
      <c r="R84">
        <v>673.4</v>
      </c>
      <c r="S84">
        <v>696</v>
      </c>
      <c r="T84" s="5">
        <v>2320</v>
      </c>
      <c r="U84" s="5">
        <v>10</v>
      </c>
      <c r="V84">
        <v>4</v>
      </c>
      <c r="W84" s="5">
        <v>2633.52</v>
      </c>
      <c r="X84" s="5">
        <v>5012.01</v>
      </c>
      <c r="Y84" s="5">
        <v>1755.68</v>
      </c>
      <c r="Z84" s="5">
        <v>705.92</v>
      </c>
      <c r="AA84" s="5">
        <v>230.41</v>
      </c>
      <c r="AB84" s="5">
        <v>2320</v>
      </c>
      <c r="AC84" s="5">
        <v>674</v>
      </c>
      <c r="AD84" s="4">
        <v>45950</v>
      </c>
      <c r="AE84" t="s">
        <v>76</v>
      </c>
      <c r="AF84">
        <v>4472278159</v>
      </c>
      <c r="AG84" t="s">
        <v>1403</v>
      </c>
      <c r="AI84" t="s">
        <v>224</v>
      </c>
      <c r="AJ84">
        <v>6312011</v>
      </c>
      <c r="AM84" t="s">
        <v>1404</v>
      </c>
      <c r="AN84" t="s">
        <v>1405</v>
      </c>
      <c r="AO84" t="s">
        <v>1406</v>
      </c>
      <c r="AP84" t="s">
        <v>1407</v>
      </c>
      <c r="AQ84" t="s">
        <v>1408</v>
      </c>
      <c r="AR84" t="s">
        <v>1409</v>
      </c>
      <c r="AY84" s="5">
        <v>6242.81</v>
      </c>
      <c r="AZ84" s="5">
        <v>0</v>
      </c>
      <c r="BA84">
        <v>1</v>
      </c>
      <c r="BB84" t="s">
        <v>204</v>
      </c>
      <c r="BC84" t="s">
        <v>1410</v>
      </c>
      <c r="BD84" t="s">
        <v>94</v>
      </c>
      <c r="BE84" t="s">
        <v>149</v>
      </c>
      <c r="BF84" t="s">
        <v>132</v>
      </c>
      <c r="BG84" t="s">
        <v>1411</v>
      </c>
      <c r="BH84" s="6" t="s">
        <v>83</v>
      </c>
      <c r="BK84">
        <v>5</v>
      </c>
      <c r="BL84">
        <v>4</v>
      </c>
      <c r="BM84" t="s">
        <v>101</v>
      </c>
      <c r="BN84" s="3" t="s">
        <v>1412</v>
      </c>
      <c r="BO84" s="5">
        <v>2633.52</v>
      </c>
      <c r="BP84" s="5">
        <v>6242.81</v>
      </c>
      <c r="BQ84" s="34">
        <v>0.8028451931101539</v>
      </c>
    </row>
    <row r="85" spans="1:69" x14ac:dyDescent="0.3">
      <c r="A85" s="3" t="s">
        <v>1466</v>
      </c>
      <c r="B85" t="s">
        <v>67</v>
      </c>
      <c r="C85" t="s">
        <v>189</v>
      </c>
      <c r="D85" t="s">
        <v>353</v>
      </c>
      <c r="E85" t="s">
        <v>354</v>
      </c>
      <c r="F85" t="s">
        <v>192</v>
      </c>
      <c r="G85" t="s">
        <v>193</v>
      </c>
      <c r="H85" t="s">
        <v>73</v>
      </c>
      <c r="I85" t="s">
        <v>1467</v>
      </c>
      <c r="J85" s="4">
        <v>45838</v>
      </c>
      <c r="K85" s="4">
        <v>46023</v>
      </c>
      <c r="L85" s="5">
        <v>5000</v>
      </c>
      <c r="M85" s="5">
        <v>5267.04</v>
      </c>
      <c r="N85">
        <v>49</v>
      </c>
      <c r="O85" t="s">
        <v>702</v>
      </c>
      <c r="P85">
        <v>6</v>
      </c>
      <c r="Q85" t="s">
        <v>75</v>
      </c>
      <c r="R85">
        <v>1324.52</v>
      </c>
      <c r="S85">
        <v>348</v>
      </c>
      <c r="T85" s="5">
        <v>1160</v>
      </c>
      <c r="U85" s="5">
        <v>0</v>
      </c>
      <c r="V85">
        <v>2</v>
      </c>
      <c r="W85" s="5">
        <v>2633.52</v>
      </c>
      <c r="X85" s="5">
        <v>3809.0349679999999</v>
      </c>
      <c r="Y85" s="5">
        <v>1755.68</v>
      </c>
      <c r="Z85" s="5">
        <v>777.35</v>
      </c>
      <c r="AA85" s="5">
        <v>116</v>
      </c>
      <c r="AB85" s="5">
        <v>1160</v>
      </c>
      <c r="AC85" s="5">
        <v>1324.52</v>
      </c>
      <c r="AD85" s="4">
        <v>45931</v>
      </c>
      <c r="AE85" t="s">
        <v>76</v>
      </c>
      <c r="AF85">
        <v>7224848066</v>
      </c>
      <c r="AG85" t="s">
        <v>1468</v>
      </c>
      <c r="AI85" t="s">
        <v>731</v>
      </c>
      <c r="AJ85">
        <v>6212013</v>
      </c>
      <c r="AK85" t="s">
        <v>1469</v>
      </c>
      <c r="AM85" t="s">
        <v>1470</v>
      </c>
      <c r="AN85" t="s">
        <v>1471</v>
      </c>
      <c r="AO85" t="s">
        <v>1472</v>
      </c>
      <c r="AP85" t="s">
        <v>1473</v>
      </c>
      <c r="AQ85" t="s">
        <v>1474</v>
      </c>
      <c r="AR85" t="s">
        <v>1475</v>
      </c>
      <c r="AY85" s="5">
        <v>5075.55</v>
      </c>
      <c r="AZ85" s="5">
        <v>0</v>
      </c>
      <c r="BA85">
        <v>1</v>
      </c>
      <c r="BB85" t="s">
        <v>204</v>
      </c>
      <c r="BC85" t="s">
        <v>1476</v>
      </c>
      <c r="BD85" t="s">
        <v>1477</v>
      </c>
      <c r="BE85" t="s">
        <v>81</v>
      </c>
      <c r="BF85" t="s">
        <v>189</v>
      </c>
      <c r="BG85" t="s">
        <v>1478</v>
      </c>
      <c r="BH85" s="6" t="s">
        <v>83</v>
      </c>
      <c r="BK85">
        <v>2</v>
      </c>
      <c r="BL85">
        <v>2</v>
      </c>
      <c r="BM85" t="s">
        <v>101</v>
      </c>
      <c r="BN85" s="3" t="s">
        <v>1479</v>
      </c>
      <c r="BO85" s="5">
        <v>2633.52</v>
      </c>
      <c r="BP85" s="5">
        <v>5075.55</v>
      </c>
      <c r="BQ85" s="34">
        <v>0.75046743072179367</v>
      </c>
    </row>
    <row r="86" spans="1:69" x14ac:dyDescent="0.3">
      <c r="A86" s="3" t="s">
        <v>990</v>
      </c>
      <c r="B86" t="s">
        <v>67</v>
      </c>
      <c r="C86" t="s">
        <v>189</v>
      </c>
      <c r="D86" t="s">
        <v>276</v>
      </c>
      <c r="E86" t="s">
        <v>277</v>
      </c>
      <c r="F86" t="s">
        <v>192</v>
      </c>
      <c r="G86" t="s">
        <v>193</v>
      </c>
      <c r="H86" t="s">
        <v>73</v>
      </c>
      <c r="I86" t="s">
        <v>991</v>
      </c>
      <c r="J86" s="4">
        <v>45814</v>
      </c>
      <c r="K86" s="4">
        <v>46179</v>
      </c>
      <c r="L86" s="5">
        <v>20000</v>
      </c>
      <c r="M86" s="5">
        <v>21068.16</v>
      </c>
      <c r="N86">
        <v>46</v>
      </c>
      <c r="O86" t="s">
        <v>702</v>
      </c>
      <c r="P86">
        <v>12</v>
      </c>
      <c r="Q86" t="s">
        <v>75</v>
      </c>
      <c r="R86">
        <v>3347.38</v>
      </c>
      <c r="S86">
        <v>696</v>
      </c>
      <c r="T86" s="5">
        <v>1160</v>
      </c>
      <c r="U86" s="5">
        <v>0</v>
      </c>
      <c r="V86">
        <v>1.2</v>
      </c>
      <c r="W86" s="5">
        <v>13038.68</v>
      </c>
      <c r="X86" s="5">
        <v>5256.301152</v>
      </c>
      <c r="Y86" s="5">
        <v>2504.6</v>
      </c>
      <c r="Z86" s="5">
        <v>1533.7</v>
      </c>
      <c r="AA86" s="5">
        <v>58</v>
      </c>
      <c r="AB86" s="5">
        <v>1160</v>
      </c>
      <c r="AC86" s="5">
        <v>2000</v>
      </c>
      <c r="AD86" s="4">
        <v>46009</v>
      </c>
      <c r="AE86" t="s">
        <v>76</v>
      </c>
      <c r="AF86">
        <v>7224651773</v>
      </c>
      <c r="AG86" t="s">
        <v>992</v>
      </c>
      <c r="AI86" t="s">
        <v>295</v>
      </c>
      <c r="AJ86">
        <v>8712011</v>
      </c>
      <c r="AM86" t="s">
        <v>993</v>
      </c>
      <c r="AN86" t="s">
        <v>994</v>
      </c>
      <c r="AO86" t="s">
        <v>995</v>
      </c>
      <c r="AP86" t="s">
        <v>996</v>
      </c>
      <c r="AQ86" t="s">
        <v>997</v>
      </c>
      <c r="AR86" t="s">
        <v>998</v>
      </c>
      <c r="AY86" s="5">
        <v>24992.6</v>
      </c>
      <c r="AZ86" s="5">
        <v>0</v>
      </c>
      <c r="BA86">
        <v>1</v>
      </c>
      <c r="BB86" t="s">
        <v>204</v>
      </c>
      <c r="BC86" t="s">
        <v>364</v>
      </c>
      <c r="BD86" t="s">
        <v>999</v>
      </c>
      <c r="BE86" t="s">
        <v>81</v>
      </c>
      <c r="BF86" t="s">
        <v>304</v>
      </c>
      <c r="BG86" t="s">
        <v>1000</v>
      </c>
      <c r="BH86" s="6" t="s">
        <v>83</v>
      </c>
      <c r="BK86">
        <v>4</v>
      </c>
      <c r="BL86">
        <v>3</v>
      </c>
      <c r="BM86" t="s">
        <v>101</v>
      </c>
      <c r="BN86" s="3" t="s">
        <v>1001</v>
      </c>
      <c r="BO86" s="5">
        <v>13038.68</v>
      </c>
      <c r="BP86" s="5">
        <v>24992.6</v>
      </c>
      <c r="BQ86" s="34">
        <v>0.2103142991125373</v>
      </c>
    </row>
    <row r="87" spans="1:69" x14ac:dyDescent="0.3">
      <c r="A87" s="3" t="s">
        <v>1573</v>
      </c>
      <c r="B87" t="s">
        <v>67</v>
      </c>
      <c r="C87" t="s">
        <v>68</v>
      </c>
      <c r="D87" t="s">
        <v>335</v>
      </c>
      <c r="E87" t="s">
        <v>336</v>
      </c>
      <c r="F87" t="s">
        <v>173</v>
      </c>
      <c r="G87" t="s">
        <v>174</v>
      </c>
      <c r="H87" t="s">
        <v>73</v>
      </c>
      <c r="I87" t="s">
        <v>1574</v>
      </c>
      <c r="J87" s="4">
        <v>45723</v>
      </c>
      <c r="K87" s="4">
        <v>46088</v>
      </c>
      <c r="L87" s="5">
        <v>40000</v>
      </c>
      <c r="M87" s="5">
        <v>42136.31</v>
      </c>
      <c r="N87">
        <v>45</v>
      </c>
      <c r="O87" t="s">
        <v>702</v>
      </c>
      <c r="P87">
        <v>12</v>
      </c>
      <c r="Q87" t="s">
        <v>75</v>
      </c>
      <c r="R87">
        <v>6064.3</v>
      </c>
      <c r="S87">
        <v>696</v>
      </c>
      <c r="T87" s="5">
        <v>580</v>
      </c>
      <c r="U87" s="5">
        <v>0</v>
      </c>
      <c r="V87">
        <v>1.8</v>
      </c>
      <c r="W87" s="5">
        <v>17556.8</v>
      </c>
      <c r="X87" s="5">
        <v>11287.672500000001</v>
      </c>
      <c r="Y87" s="5">
        <v>7022.72</v>
      </c>
      <c r="Z87" s="5">
        <v>3626.95</v>
      </c>
      <c r="AA87" s="5">
        <v>58</v>
      </c>
      <c r="AB87" s="5">
        <v>580</v>
      </c>
      <c r="AC87" s="5">
        <v>2000</v>
      </c>
      <c r="AD87" s="4">
        <v>45988</v>
      </c>
      <c r="AE87" t="s">
        <v>76</v>
      </c>
      <c r="AF87">
        <v>5534144947</v>
      </c>
      <c r="AG87" t="s">
        <v>1575</v>
      </c>
      <c r="AI87" t="s">
        <v>126</v>
      </c>
      <c r="AJ87">
        <v>9501009</v>
      </c>
      <c r="AK87" t="s">
        <v>1576</v>
      </c>
      <c r="AL87" t="s">
        <v>1577</v>
      </c>
      <c r="AM87" t="s">
        <v>1578</v>
      </c>
      <c r="AN87" t="s">
        <v>1579</v>
      </c>
      <c r="AO87" t="s">
        <v>1580</v>
      </c>
      <c r="AP87" t="s">
        <v>1581</v>
      </c>
      <c r="AQ87" t="s">
        <v>1582</v>
      </c>
      <c r="AR87" t="s">
        <v>1583</v>
      </c>
      <c r="AS87" t="s">
        <v>144</v>
      </c>
      <c r="AT87" t="s">
        <v>1584</v>
      </c>
      <c r="AU87" t="s">
        <v>1585</v>
      </c>
      <c r="AY87" s="5">
        <v>29306.560000000001</v>
      </c>
      <c r="AZ87" s="5">
        <v>0</v>
      </c>
      <c r="BA87">
        <v>1</v>
      </c>
      <c r="BB87" t="s">
        <v>204</v>
      </c>
      <c r="BC87" t="s">
        <v>1586</v>
      </c>
      <c r="BD87" t="s">
        <v>378</v>
      </c>
      <c r="BE87" t="s">
        <v>81</v>
      </c>
      <c r="BF87" t="s">
        <v>82</v>
      </c>
      <c r="BH87" s="6" t="s">
        <v>83</v>
      </c>
      <c r="BK87">
        <v>6</v>
      </c>
      <c r="BL87">
        <v>6</v>
      </c>
      <c r="BM87" t="s">
        <v>101</v>
      </c>
      <c r="BN87" s="3" t="s">
        <v>1587</v>
      </c>
      <c r="BO87" s="5">
        <v>17556.8</v>
      </c>
      <c r="BP87" s="5">
        <v>29306.560000000001</v>
      </c>
      <c r="BQ87" s="34">
        <v>0.38515856176910562</v>
      </c>
    </row>
    <row r="88" spans="1:69" x14ac:dyDescent="0.3">
      <c r="A88" s="3" t="s">
        <v>1276</v>
      </c>
      <c r="B88" t="s">
        <v>67</v>
      </c>
      <c r="C88" t="s">
        <v>68</v>
      </c>
      <c r="D88" t="s">
        <v>1277</v>
      </c>
      <c r="E88" t="s">
        <v>1278</v>
      </c>
      <c r="F88" t="s">
        <v>173</v>
      </c>
      <c r="G88" t="s">
        <v>174</v>
      </c>
      <c r="H88" t="s">
        <v>175</v>
      </c>
      <c r="I88" t="s">
        <v>1279</v>
      </c>
      <c r="J88" s="4">
        <v>45912</v>
      </c>
      <c r="K88" s="4">
        <v>46080</v>
      </c>
      <c r="L88" s="5">
        <v>7000</v>
      </c>
      <c r="M88" s="5">
        <v>7373.85</v>
      </c>
      <c r="N88">
        <v>45</v>
      </c>
      <c r="O88" t="s">
        <v>702</v>
      </c>
      <c r="P88">
        <v>12</v>
      </c>
      <c r="Q88" t="s">
        <v>293</v>
      </c>
      <c r="R88">
        <v>919.56000000000006</v>
      </c>
      <c r="S88">
        <v>696</v>
      </c>
      <c r="T88" s="5">
        <v>2320</v>
      </c>
      <c r="U88" s="5">
        <v>7</v>
      </c>
      <c r="V88">
        <v>3.1</v>
      </c>
      <c r="W88" s="5">
        <v>4995.46</v>
      </c>
      <c r="X88" s="5">
        <v>5158.2444379999997</v>
      </c>
      <c r="Y88" s="5">
        <v>1923.02</v>
      </c>
      <c r="Z88" s="5">
        <v>741.22</v>
      </c>
      <c r="AA88" s="5">
        <v>174</v>
      </c>
      <c r="AB88" s="5">
        <v>2320</v>
      </c>
      <c r="AC88" s="5">
        <v>500</v>
      </c>
      <c r="AD88" s="4">
        <v>46000</v>
      </c>
      <c r="AE88" t="s">
        <v>76</v>
      </c>
      <c r="AF88">
        <v>7291460410</v>
      </c>
      <c r="AG88" t="s">
        <v>1280</v>
      </c>
      <c r="AI88" t="s">
        <v>459</v>
      </c>
      <c r="AJ88">
        <v>6131023</v>
      </c>
      <c r="AK88" t="s">
        <v>1281</v>
      </c>
      <c r="AL88" t="s">
        <v>1282</v>
      </c>
      <c r="AM88" t="s">
        <v>1283</v>
      </c>
      <c r="AN88" t="s">
        <v>1284</v>
      </c>
      <c r="AO88" t="s">
        <v>1285</v>
      </c>
      <c r="AP88" t="s">
        <v>1286</v>
      </c>
      <c r="AQ88" t="s">
        <v>1287</v>
      </c>
      <c r="AR88" t="s">
        <v>1288</v>
      </c>
      <c r="AY88" s="5">
        <v>9466.0500000000011</v>
      </c>
      <c r="AZ88" s="5">
        <v>0</v>
      </c>
      <c r="BA88">
        <v>1</v>
      </c>
      <c r="BB88" t="s">
        <v>204</v>
      </c>
      <c r="BC88" t="s">
        <v>1289</v>
      </c>
      <c r="BD88" t="s">
        <v>1290</v>
      </c>
      <c r="BE88" t="s">
        <v>81</v>
      </c>
      <c r="BF88" t="s">
        <v>273</v>
      </c>
      <c r="BH88" s="6" t="s">
        <v>83</v>
      </c>
      <c r="BK88">
        <v>6</v>
      </c>
      <c r="BL88">
        <v>6</v>
      </c>
      <c r="BM88" t="s">
        <v>101</v>
      </c>
      <c r="BN88" s="3" t="s">
        <v>1291</v>
      </c>
      <c r="BO88" s="5">
        <v>4995.46</v>
      </c>
      <c r="BP88" s="5">
        <v>9466.0500000000011</v>
      </c>
      <c r="BQ88" s="34">
        <v>0.5449204724251403</v>
      </c>
    </row>
    <row r="89" spans="1:69" x14ac:dyDescent="0.3">
      <c r="A89" s="3" t="s">
        <v>1588</v>
      </c>
      <c r="B89" t="s">
        <v>67</v>
      </c>
      <c r="C89" t="s">
        <v>189</v>
      </c>
      <c r="D89" t="s">
        <v>1277</v>
      </c>
      <c r="E89" t="s">
        <v>1278</v>
      </c>
      <c r="F89" t="s">
        <v>192</v>
      </c>
      <c r="G89" t="s">
        <v>193</v>
      </c>
      <c r="H89" t="s">
        <v>175</v>
      </c>
      <c r="I89" t="s">
        <v>1589</v>
      </c>
      <c r="J89" s="4">
        <v>45957</v>
      </c>
      <c r="K89" s="4">
        <v>46125</v>
      </c>
      <c r="L89" s="5">
        <v>7000</v>
      </c>
      <c r="M89" s="5">
        <v>7373.85</v>
      </c>
      <c r="N89">
        <v>42</v>
      </c>
      <c r="O89" t="s">
        <v>702</v>
      </c>
      <c r="P89">
        <v>12</v>
      </c>
      <c r="Q89" t="s">
        <v>293</v>
      </c>
      <c r="R89">
        <v>919.56000000000006</v>
      </c>
      <c r="S89">
        <v>696</v>
      </c>
      <c r="T89" s="5">
        <v>1740</v>
      </c>
      <c r="U89" s="5">
        <v>4</v>
      </c>
      <c r="V89">
        <v>3.5</v>
      </c>
      <c r="W89" s="5">
        <v>7178.92</v>
      </c>
      <c r="X89" s="5">
        <v>4918.2425359999997</v>
      </c>
      <c r="Y89" s="5">
        <v>2263.02</v>
      </c>
      <c r="Z89" s="5">
        <v>741.22</v>
      </c>
      <c r="AA89" s="5">
        <v>174</v>
      </c>
      <c r="AB89" s="5">
        <v>1740</v>
      </c>
      <c r="AC89" s="5">
        <v>500</v>
      </c>
      <c r="AD89" s="4">
        <v>45993</v>
      </c>
      <c r="AE89" t="s">
        <v>76</v>
      </c>
      <c r="AF89">
        <v>7298442686</v>
      </c>
      <c r="AG89" t="s">
        <v>1590</v>
      </c>
      <c r="AI89" t="s">
        <v>1591</v>
      </c>
      <c r="AJ89">
        <v>6231021</v>
      </c>
      <c r="AK89" t="s">
        <v>1592</v>
      </c>
      <c r="AM89" t="s">
        <v>1593</v>
      </c>
      <c r="AN89" t="s">
        <v>1594</v>
      </c>
      <c r="AO89" t="s">
        <v>1595</v>
      </c>
      <c r="AP89" t="s">
        <v>1596</v>
      </c>
      <c r="AQ89" t="s">
        <v>1597</v>
      </c>
      <c r="AR89" t="s">
        <v>1598</v>
      </c>
      <c r="AY89" s="5">
        <v>11810.73</v>
      </c>
      <c r="AZ89" s="5">
        <v>0</v>
      </c>
      <c r="BA89">
        <v>1</v>
      </c>
      <c r="BB89" t="s">
        <v>204</v>
      </c>
      <c r="BC89" t="s">
        <v>1599</v>
      </c>
      <c r="BD89" t="s">
        <v>1600</v>
      </c>
      <c r="BE89" t="s">
        <v>81</v>
      </c>
      <c r="BF89" t="s">
        <v>189</v>
      </c>
      <c r="BH89" s="6" t="s">
        <v>83</v>
      </c>
      <c r="BK89">
        <v>4</v>
      </c>
      <c r="BL89">
        <v>4</v>
      </c>
      <c r="BM89" t="s">
        <v>101</v>
      </c>
      <c r="BN89" s="3" t="s">
        <v>1601</v>
      </c>
      <c r="BO89" s="5">
        <v>7178.92</v>
      </c>
      <c r="BP89" s="5">
        <v>11810.73</v>
      </c>
      <c r="BQ89" s="34">
        <v>0.41642155362115629</v>
      </c>
    </row>
    <row r="90" spans="1:69" x14ac:dyDescent="0.3">
      <c r="A90" s="3" t="s">
        <v>1091</v>
      </c>
      <c r="B90" t="s">
        <v>67</v>
      </c>
      <c r="C90" t="s">
        <v>189</v>
      </c>
      <c r="D90" t="s">
        <v>276</v>
      </c>
      <c r="E90" t="s">
        <v>277</v>
      </c>
      <c r="F90" t="s">
        <v>192</v>
      </c>
      <c r="G90" t="s">
        <v>193</v>
      </c>
      <c r="H90" t="s">
        <v>73</v>
      </c>
      <c r="I90" t="s">
        <v>1092</v>
      </c>
      <c r="J90" s="4">
        <v>45861</v>
      </c>
      <c r="K90" s="4">
        <v>46029</v>
      </c>
      <c r="L90" s="5">
        <v>10000</v>
      </c>
      <c r="M90" s="5">
        <v>10534.08</v>
      </c>
      <c r="N90">
        <v>40</v>
      </c>
      <c r="O90" t="s">
        <v>702</v>
      </c>
      <c r="P90">
        <v>12</v>
      </c>
      <c r="Q90" t="s">
        <v>293</v>
      </c>
      <c r="R90">
        <v>1288.8</v>
      </c>
      <c r="S90">
        <v>696</v>
      </c>
      <c r="T90" s="5">
        <v>2231.61</v>
      </c>
      <c r="U90" s="5">
        <v>10</v>
      </c>
      <c r="V90">
        <v>3</v>
      </c>
      <c r="W90" s="5">
        <v>4389.2</v>
      </c>
      <c r="X90" s="5">
        <v>6040.02</v>
      </c>
      <c r="Y90" s="5">
        <v>2633.52</v>
      </c>
      <c r="Z90" s="5">
        <v>1058.8900000000001</v>
      </c>
      <c r="AA90" s="5">
        <v>116</v>
      </c>
      <c r="AB90" s="5">
        <v>2231.61</v>
      </c>
      <c r="AC90" s="5">
        <v>1290</v>
      </c>
      <c r="AD90" s="4">
        <v>45987</v>
      </c>
      <c r="AE90" t="s">
        <v>76</v>
      </c>
      <c r="AF90">
        <v>7221655227</v>
      </c>
      <c r="AG90" t="s">
        <v>1093</v>
      </c>
      <c r="AI90" t="s">
        <v>357</v>
      </c>
      <c r="AJ90">
        <v>2071017</v>
      </c>
      <c r="AK90" t="s">
        <v>1094</v>
      </c>
      <c r="AM90" t="s">
        <v>1095</v>
      </c>
      <c r="AN90" t="s">
        <v>1096</v>
      </c>
      <c r="AO90" t="s">
        <v>1097</v>
      </c>
      <c r="AP90" t="s">
        <v>1098</v>
      </c>
      <c r="AQ90" t="s">
        <v>1099</v>
      </c>
      <c r="AR90" t="s">
        <v>1100</v>
      </c>
      <c r="AY90" s="5">
        <v>8501.6200000000008</v>
      </c>
      <c r="AZ90" s="5">
        <v>0</v>
      </c>
      <c r="BA90">
        <v>1</v>
      </c>
      <c r="BB90" t="s">
        <v>204</v>
      </c>
      <c r="BC90" t="s">
        <v>1101</v>
      </c>
      <c r="BD90" t="s">
        <v>260</v>
      </c>
      <c r="BE90" t="s">
        <v>81</v>
      </c>
      <c r="BF90" t="s">
        <v>260</v>
      </c>
      <c r="BG90" t="s">
        <v>874</v>
      </c>
      <c r="BH90" s="6" t="s">
        <v>83</v>
      </c>
      <c r="BK90">
        <v>6</v>
      </c>
      <c r="BL90">
        <v>6</v>
      </c>
      <c r="BM90" t="s">
        <v>101</v>
      </c>
      <c r="BN90" s="3" t="s">
        <v>1102</v>
      </c>
      <c r="BO90" s="5">
        <v>4389.2</v>
      </c>
      <c r="BP90" s="5">
        <v>8501.6200000000008</v>
      </c>
      <c r="BQ90" s="34">
        <v>0.71045518383555128</v>
      </c>
    </row>
    <row r="91" spans="1:69" x14ac:dyDescent="0.3">
      <c r="A91" s="3" t="s">
        <v>715</v>
      </c>
      <c r="B91" t="s">
        <v>67</v>
      </c>
      <c r="C91" t="s">
        <v>104</v>
      </c>
      <c r="D91" t="s">
        <v>494</v>
      </c>
      <c r="E91" t="s">
        <v>495</v>
      </c>
      <c r="F91" t="s">
        <v>424</v>
      </c>
      <c r="G91" t="s">
        <v>425</v>
      </c>
      <c r="H91" t="s">
        <v>73</v>
      </c>
      <c r="I91" t="s">
        <v>716</v>
      </c>
      <c r="J91" s="4">
        <v>45821</v>
      </c>
      <c r="K91" s="4">
        <v>46004</v>
      </c>
      <c r="L91" s="5">
        <v>5000</v>
      </c>
      <c r="M91" s="5">
        <v>5267.04</v>
      </c>
      <c r="N91">
        <v>39</v>
      </c>
      <c r="O91" t="s">
        <v>702</v>
      </c>
      <c r="P91">
        <v>6</v>
      </c>
      <c r="Q91" t="s">
        <v>75</v>
      </c>
      <c r="R91">
        <v>1320.32</v>
      </c>
      <c r="S91">
        <v>348</v>
      </c>
      <c r="T91" s="5">
        <v>1160</v>
      </c>
      <c r="U91" s="5">
        <v>0</v>
      </c>
      <c r="V91">
        <v>1.6</v>
      </c>
      <c r="W91" s="5">
        <v>1678.46</v>
      </c>
      <c r="X91" s="5">
        <v>3280.94</v>
      </c>
      <c r="Y91" s="5">
        <v>1678.46</v>
      </c>
      <c r="Z91" s="5">
        <v>384.48</v>
      </c>
      <c r="AA91" s="5">
        <v>58</v>
      </c>
      <c r="AB91" s="5">
        <v>1160</v>
      </c>
      <c r="AC91" s="5">
        <v>1000</v>
      </c>
      <c r="AD91" s="4">
        <v>46009</v>
      </c>
      <c r="AE91" t="s">
        <v>76</v>
      </c>
      <c r="AF91">
        <v>3312808498</v>
      </c>
      <c r="AG91" t="s">
        <v>717</v>
      </c>
      <c r="AI91" t="s">
        <v>126</v>
      </c>
      <c r="AJ91">
        <v>9501009</v>
      </c>
      <c r="AK91" t="s">
        <v>718</v>
      </c>
      <c r="AM91" t="s">
        <v>719</v>
      </c>
      <c r="AN91" t="s">
        <v>720</v>
      </c>
      <c r="AO91" t="s">
        <v>721</v>
      </c>
      <c r="AP91" t="s">
        <v>722</v>
      </c>
      <c r="AQ91" t="s">
        <v>723</v>
      </c>
      <c r="AR91" t="s">
        <v>724</v>
      </c>
      <c r="AY91" s="5">
        <v>3280.94</v>
      </c>
      <c r="AZ91" s="5">
        <v>0</v>
      </c>
      <c r="BA91">
        <v>1</v>
      </c>
      <c r="BB91" t="s">
        <v>204</v>
      </c>
      <c r="BC91" t="s">
        <v>725</v>
      </c>
      <c r="BD91" t="s">
        <v>467</v>
      </c>
      <c r="BE91" t="s">
        <v>81</v>
      </c>
      <c r="BF91" t="s">
        <v>104</v>
      </c>
      <c r="BG91" t="s">
        <v>726</v>
      </c>
      <c r="BH91" s="6" t="s">
        <v>83</v>
      </c>
      <c r="BK91">
        <v>4</v>
      </c>
      <c r="BL91">
        <v>4</v>
      </c>
      <c r="BM91" t="s">
        <v>101</v>
      </c>
      <c r="BN91" s="3" t="s">
        <v>727</v>
      </c>
      <c r="BO91" s="5">
        <v>1678.46</v>
      </c>
      <c r="BP91" s="5">
        <v>3280.94</v>
      </c>
      <c r="BQ91" s="34">
        <v>1</v>
      </c>
    </row>
    <row r="92" spans="1:69" x14ac:dyDescent="0.3">
      <c r="A92" s="3" t="s">
        <v>1059</v>
      </c>
      <c r="B92" t="s">
        <v>67</v>
      </c>
      <c r="C92" t="s">
        <v>68</v>
      </c>
      <c r="D92" t="s">
        <v>190</v>
      </c>
      <c r="E92" t="s">
        <v>191</v>
      </c>
      <c r="F92" t="s">
        <v>173</v>
      </c>
      <c r="G92" t="s">
        <v>174</v>
      </c>
      <c r="H92" t="s">
        <v>73</v>
      </c>
      <c r="I92" t="s">
        <v>1060</v>
      </c>
      <c r="J92" s="4">
        <v>45761</v>
      </c>
      <c r="K92" s="4">
        <v>46126</v>
      </c>
      <c r="L92" s="5">
        <v>35000</v>
      </c>
      <c r="M92" s="5">
        <v>36869.269999999997</v>
      </c>
      <c r="N92">
        <v>38</v>
      </c>
      <c r="O92" t="s">
        <v>702</v>
      </c>
      <c r="P92">
        <v>12</v>
      </c>
      <c r="Q92" t="s">
        <v>75</v>
      </c>
      <c r="R92">
        <v>5137.82</v>
      </c>
      <c r="S92">
        <v>696</v>
      </c>
      <c r="T92" s="5">
        <v>580</v>
      </c>
      <c r="U92" s="5">
        <v>0</v>
      </c>
      <c r="V92">
        <v>1.1000000000000001</v>
      </c>
      <c r="W92" s="5">
        <v>15908.45</v>
      </c>
      <c r="X92" s="5">
        <v>6264.0833000000002</v>
      </c>
      <c r="Y92" s="5">
        <v>3618.69</v>
      </c>
      <c r="Z92" s="5">
        <v>2007.38</v>
      </c>
      <c r="AA92" s="5">
        <v>58.01</v>
      </c>
      <c r="AB92" s="5">
        <v>580</v>
      </c>
      <c r="AC92" s="5">
        <v>5137</v>
      </c>
      <c r="AD92" s="4">
        <v>45975</v>
      </c>
      <c r="AE92" t="s">
        <v>76</v>
      </c>
      <c r="AF92">
        <v>7226467396</v>
      </c>
      <c r="AG92" t="s">
        <v>1062</v>
      </c>
      <c r="AI92" t="s">
        <v>1063</v>
      </c>
      <c r="AJ92">
        <v>8312019</v>
      </c>
      <c r="AK92" t="s">
        <v>1064</v>
      </c>
      <c r="AL92" t="s">
        <v>1065</v>
      </c>
      <c r="AM92" t="s">
        <v>1066</v>
      </c>
      <c r="AN92" t="s">
        <v>1067</v>
      </c>
      <c r="AO92" t="s">
        <v>1068</v>
      </c>
      <c r="AP92" t="s">
        <v>1069</v>
      </c>
      <c r="AQ92" t="s">
        <v>1070</v>
      </c>
      <c r="AR92" t="s">
        <v>1071</v>
      </c>
      <c r="AS92" t="s">
        <v>144</v>
      </c>
      <c r="AT92" t="s">
        <v>1072</v>
      </c>
      <c r="AU92" t="s">
        <v>1073</v>
      </c>
      <c r="AY92" s="5">
        <v>26583.35</v>
      </c>
      <c r="AZ92" s="5">
        <v>0</v>
      </c>
      <c r="BA92">
        <v>1</v>
      </c>
      <c r="BB92" t="s">
        <v>204</v>
      </c>
      <c r="BC92" t="s">
        <v>1074</v>
      </c>
      <c r="BD92" t="s">
        <v>1075</v>
      </c>
      <c r="BE92" t="s">
        <v>81</v>
      </c>
      <c r="BF92" t="s">
        <v>82</v>
      </c>
      <c r="BH92" s="6" t="s">
        <v>83</v>
      </c>
      <c r="BK92">
        <v>5</v>
      </c>
      <c r="BL92">
        <v>4</v>
      </c>
      <c r="BM92" t="s">
        <v>101</v>
      </c>
      <c r="BN92" s="3" t="s">
        <v>1076</v>
      </c>
      <c r="BO92" s="5">
        <v>15908.45</v>
      </c>
      <c r="BP92" s="5">
        <v>26583.35</v>
      </c>
      <c r="BQ92" s="34">
        <v>0.2356393494424141</v>
      </c>
    </row>
    <row r="93" spans="1:69" x14ac:dyDescent="0.3">
      <c r="A93" s="3" t="s">
        <v>2705</v>
      </c>
      <c r="B93" t="s">
        <v>67</v>
      </c>
      <c r="C93" t="s">
        <v>536</v>
      </c>
      <c r="D93" t="s">
        <v>917</v>
      </c>
      <c r="E93" t="s">
        <v>918</v>
      </c>
      <c r="F93" t="s">
        <v>154</v>
      </c>
      <c r="G93" t="s">
        <v>155</v>
      </c>
      <c r="H93" t="s">
        <v>73</v>
      </c>
      <c r="I93" t="s">
        <v>2706</v>
      </c>
      <c r="J93" s="4">
        <v>45811</v>
      </c>
      <c r="K93" s="4">
        <v>45979</v>
      </c>
      <c r="L93" s="5">
        <v>5000</v>
      </c>
      <c r="M93" s="5">
        <v>5267.04</v>
      </c>
      <c r="N93">
        <v>34</v>
      </c>
      <c r="O93" t="s">
        <v>702</v>
      </c>
      <c r="P93">
        <v>24</v>
      </c>
      <c r="Q93" t="s">
        <v>279</v>
      </c>
      <c r="R93">
        <v>365.7</v>
      </c>
      <c r="S93">
        <v>1392</v>
      </c>
      <c r="T93" s="5">
        <v>55.31</v>
      </c>
      <c r="U93" s="5">
        <v>24</v>
      </c>
      <c r="V93">
        <v>1</v>
      </c>
      <c r="W93" s="5">
        <v>219.46</v>
      </c>
      <c r="X93" s="5">
        <v>537.01</v>
      </c>
      <c r="Y93" s="5">
        <v>219.46</v>
      </c>
      <c r="Z93" s="5">
        <v>88.24</v>
      </c>
      <c r="AA93" s="5">
        <v>174</v>
      </c>
      <c r="AB93" s="5">
        <v>55.31</v>
      </c>
      <c r="AC93" s="5">
        <v>300</v>
      </c>
      <c r="AD93" s="4">
        <v>45987</v>
      </c>
      <c r="AE93" t="s">
        <v>76</v>
      </c>
      <c r="AF93">
        <v>7122169338</v>
      </c>
      <c r="AG93" t="s">
        <v>2707</v>
      </c>
      <c r="AI93" t="s">
        <v>196</v>
      </c>
      <c r="AJ93">
        <v>6112023</v>
      </c>
      <c r="AK93" t="s">
        <v>2708</v>
      </c>
      <c r="AL93" t="s">
        <v>2709</v>
      </c>
      <c r="AM93" t="s">
        <v>2710</v>
      </c>
      <c r="AN93" t="s">
        <v>2711</v>
      </c>
      <c r="AO93" t="s">
        <v>2712</v>
      </c>
      <c r="AP93" t="s">
        <v>2713</v>
      </c>
      <c r="AQ93" t="s">
        <v>2714</v>
      </c>
      <c r="AR93" t="s">
        <v>2715</v>
      </c>
      <c r="AY93" s="5">
        <v>537.01</v>
      </c>
      <c r="AZ93" s="5">
        <v>0</v>
      </c>
      <c r="BA93">
        <v>1</v>
      </c>
      <c r="BB93" t="s">
        <v>204</v>
      </c>
      <c r="BC93" t="s">
        <v>2716</v>
      </c>
      <c r="BD93" t="s">
        <v>2717</v>
      </c>
      <c r="BE93" t="s">
        <v>81</v>
      </c>
      <c r="BF93" t="s">
        <v>536</v>
      </c>
      <c r="BG93" t="s">
        <v>2718</v>
      </c>
      <c r="BH93" s="6" t="s">
        <v>83</v>
      </c>
      <c r="BK93">
        <v>5</v>
      </c>
      <c r="BL93">
        <v>5</v>
      </c>
      <c r="BM93" t="s">
        <v>101</v>
      </c>
      <c r="BN93" s="3" t="s">
        <v>2719</v>
      </c>
      <c r="BO93" s="5">
        <v>219.46</v>
      </c>
      <c r="BP93" s="5">
        <v>537.01</v>
      </c>
      <c r="BQ93" s="34">
        <v>1</v>
      </c>
    </row>
    <row r="94" spans="1:69" x14ac:dyDescent="0.3">
      <c r="A94" s="3" t="s">
        <v>2168</v>
      </c>
      <c r="B94" t="s">
        <v>67</v>
      </c>
      <c r="C94" t="s">
        <v>189</v>
      </c>
      <c r="D94" t="s">
        <v>353</v>
      </c>
      <c r="E94" t="s">
        <v>354</v>
      </c>
      <c r="F94" t="s">
        <v>192</v>
      </c>
      <c r="G94" t="s">
        <v>193</v>
      </c>
      <c r="H94" t="s">
        <v>73</v>
      </c>
      <c r="I94" t="s">
        <v>2169</v>
      </c>
      <c r="J94" s="4">
        <v>45884</v>
      </c>
      <c r="K94" s="4">
        <v>46068</v>
      </c>
      <c r="L94" s="5">
        <v>8000</v>
      </c>
      <c r="M94" s="5">
        <v>8427.26</v>
      </c>
      <c r="N94">
        <v>34</v>
      </c>
      <c r="O94" t="s">
        <v>702</v>
      </c>
      <c r="P94">
        <v>6</v>
      </c>
      <c r="Q94" t="s">
        <v>75</v>
      </c>
      <c r="R94">
        <v>2081.0700000000002</v>
      </c>
      <c r="S94">
        <v>348</v>
      </c>
      <c r="T94" s="5">
        <v>1160</v>
      </c>
      <c r="U94" s="5">
        <v>0</v>
      </c>
      <c r="V94">
        <v>2</v>
      </c>
      <c r="W94" s="5">
        <v>5618.17</v>
      </c>
      <c r="X94" s="5">
        <v>5320.2670513777766</v>
      </c>
      <c r="Y94" s="5">
        <v>2809.08</v>
      </c>
      <c r="Z94" s="5">
        <v>1237.04</v>
      </c>
      <c r="AA94" s="5">
        <v>114.14</v>
      </c>
      <c r="AB94" s="5">
        <v>1160</v>
      </c>
      <c r="AC94" s="5">
        <v>2662</v>
      </c>
      <c r="AD94" s="4">
        <v>45946</v>
      </c>
      <c r="AE94" t="s">
        <v>76</v>
      </c>
      <c r="AF94">
        <v>7226824469</v>
      </c>
      <c r="AG94" t="s">
        <v>2170</v>
      </c>
      <c r="AI94" t="s">
        <v>295</v>
      </c>
      <c r="AJ94">
        <v>8712011</v>
      </c>
      <c r="AK94" t="s">
        <v>2171</v>
      </c>
      <c r="AM94" t="s">
        <v>2172</v>
      </c>
      <c r="AN94" t="s">
        <v>2173</v>
      </c>
      <c r="AO94" t="s">
        <v>2174</v>
      </c>
      <c r="AP94" t="s">
        <v>2175</v>
      </c>
      <c r="AQ94" t="s">
        <v>2176</v>
      </c>
      <c r="AR94" t="s">
        <v>2177</v>
      </c>
      <c r="AY94" s="5">
        <v>9366.4</v>
      </c>
      <c r="AZ94" s="5">
        <v>0</v>
      </c>
      <c r="BA94">
        <v>1</v>
      </c>
      <c r="BB94" t="s">
        <v>204</v>
      </c>
      <c r="BC94" t="s">
        <v>2178</v>
      </c>
      <c r="BD94" t="s">
        <v>2179</v>
      </c>
      <c r="BE94" t="s">
        <v>81</v>
      </c>
      <c r="BF94" t="s">
        <v>189</v>
      </c>
      <c r="BG94" t="s">
        <v>2180</v>
      </c>
      <c r="BH94" s="6" t="s">
        <v>83</v>
      </c>
      <c r="BK94">
        <v>4</v>
      </c>
      <c r="BL94">
        <v>4</v>
      </c>
      <c r="BM94" t="s">
        <v>101</v>
      </c>
      <c r="BN94" s="3" t="s">
        <v>2181</v>
      </c>
      <c r="BO94" s="5">
        <v>5618.17</v>
      </c>
      <c r="BP94" s="5">
        <v>9366.4</v>
      </c>
      <c r="BQ94" s="34">
        <v>0.5680162123524275</v>
      </c>
    </row>
    <row r="95" spans="1:69" x14ac:dyDescent="0.3">
      <c r="A95" s="3" t="s">
        <v>2346</v>
      </c>
      <c r="B95" t="s">
        <v>67</v>
      </c>
      <c r="C95" t="s">
        <v>104</v>
      </c>
      <c r="D95" t="s">
        <v>190</v>
      </c>
      <c r="E95" t="s">
        <v>191</v>
      </c>
      <c r="F95" t="s">
        <v>608</v>
      </c>
      <c r="G95" t="s">
        <v>609</v>
      </c>
      <c r="H95" t="s">
        <v>2239</v>
      </c>
      <c r="I95" t="s">
        <v>2347</v>
      </c>
      <c r="J95" s="4">
        <v>45947</v>
      </c>
      <c r="K95" s="4">
        <v>46129</v>
      </c>
      <c r="L95" s="5">
        <v>8000</v>
      </c>
      <c r="M95" s="5">
        <v>8427.26</v>
      </c>
      <c r="N95">
        <v>34</v>
      </c>
      <c r="O95" t="s">
        <v>702</v>
      </c>
      <c r="P95">
        <v>6</v>
      </c>
      <c r="Q95" t="s">
        <v>75</v>
      </c>
      <c r="R95">
        <v>1920.12</v>
      </c>
      <c r="S95">
        <v>348</v>
      </c>
      <c r="T95" s="5">
        <v>1160</v>
      </c>
      <c r="U95" s="5">
        <v>0</v>
      </c>
      <c r="V95">
        <v>2</v>
      </c>
      <c r="W95" s="5">
        <v>8427.26</v>
      </c>
      <c r="X95" s="5">
        <v>5000.2309209333334</v>
      </c>
      <c r="Y95" s="5">
        <v>2809.09</v>
      </c>
      <c r="Z95" s="5">
        <v>915.14</v>
      </c>
      <c r="AA95" s="5">
        <v>116</v>
      </c>
      <c r="AB95" s="5">
        <v>1160</v>
      </c>
      <c r="AC95" s="5"/>
      <c r="AD95" s="4"/>
      <c r="AE95" t="s">
        <v>76</v>
      </c>
      <c r="AF95">
        <v>5584021198</v>
      </c>
      <c r="AG95" t="s">
        <v>2348</v>
      </c>
      <c r="AI95" t="s">
        <v>370</v>
      </c>
      <c r="AJ95">
        <v>8944098</v>
      </c>
      <c r="AY95" s="5">
        <v>12448.69</v>
      </c>
      <c r="AZ95" s="5">
        <v>0</v>
      </c>
      <c r="BA95">
        <v>1</v>
      </c>
      <c r="BB95" t="s">
        <v>204</v>
      </c>
      <c r="BC95" t="s">
        <v>2349</v>
      </c>
      <c r="BD95" t="s">
        <v>2350</v>
      </c>
      <c r="BE95" t="s">
        <v>81</v>
      </c>
      <c r="BF95" t="s">
        <v>2351</v>
      </c>
      <c r="BH95" s="6" t="s">
        <v>83</v>
      </c>
      <c r="BK95">
        <v>2</v>
      </c>
      <c r="BL95">
        <v>2</v>
      </c>
      <c r="BM95" t="s">
        <v>101</v>
      </c>
      <c r="BN95" s="3" t="s">
        <v>2352</v>
      </c>
      <c r="BO95" s="5">
        <v>8427.26</v>
      </c>
      <c r="BP95" s="5">
        <v>12448.69</v>
      </c>
      <c r="BQ95" s="34">
        <v>0.40166723735054322</v>
      </c>
    </row>
    <row r="96" spans="1:69" x14ac:dyDescent="0.3">
      <c r="A96" s="3" t="s">
        <v>1077</v>
      </c>
      <c r="B96" t="s">
        <v>67</v>
      </c>
      <c r="C96" t="s">
        <v>104</v>
      </c>
      <c r="D96" t="s">
        <v>795</v>
      </c>
      <c r="E96" t="s">
        <v>796</v>
      </c>
      <c r="F96" t="s">
        <v>424</v>
      </c>
      <c r="G96" t="s">
        <v>425</v>
      </c>
      <c r="H96" t="s">
        <v>73</v>
      </c>
      <c r="I96" t="s">
        <v>1078</v>
      </c>
      <c r="J96" s="4">
        <v>45853</v>
      </c>
      <c r="K96" s="4">
        <v>46218</v>
      </c>
      <c r="L96" s="5">
        <v>10000</v>
      </c>
      <c r="M96" s="5">
        <v>10534.08</v>
      </c>
      <c r="N96">
        <v>34</v>
      </c>
      <c r="O96" t="s">
        <v>702</v>
      </c>
      <c r="P96">
        <v>12</v>
      </c>
      <c r="Q96" t="s">
        <v>75</v>
      </c>
      <c r="R96">
        <v>1702.69</v>
      </c>
      <c r="S96">
        <v>696</v>
      </c>
      <c r="T96" s="5">
        <v>1160</v>
      </c>
      <c r="U96" s="5">
        <v>0</v>
      </c>
      <c r="V96">
        <v>1.1000000000000001</v>
      </c>
      <c r="W96" s="5">
        <v>7199.8</v>
      </c>
      <c r="X96" s="5">
        <v>3039.77</v>
      </c>
      <c r="Y96" s="5">
        <v>1054.92</v>
      </c>
      <c r="Z96" s="5">
        <v>766.85</v>
      </c>
      <c r="AA96" s="5">
        <v>58</v>
      </c>
      <c r="AB96" s="5">
        <v>1160</v>
      </c>
      <c r="AC96" s="5">
        <v>1703</v>
      </c>
      <c r="AD96" s="4">
        <v>46007</v>
      </c>
      <c r="AE96" t="s">
        <v>76</v>
      </c>
      <c r="AF96">
        <v>7298687644</v>
      </c>
      <c r="AG96" t="s">
        <v>1079</v>
      </c>
      <c r="AI96" t="s">
        <v>1080</v>
      </c>
      <c r="AJ96">
        <v>6233019</v>
      </c>
      <c r="AK96" t="s">
        <v>1081</v>
      </c>
      <c r="AM96" t="s">
        <v>1082</v>
      </c>
      <c r="AN96" t="s">
        <v>1083</v>
      </c>
      <c r="AO96" t="s">
        <v>1084</v>
      </c>
      <c r="AP96" t="s">
        <v>1085</v>
      </c>
      <c r="AQ96" t="s">
        <v>1086</v>
      </c>
      <c r="AR96" t="s">
        <v>1087</v>
      </c>
      <c r="AY96" s="5">
        <v>14552.61</v>
      </c>
      <c r="AZ96" s="5">
        <v>0</v>
      </c>
      <c r="BA96">
        <v>1</v>
      </c>
      <c r="BB96" t="s">
        <v>204</v>
      </c>
      <c r="BC96" t="s">
        <v>1088</v>
      </c>
      <c r="BD96" t="s">
        <v>647</v>
      </c>
      <c r="BE96" t="s">
        <v>81</v>
      </c>
      <c r="BF96" t="s">
        <v>648</v>
      </c>
      <c r="BG96" t="s">
        <v>1089</v>
      </c>
      <c r="BH96" s="6" t="s">
        <v>83</v>
      </c>
      <c r="BK96">
        <v>4</v>
      </c>
      <c r="BL96">
        <v>4</v>
      </c>
      <c r="BM96" t="s">
        <v>101</v>
      </c>
      <c r="BN96" s="3" t="s">
        <v>1090</v>
      </c>
      <c r="BO96" s="5">
        <v>7199.8</v>
      </c>
      <c r="BP96" s="5">
        <v>14552.61</v>
      </c>
      <c r="BQ96" s="34">
        <v>0.20888143089109101</v>
      </c>
    </row>
    <row r="97" spans="1:69" x14ac:dyDescent="0.3">
      <c r="A97" s="3" t="s">
        <v>1175</v>
      </c>
      <c r="B97" t="s">
        <v>67</v>
      </c>
      <c r="C97" t="s">
        <v>536</v>
      </c>
      <c r="D97" t="s">
        <v>1176</v>
      </c>
      <c r="E97" t="s">
        <v>1177</v>
      </c>
      <c r="F97" t="s">
        <v>154</v>
      </c>
      <c r="G97" t="s">
        <v>155</v>
      </c>
      <c r="H97" t="s">
        <v>73</v>
      </c>
      <c r="I97" t="s">
        <v>1178</v>
      </c>
      <c r="J97" s="4">
        <v>45828</v>
      </c>
      <c r="K97" s="4">
        <v>46193</v>
      </c>
      <c r="L97" s="5">
        <v>20000</v>
      </c>
      <c r="M97" s="5">
        <v>21068.16</v>
      </c>
      <c r="N97">
        <v>32</v>
      </c>
      <c r="O97" t="s">
        <v>702</v>
      </c>
      <c r="P97">
        <v>12</v>
      </c>
      <c r="Q97" t="s">
        <v>75</v>
      </c>
      <c r="R97">
        <v>3347.38</v>
      </c>
      <c r="S97">
        <v>696</v>
      </c>
      <c r="T97" s="5">
        <v>0</v>
      </c>
      <c r="U97" s="5">
        <v>0</v>
      </c>
      <c r="V97">
        <v>1.6</v>
      </c>
      <c r="W97" s="5">
        <v>14045.44</v>
      </c>
      <c r="X97" s="5">
        <v>5179.301152</v>
      </c>
      <c r="Y97" s="5">
        <v>3511.36</v>
      </c>
      <c r="Z97" s="5">
        <v>1609.94</v>
      </c>
      <c r="AA97" s="5">
        <v>58</v>
      </c>
      <c r="AB97" s="5">
        <v>0</v>
      </c>
      <c r="AC97" s="5">
        <v>1000</v>
      </c>
      <c r="AD97" s="4">
        <v>46008</v>
      </c>
      <c r="AE97" t="s">
        <v>76</v>
      </c>
      <c r="AF97">
        <v>7121856272</v>
      </c>
      <c r="AG97" t="s">
        <v>1179</v>
      </c>
      <c r="AI97" t="s">
        <v>1180</v>
      </c>
      <c r="AJ97">
        <v>6225024</v>
      </c>
      <c r="AK97" t="s">
        <v>1181</v>
      </c>
      <c r="AL97" t="s">
        <v>1182</v>
      </c>
      <c r="AM97" t="s">
        <v>1183</v>
      </c>
      <c r="AN97" t="s">
        <v>1184</v>
      </c>
      <c r="AO97" t="s">
        <v>1185</v>
      </c>
      <c r="AP97" t="s">
        <v>1186</v>
      </c>
      <c r="AQ97" t="s">
        <v>1187</v>
      </c>
      <c r="AR97" t="s">
        <v>1188</v>
      </c>
      <c r="AY97" s="5">
        <v>24915.599999999999</v>
      </c>
      <c r="AZ97" s="5">
        <v>0</v>
      </c>
      <c r="BA97">
        <v>1</v>
      </c>
      <c r="BB97" t="s">
        <v>204</v>
      </c>
      <c r="BC97" t="s">
        <v>1189</v>
      </c>
      <c r="BD97" t="s">
        <v>1190</v>
      </c>
      <c r="BE97" t="s">
        <v>81</v>
      </c>
      <c r="BF97" t="s">
        <v>1191</v>
      </c>
      <c r="BG97" t="s">
        <v>1192</v>
      </c>
      <c r="BH97" s="6" t="s">
        <v>83</v>
      </c>
      <c r="BK97">
        <v>6</v>
      </c>
      <c r="BL97">
        <v>6</v>
      </c>
      <c r="BM97" t="s">
        <v>101</v>
      </c>
      <c r="BN97" s="3" t="s">
        <v>1193</v>
      </c>
      <c r="BO97" s="5">
        <v>14045.44</v>
      </c>
      <c r="BP97" s="5">
        <v>24915.599999999999</v>
      </c>
      <c r="BQ97" s="34">
        <v>0.20787382812374569</v>
      </c>
    </row>
    <row r="98" spans="1:69" x14ac:dyDescent="0.3">
      <c r="A98" s="3" t="s">
        <v>1150</v>
      </c>
      <c r="B98" t="s">
        <v>67</v>
      </c>
      <c r="C98" t="s">
        <v>104</v>
      </c>
      <c r="D98" t="s">
        <v>795</v>
      </c>
      <c r="E98" t="s">
        <v>796</v>
      </c>
      <c r="F98" t="s">
        <v>424</v>
      </c>
      <c r="G98" t="s">
        <v>425</v>
      </c>
      <c r="H98" t="s">
        <v>73</v>
      </c>
      <c r="I98" t="s">
        <v>1151</v>
      </c>
      <c r="J98" s="4">
        <v>45828</v>
      </c>
      <c r="K98" s="4">
        <v>46011</v>
      </c>
      <c r="L98" s="5">
        <v>10000</v>
      </c>
      <c r="M98" s="5">
        <v>10534.08</v>
      </c>
      <c r="N98">
        <v>32</v>
      </c>
      <c r="O98" t="s">
        <v>702</v>
      </c>
      <c r="P98">
        <v>6</v>
      </c>
      <c r="Q98" t="s">
        <v>75</v>
      </c>
      <c r="R98">
        <v>2582.63</v>
      </c>
      <c r="S98">
        <v>348</v>
      </c>
      <c r="T98" s="5">
        <v>638</v>
      </c>
      <c r="U98" s="5">
        <v>0</v>
      </c>
      <c r="V98">
        <v>2</v>
      </c>
      <c r="W98" s="5">
        <v>3511.36</v>
      </c>
      <c r="X98" s="5">
        <v>5745.27</v>
      </c>
      <c r="Y98" s="5">
        <v>3511.36</v>
      </c>
      <c r="Z98" s="5">
        <v>1537.91</v>
      </c>
      <c r="AA98" s="5">
        <v>58</v>
      </c>
      <c r="AB98" s="5">
        <v>638</v>
      </c>
      <c r="AC98" s="5">
        <v>3159.9</v>
      </c>
      <c r="AD98" s="4">
        <v>45981</v>
      </c>
      <c r="AE98" t="s">
        <v>76</v>
      </c>
      <c r="AF98">
        <v>7228340210</v>
      </c>
      <c r="AG98" t="s">
        <v>1152</v>
      </c>
      <c r="AI98" t="s">
        <v>459</v>
      </c>
      <c r="AJ98">
        <v>6131023</v>
      </c>
      <c r="AK98" t="s">
        <v>1153</v>
      </c>
      <c r="AM98" t="s">
        <v>1154</v>
      </c>
      <c r="AN98" t="s">
        <v>1155</v>
      </c>
      <c r="AO98" t="s">
        <v>1156</v>
      </c>
      <c r="AP98" t="s">
        <v>1157</v>
      </c>
      <c r="AQ98" t="s">
        <v>1158</v>
      </c>
      <c r="AR98" t="s">
        <v>1159</v>
      </c>
      <c r="AY98" s="5">
        <v>5745.27</v>
      </c>
      <c r="AZ98" s="5">
        <v>0</v>
      </c>
      <c r="BA98">
        <v>1</v>
      </c>
      <c r="BB98" t="s">
        <v>204</v>
      </c>
      <c r="BC98" t="s">
        <v>1160</v>
      </c>
      <c r="BD98" t="s">
        <v>1161</v>
      </c>
      <c r="BE98" t="s">
        <v>81</v>
      </c>
      <c r="BF98" t="s">
        <v>104</v>
      </c>
      <c r="BG98" t="s">
        <v>1162</v>
      </c>
      <c r="BH98" s="6" t="s">
        <v>83</v>
      </c>
      <c r="BK98">
        <v>5</v>
      </c>
      <c r="BL98">
        <v>5</v>
      </c>
      <c r="BM98" t="s">
        <v>101</v>
      </c>
      <c r="BN98" s="3" t="s">
        <v>1163</v>
      </c>
      <c r="BO98" s="5">
        <v>3511.36</v>
      </c>
      <c r="BP98" s="5">
        <v>5745.27</v>
      </c>
      <c r="BQ98" s="34">
        <v>1</v>
      </c>
    </row>
    <row r="99" spans="1:69" x14ac:dyDescent="0.3">
      <c r="A99" s="3" t="s">
        <v>1222</v>
      </c>
      <c r="B99" t="s">
        <v>67</v>
      </c>
      <c r="C99" t="s">
        <v>68</v>
      </c>
      <c r="D99" t="s">
        <v>335</v>
      </c>
      <c r="E99" t="s">
        <v>336</v>
      </c>
      <c r="F99" t="s">
        <v>173</v>
      </c>
      <c r="G99" t="s">
        <v>174</v>
      </c>
      <c r="H99" t="s">
        <v>73</v>
      </c>
      <c r="I99" t="s">
        <v>1223</v>
      </c>
      <c r="J99" s="4">
        <v>45678</v>
      </c>
      <c r="K99" s="4">
        <v>46043</v>
      </c>
      <c r="L99" s="5">
        <v>20000</v>
      </c>
      <c r="M99" s="5">
        <v>21068.16</v>
      </c>
      <c r="N99">
        <v>31</v>
      </c>
      <c r="O99" t="s">
        <v>702</v>
      </c>
      <c r="P99">
        <v>12</v>
      </c>
      <c r="Q99" t="s">
        <v>75</v>
      </c>
      <c r="R99">
        <v>3015.02</v>
      </c>
      <c r="S99">
        <v>696</v>
      </c>
      <c r="T99" s="5">
        <v>0</v>
      </c>
      <c r="U99" s="5">
        <v>0</v>
      </c>
      <c r="V99">
        <v>1.2</v>
      </c>
      <c r="W99" s="5">
        <v>5774.01</v>
      </c>
      <c r="X99" s="5">
        <v>3594.34</v>
      </c>
      <c r="Y99" s="5">
        <v>3063.62</v>
      </c>
      <c r="Z99" s="5">
        <v>472.72</v>
      </c>
      <c r="AA99" s="5">
        <v>58</v>
      </c>
      <c r="AB99" s="5">
        <v>0</v>
      </c>
      <c r="AC99" s="5">
        <v>3274</v>
      </c>
      <c r="AD99" s="4">
        <v>45982</v>
      </c>
      <c r="AE99" t="s">
        <v>76</v>
      </c>
      <c r="AF99">
        <v>7228517224</v>
      </c>
      <c r="AG99" t="s">
        <v>1224</v>
      </c>
      <c r="AI99" t="s">
        <v>1225</v>
      </c>
      <c r="AJ99">
        <v>2719013</v>
      </c>
      <c r="AK99" t="s">
        <v>1226</v>
      </c>
      <c r="AL99" t="s">
        <v>1227</v>
      </c>
      <c r="AM99" t="s">
        <v>1228</v>
      </c>
      <c r="AN99" t="s">
        <v>1229</v>
      </c>
      <c r="AO99" t="s">
        <v>1230</v>
      </c>
      <c r="AP99" t="s">
        <v>1231</v>
      </c>
      <c r="AQ99" t="s">
        <v>1232</v>
      </c>
      <c r="AR99" t="s">
        <v>1233</v>
      </c>
      <c r="AS99" t="s">
        <v>144</v>
      </c>
      <c r="AT99" t="s">
        <v>1234</v>
      </c>
      <c r="AU99" t="s">
        <v>1235</v>
      </c>
      <c r="AY99" s="5">
        <v>6304.73</v>
      </c>
      <c r="AZ99" s="5">
        <v>0</v>
      </c>
      <c r="BA99">
        <v>4</v>
      </c>
      <c r="BB99" t="s">
        <v>1130</v>
      </c>
      <c r="BC99" t="s">
        <v>1236</v>
      </c>
      <c r="BD99" t="s">
        <v>80</v>
      </c>
      <c r="BE99" t="s">
        <v>81</v>
      </c>
      <c r="BF99" t="s">
        <v>82</v>
      </c>
      <c r="BH99" s="6" t="s">
        <v>83</v>
      </c>
      <c r="BK99">
        <v>7</v>
      </c>
      <c r="BL99">
        <v>7</v>
      </c>
      <c r="BM99" t="s">
        <v>101</v>
      </c>
      <c r="BN99" s="3" t="s">
        <v>1237</v>
      </c>
      <c r="BO99" s="5">
        <v>5774.01</v>
      </c>
      <c r="BP99" s="5">
        <v>6304.73</v>
      </c>
      <c r="BQ99" s="34">
        <v>0.57010212967089791</v>
      </c>
    </row>
    <row r="100" spans="1:69" x14ac:dyDescent="0.3">
      <c r="A100" s="3" t="s">
        <v>1194</v>
      </c>
      <c r="B100" t="s">
        <v>67</v>
      </c>
      <c r="C100" t="s">
        <v>68</v>
      </c>
      <c r="D100" t="s">
        <v>410</v>
      </c>
      <c r="E100" t="s">
        <v>411</v>
      </c>
      <c r="F100" t="s">
        <v>173</v>
      </c>
      <c r="G100" t="s">
        <v>174</v>
      </c>
      <c r="H100" t="s">
        <v>73</v>
      </c>
      <c r="I100" t="s">
        <v>1195</v>
      </c>
      <c r="J100" s="4">
        <v>45798</v>
      </c>
      <c r="K100" s="4">
        <v>46163</v>
      </c>
      <c r="L100" s="5">
        <v>10000</v>
      </c>
      <c r="M100" s="5">
        <v>10534.08</v>
      </c>
      <c r="N100">
        <v>31</v>
      </c>
      <c r="O100" t="s">
        <v>702</v>
      </c>
      <c r="P100">
        <v>12</v>
      </c>
      <c r="Q100" t="s">
        <v>75</v>
      </c>
      <c r="R100">
        <v>1702.69</v>
      </c>
      <c r="S100">
        <v>696</v>
      </c>
      <c r="T100" s="5">
        <v>0</v>
      </c>
      <c r="U100" s="5">
        <v>0</v>
      </c>
      <c r="V100">
        <v>1.3</v>
      </c>
      <c r="W100" s="5">
        <v>5564.88</v>
      </c>
      <c r="X100" s="5">
        <v>2270.762338666666</v>
      </c>
      <c r="Y100" s="5">
        <v>1175.68</v>
      </c>
      <c r="Z100" s="5">
        <v>1037.08</v>
      </c>
      <c r="AA100" s="5">
        <v>58</v>
      </c>
      <c r="AB100" s="5">
        <v>0</v>
      </c>
      <c r="AC100" s="5">
        <v>1705</v>
      </c>
      <c r="AD100" s="4">
        <v>45982</v>
      </c>
      <c r="AE100" t="s">
        <v>76</v>
      </c>
      <c r="AF100">
        <v>7261634363</v>
      </c>
      <c r="AG100" t="s">
        <v>1196</v>
      </c>
      <c r="AI100" t="s">
        <v>251</v>
      </c>
      <c r="AJ100">
        <v>131011</v>
      </c>
      <c r="AM100" t="s">
        <v>1197</v>
      </c>
      <c r="AN100" t="s">
        <v>1198</v>
      </c>
      <c r="AO100" t="s">
        <v>1199</v>
      </c>
      <c r="AP100" t="s">
        <v>1200</v>
      </c>
      <c r="AQ100" t="s">
        <v>1201</v>
      </c>
      <c r="AR100" t="s">
        <v>1202</v>
      </c>
      <c r="AY100" s="5">
        <v>10494.22</v>
      </c>
      <c r="AZ100" s="5">
        <v>0</v>
      </c>
      <c r="BA100">
        <v>1</v>
      </c>
      <c r="BB100" t="s">
        <v>204</v>
      </c>
      <c r="BC100" t="s">
        <v>1203</v>
      </c>
      <c r="BD100" t="s">
        <v>532</v>
      </c>
      <c r="BE100" t="s">
        <v>81</v>
      </c>
      <c r="BF100" t="s">
        <v>273</v>
      </c>
      <c r="BH100" s="6" t="s">
        <v>83</v>
      </c>
      <c r="BK100">
        <v>5</v>
      </c>
      <c r="BL100">
        <v>5</v>
      </c>
      <c r="BM100" t="s">
        <v>101</v>
      </c>
      <c r="BN100" s="3" t="s">
        <v>1204</v>
      </c>
      <c r="BO100" s="5">
        <v>5564.88</v>
      </c>
      <c r="BP100" s="5">
        <v>10494.22</v>
      </c>
      <c r="BQ100" s="34">
        <v>0.21638219311837051</v>
      </c>
    </row>
    <row r="101" spans="1:69" x14ac:dyDescent="0.3">
      <c r="A101" s="3" t="s">
        <v>1991</v>
      </c>
      <c r="B101" t="s">
        <v>67</v>
      </c>
      <c r="C101" t="s">
        <v>68</v>
      </c>
      <c r="D101" t="s">
        <v>410</v>
      </c>
      <c r="E101" t="s">
        <v>411</v>
      </c>
      <c r="F101" t="s">
        <v>173</v>
      </c>
      <c r="G101" t="s">
        <v>174</v>
      </c>
      <c r="H101" t="s">
        <v>73</v>
      </c>
      <c r="I101" t="s">
        <v>1992</v>
      </c>
      <c r="J101" s="4">
        <v>45831</v>
      </c>
      <c r="K101" s="4">
        <v>46014</v>
      </c>
      <c r="L101" s="5">
        <v>5000</v>
      </c>
      <c r="M101" s="5">
        <v>5267.04</v>
      </c>
      <c r="N101">
        <v>28</v>
      </c>
      <c r="O101" t="s">
        <v>1061</v>
      </c>
      <c r="P101">
        <v>6</v>
      </c>
      <c r="Q101" t="s">
        <v>75</v>
      </c>
      <c r="R101">
        <v>1320.32</v>
      </c>
      <c r="S101">
        <v>348</v>
      </c>
      <c r="T101" s="5">
        <v>0</v>
      </c>
      <c r="U101" s="5">
        <v>0</v>
      </c>
      <c r="V101">
        <v>0.4</v>
      </c>
      <c r="W101" s="5">
        <v>1428.42</v>
      </c>
      <c r="X101" s="5">
        <v>550.581816</v>
      </c>
      <c r="Y101" s="5">
        <v>550.58000000000004</v>
      </c>
      <c r="Z101" s="5">
        <v>0</v>
      </c>
      <c r="AA101" s="5">
        <v>0</v>
      </c>
      <c r="AB101" s="5">
        <v>0</v>
      </c>
      <c r="AC101" s="5">
        <v>1330</v>
      </c>
      <c r="AD101" s="4">
        <v>45988</v>
      </c>
      <c r="AE101" t="s">
        <v>76</v>
      </c>
      <c r="AF101">
        <v>7224684947</v>
      </c>
      <c r="AG101" t="s">
        <v>1993</v>
      </c>
      <c r="AI101" t="s">
        <v>370</v>
      </c>
      <c r="AJ101">
        <v>8944098</v>
      </c>
      <c r="AK101" t="s">
        <v>1994</v>
      </c>
      <c r="AL101" t="s">
        <v>1995</v>
      </c>
      <c r="AM101" t="s">
        <v>1996</v>
      </c>
      <c r="AN101" t="s">
        <v>1997</v>
      </c>
      <c r="AO101" t="s">
        <v>1998</v>
      </c>
      <c r="AP101" t="s">
        <v>1999</v>
      </c>
      <c r="AQ101" t="s">
        <v>2000</v>
      </c>
      <c r="AR101" t="s">
        <v>2001</v>
      </c>
      <c r="AY101" s="5">
        <v>1812.9</v>
      </c>
      <c r="AZ101" s="5">
        <v>0</v>
      </c>
      <c r="BA101">
        <v>1</v>
      </c>
      <c r="BB101" t="s">
        <v>204</v>
      </c>
      <c r="BC101" t="s">
        <v>2002</v>
      </c>
      <c r="BD101" t="s">
        <v>1761</v>
      </c>
      <c r="BE101" t="s">
        <v>81</v>
      </c>
      <c r="BF101" t="s">
        <v>82</v>
      </c>
      <c r="BG101" t="s">
        <v>2003</v>
      </c>
      <c r="BH101" s="6" t="s">
        <v>83</v>
      </c>
      <c r="BK101">
        <v>3</v>
      </c>
      <c r="BL101">
        <v>3</v>
      </c>
      <c r="BM101" t="s">
        <v>101</v>
      </c>
      <c r="BN101" s="3" t="s">
        <v>2004</v>
      </c>
      <c r="BO101" s="5">
        <v>1428.42</v>
      </c>
      <c r="BP101" s="5">
        <v>1812.9</v>
      </c>
      <c r="BQ101" s="34">
        <v>0.30370225384742677</v>
      </c>
    </row>
    <row r="102" spans="1:69" x14ac:dyDescent="0.3">
      <c r="A102" s="3" t="s">
        <v>2268</v>
      </c>
      <c r="B102" t="s">
        <v>67</v>
      </c>
      <c r="C102" t="s">
        <v>132</v>
      </c>
      <c r="D102" t="s">
        <v>1293</v>
      </c>
      <c r="E102" t="s">
        <v>1294</v>
      </c>
      <c r="F102" t="s">
        <v>154</v>
      </c>
      <c r="G102" t="s">
        <v>155</v>
      </c>
      <c r="H102" t="s">
        <v>73</v>
      </c>
      <c r="I102" t="s">
        <v>2269</v>
      </c>
      <c r="J102" s="4">
        <v>45861</v>
      </c>
      <c r="K102" s="4">
        <v>46226</v>
      </c>
      <c r="L102" s="5">
        <v>10000</v>
      </c>
      <c r="M102" s="5">
        <v>10534.08</v>
      </c>
      <c r="N102">
        <v>28</v>
      </c>
      <c r="O102" t="s">
        <v>1061</v>
      </c>
      <c r="P102">
        <v>12</v>
      </c>
      <c r="Q102" t="s">
        <v>75</v>
      </c>
      <c r="R102">
        <v>1702.69</v>
      </c>
      <c r="S102">
        <v>696</v>
      </c>
      <c r="T102" s="5">
        <v>580</v>
      </c>
      <c r="U102" s="5">
        <v>0</v>
      </c>
      <c r="V102">
        <v>1</v>
      </c>
      <c r="W102" s="5">
        <v>7900.56</v>
      </c>
      <c r="X102" s="5">
        <v>2281.77</v>
      </c>
      <c r="Y102" s="5">
        <v>877.84</v>
      </c>
      <c r="Z102" s="5">
        <v>766.85</v>
      </c>
      <c r="AA102" s="5">
        <v>57.08</v>
      </c>
      <c r="AB102" s="5">
        <v>580</v>
      </c>
      <c r="AC102" s="5">
        <v>1703</v>
      </c>
      <c r="AD102" s="4">
        <v>45953</v>
      </c>
      <c r="AE102" t="s">
        <v>76</v>
      </c>
      <c r="AF102">
        <v>4472156039</v>
      </c>
      <c r="AG102" t="s">
        <v>2270</v>
      </c>
      <c r="AI102" t="s">
        <v>126</v>
      </c>
      <c r="AJ102">
        <v>9501009</v>
      </c>
      <c r="AM102" t="s">
        <v>2271</v>
      </c>
      <c r="AN102" t="s">
        <v>2272</v>
      </c>
      <c r="AO102" t="s">
        <v>2273</v>
      </c>
      <c r="AP102" t="s">
        <v>2274</v>
      </c>
      <c r="AQ102" t="s">
        <v>2275</v>
      </c>
      <c r="AR102" t="s">
        <v>2276</v>
      </c>
      <c r="AY102" s="5">
        <v>15439.3</v>
      </c>
      <c r="AZ102" s="5">
        <v>0</v>
      </c>
      <c r="BA102">
        <v>1</v>
      </c>
      <c r="BB102" t="s">
        <v>204</v>
      </c>
      <c r="BC102" t="s">
        <v>2277</v>
      </c>
      <c r="BD102" t="s">
        <v>2278</v>
      </c>
      <c r="BE102" t="s">
        <v>149</v>
      </c>
      <c r="BF102" t="s">
        <v>132</v>
      </c>
      <c r="BG102" t="s">
        <v>2279</v>
      </c>
      <c r="BH102" s="6" t="s">
        <v>83</v>
      </c>
      <c r="BK102">
        <v>1</v>
      </c>
      <c r="BL102">
        <v>1</v>
      </c>
      <c r="BM102" t="s">
        <v>101</v>
      </c>
      <c r="BN102" s="3" t="s">
        <v>2280</v>
      </c>
      <c r="BO102" s="5">
        <v>7900.56</v>
      </c>
      <c r="BP102" s="5">
        <v>15439.3</v>
      </c>
      <c r="BQ102" s="34">
        <v>0.14778973139973961</v>
      </c>
    </row>
    <row r="103" spans="1:69" x14ac:dyDescent="0.3">
      <c r="A103" s="3" t="s">
        <v>1844</v>
      </c>
      <c r="B103" t="s">
        <v>67</v>
      </c>
      <c r="C103" t="s">
        <v>189</v>
      </c>
      <c r="D103" t="s">
        <v>276</v>
      </c>
      <c r="E103" t="s">
        <v>277</v>
      </c>
      <c r="F103" t="s">
        <v>192</v>
      </c>
      <c r="G103" t="s">
        <v>193</v>
      </c>
      <c r="H103" t="s">
        <v>73</v>
      </c>
      <c r="I103" t="s">
        <v>1845</v>
      </c>
      <c r="J103" s="4">
        <v>45862</v>
      </c>
      <c r="K103" s="4">
        <v>46046</v>
      </c>
      <c r="L103" s="5">
        <v>10000</v>
      </c>
      <c r="M103" s="5">
        <v>10534.08</v>
      </c>
      <c r="N103">
        <v>28</v>
      </c>
      <c r="O103" t="s">
        <v>1061</v>
      </c>
      <c r="P103">
        <v>6</v>
      </c>
      <c r="Q103" t="s">
        <v>75</v>
      </c>
      <c r="R103">
        <v>2586.83</v>
      </c>
      <c r="S103">
        <v>348</v>
      </c>
      <c r="T103" s="5">
        <v>580</v>
      </c>
      <c r="U103" s="5">
        <v>0</v>
      </c>
      <c r="V103">
        <v>1</v>
      </c>
      <c r="W103" s="5">
        <v>5267.04</v>
      </c>
      <c r="X103" s="5">
        <v>3166.34</v>
      </c>
      <c r="Y103" s="5">
        <v>1755.68</v>
      </c>
      <c r="Z103" s="5">
        <v>773.16</v>
      </c>
      <c r="AA103" s="5">
        <v>57.5</v>
      </c>
      <c r="AB103" s="5">
        <v>580</v>
      </c>
      <c r="AC103" s="5">
        <v>3164</v>
      </c>
      <c r="AD103" s="4">
        <v>45968</v>
      </c>
      <c r="AE103" t="s">
        <v>76</v>
      </c>
      <c r="AF103">
        <v>7223143189</v>
      </c>
      <c r="AG103" t="s">
        <v>1846</v>
      </c>
      <c r="AI103" t="s">
        <v>1847</v>
      </c>
      <c r="AJ103">
        <v>8719017</v>
      </c>
      <c r="AM103" t="s">
        <v>1848</v>
      </c>
      <c r="AN103" t="s">
        <v>1849</v>
      </c>
      <c r="AO103" t="s">
        <v>1850</v>
      </c>
      <c r="AP103" t="s">
        <v>1851</v>
      </c>
      <c r="AQ103" t="s">
        <v>1852</v>
      </c>
      <c r="AR103" t="s">
        <v>1853</v>
      </c>
      <c r="AY103" s="5">
        <v>8224.01</v>
      </c>
      <c r="AZ103" s="5">
        <v>0</v>
      </c>
      <c r="BA103">
        <v>1</v>
      </c>
      <c r="BB103" t="s">
        <v>204</v>
      </c>
      <c r="BC103" t="s">
        <v>1854</v>
      </c>
      <c r="BD103" t="s">
        <v>260</v>
      </c>
      <c r="BE103" t="s">
        <v>81</v>
      </c>
      <c r="BF103" t="s">
        <v>260</v>
      </c>
      <c r="BG103" t="s">
        <v>1855</v>
      </c>
      <c r="BH103" s="6" t="s">
        <v>83</v>
      </c>
      <c r="BK103">
        <v>2</v>
      </c>
      <c r="BL103">
        <v>2</v>
      </c>
      <c r="BM103" t="s">
        <v>101</v>
      </c>
      <c r="BN103" s="3" t="s">
        <v>1856</v>
      </c>
      <c r="BO103" s="5">
        <v>5267.04</v>
      </c>
      <c r="BP103" s="5">
        <v>8224.01</v>
      </c>
      <c r="BQ103" s="34">
        <v>0.38501169137683439</v>
      </c>
    </row>
    <row r="104" spans="1:69" x14ac:dyDescent="0.3">
      <c r="A104" s="3" t="s">
        <v>890</v>
      </c>
      <c r="B104" t="s">
        <v>67</v>
      </c>
      <c r="C104" t="s">
        <v>536</v>
      </c>
      <c r="D104" t="s">
        <v>891</v>
      </c>
      <c r="E104" t="s">
        <v>892</v>
      </c>
      <c r="F104" t="s">
        <v>154</v>
      </c>
      <c r="G104" t="s">
        <v>155</v>
      </c>
      <c r="H104" t="s">
        <v>73</v>
      </c>
      <c r="I104" t="s">
        <v>893</v>
      </c>
      <c r="J104" s="4">
        <v>45803</v>
      </c>
      <c r="K104" s="4">
        <v>46168</v>
      </c>
      <c r="L104" s="5">
        <v>15000</v>
      </c>
      <c r="M104" s="5">
        <v>15801.12</v>
      </c>
      <c r="N104">
        <v>26</v>
      </c>
      <c r="O104" t="s">
        <v>1061</v>
      </c>
      <c r="P104">
        <v>12</v>
      </c>
      <c r="Q104" t="s">
        <v>75</v>
      </c>
      <c r="R104">
        <v>2525.04</v>
      </c>
      <c r="S104">
        <v>696</v>
      </c>
      <c r="T104" s="5">
        <v>822.15</v>
      </c>
      <c r="U104" s="5">
        <v>0</v>
      </c>
      <c r="V104">
        <v>1</v>
      </c>
      <c r="W104" s="5">
        <v>9217.32</v>
      </c>
      <c r="X104" s="5">
        <v>3289.19</v>
      </c>
      <c r="Y104" s="5">
        <v>1316.76</v>
      </c>
      <c r="Z104" s="5">
        <v>1150.28</v>
      </c>
      <c r="AA104" s="5">
        <v>0</v>
      </c>
      <c r="AB104" s="5">
        <v>822.15</v>
      </c>
      <c r="AC104" s="5">
        <v>1000</v>
      </c>
      <c r="AD104" s="4">
        <v>46010</v>
      </c>
      <c r="AE104" t="s">
        <v>76</v>
      </c>
      <c r="AF104">
        <v>7121830408</v>
      </c>
      <c r="AG104" t="s">
        <v>894</v>
      </c>
      <c r="AI104" t="s">
        <v>295</v>
      </c>
      <c r="AJ104">
        <v>8712011</v>
      </c>
      <c r="AM104" t="s">
        <v>895</v>
      </c>
      <c r="AN104" t="s">
        <v>896</v>
      </c>
      <c r="AO104" t="s">
        <v>897</v>
      </c>
      <c r="AP104" t="s">
        <v>898</v>
      </c>
      <c r="AQ104" t="s">
        <v>899</v>
      </c>
      <c r="AR104" t="s">
        <v>900</v>
      </c>
      <c r="AY104" s="5">
        <v>18091.41</v>
      </c>
      <c r="AZ104" s="5">
        <v>0</v>
      </c>
      <c r="BA104">
        <v>1</v>
      </c>
      <c r="BB104" t="s">
        <v>204</v>
      </c>
      <c r="BC104" t="s">
        <v>901</v>
      </c>
      <c r="BD104" t="s">
        <v>902</v>
      </c>
      <c r="BE104" t="s">
        <v>81</v>
      </c>
      <c r="BF104" t="s">
        <v>536</v>
      </c>
      <c r="BH104" s="6" t="s">
        <v>83</v>
      </c>
      <c r="BK104">
        <v>5</v>
      </c>
      <c r="BL104">
        <v>5</v>
      </c>
      <c r="BM104" t="s">
        <v>101</v>
      </c>
      <c r="BN104" s="3" t="s">
        <v>903</v>
      </c>
      <c r="BO104" s="5">
        <v>9217.32</v>
      </c>
      <c r="BP104" s="5">
        <v>18091.41</v>
      </c>
      <c r="BQ104" s="34">
        <v>0.18180948859154711</v>
      </c>
    </row>
    <row r="105" spans="1:69" x14ac:dyDescent="0.3">
      <c r="A105" s="3" t="s">
        <v>1550</v>
      </c>
      <c r="B105" t="s">
        <v>67</v>
      </c>
      <c r="C105" t="s">
        <v>104</v>
      </c>
      <c r="D105" t="s">
        <v>190</v>
      </c>
      <c r="E105" t="s">
        <v>191</v>
      </c>
      <c r="F105" t="s">
        <v>190</v>
      </c>
      <c r="G105" t="s">
        <v>191</v>
      </c>
      <c r="H105" t="s">
        <v>73</v>
      </c>
      <c r="I105" t="s">
        <v>1551</v>
      </c>
      <c r="J105" s="4">
        <v>45940</v>
      </c>
      <c r="K105" s="4">
        <v>45989</v>
      </c>
      <c r="L105" s="5">
        <v>10000</v>
      </c>
      <c r="M105" s="5">
        <v>10000</v>
      </c>
      <c r="N105">
        <v>24</v>
      </c>
      <c r="O105" t="s">
        <v>1061</v>
      </c>
      <c r="P105">
        <v>7</v>
      </c>
      <c r="Q105" t="s">
        <v>279</v>
      </c>
      <c r="R105">
        <v>1500</v>
      </c>
      <c r="S105">
        <v>0</v>
      </c>
      <c r="T105" s="5">
        <v>0</v>
      </c>
      <c r="U105" s="5">
        <v>7</v>
      </c>
      <c r="V105">
        <v>1</v>
      </c>
      <c r="W105" s="5">
        <v>1467.87</v>
      </c>
      <c r="X105" s="5">
        <v>1559.23</v>
      </c>
      <c r="Y105" s="5">
        <v>1467.87</v>
      </c>
      <c r="Z105" s="5">
        <v>91.36</v>
      </c>
      <c r="AA105" s="5">
        <v>0</v>
      </c>
      <c r="AB105" s="5">
        <v>0</v>
      </c>
      <c r="AC105" s="5">
        <v>1500</v>
      </c>
      <c r="AD105" s="4">
        <v>45976</v>
      </c>
      <c r="AE105" t="s">
        <v>76</v>
      </c>
      <c r="AF105">
        <v>7227581787</v>
      </c>
      <c r="AG105" t="s">
        <v>1552</v>
      </c>
      <c r="AI105" t="s">
        <v>370</v>
      </c>
      <c r="AJ105">
        <v>8944098</v>
      </c>
      <c r="AY105" s="5">
        <v>1559.23</v>
      </c>
      <c r="AZ105" s="5">
        <v>0</v>
      </c>
      <c r="BA105">
        <v>2</v>
      </c>
      <c r="BB105" t="s">
        <v>617</v>
      </c>
      <c r="BC105" t="s">
        <v>1553</v>
      </c>
      <c r="BD105" t="s">
        <v>1554</v>
      </c>
      <c r="BE105" t="s">
        <v>81</v>
      </c>
      <c r="BF105" t="s">
        <v>1555</v>
      </c>
      <c r="BH105" s="6" t="s">
        <v>83</v>
      </c>
      <c r="BK105">
        <v>5</v>
      </c>
      <c r="BL105">
        <v>4</v>
      </c>
      <c r="BM105" t="s">
        <v>84</v>
      </c>
      <c r="BN105" s="3" t="s">
        <v>1556</v>
      </c>
      <c r="BO105" s="5">
        <v>1467.87</v>
      </c>
      <c r="BP105" s="5">
        <v>1559.23</v>
      </c>
      <c r="BQ105" s="34">
        <v>1</v>
      </c>
    </row>
    <row r="106" spans="1:69" x14ac:dyDescent="0.3">
      <c r="A106" s="3" t="s">
        <v>1347</v>
      </c>
      <c r="B106" t="s">
        <v>67</v>
      </c>
      <c r="C106" t="s">
        <v>68</v>
      </c>
      <c r="D106" t="s">
        <v>410</v>
      </c>
      <c r="E106" t="s">
        <v>411</v>
      </c>
      <c r="F106" t="s">
        <v>173</v>
      </c>
      <c r="G106" t="s">
        <v>174</v>
      </c>
      <c r="H106" t="s">
        <v>73</v>
      </c>
      <c r="I106" t="s">
        <v>1348</v>
      </c>
      <c r="J106" s="4">
        <v>45805</v>
      </c>
      <c r="K106" s="4">
        <v>45989</v>
      </c>
      <c r="L106" s="5">
        <v>5000</v>
      </c>
      <c r="M106" s="5">
        <v>5267.04</v>
      </c>
      <c r="N106">
        <v>24</v>
      </c>
      <c r="O106" t="s">
        <v>1061</v>
      </c>
      <c r="P106">
        <v>6</v>
      </c>
      <c r="Q106" t="s">
        <v>75</v>
      </c>
      <c r="R106">
        <v>1322.42</v>
      </c>
      <c r="S106">
        <v>348</v>
      </c>
      <c r="T106" s="5">
        <v>580</v>
      </c>
      <c r="U106" s="5">
        <v>0</v>
      </c>
      <c r="V106">
        <v>0.5</v>
      </c>
      <c r="W106" s="5">
        <v>607.5</v>
      </c>
      <c r="X106" s="5">
        <v>1187.5</v>
      </c>
      <c r="Y106" s="5">
        <v>607.5</v>
      </c>
      <c r="Z106" s="5">
        <v>0</v>
      </c>
      <c r="AA106" s="5">
        <v>0</v>
      </c>
      <c r="AB106" s="5">
        <v>580</v>
      </c>
      <c r="AC106" s="5">
        <v>2600</v>
      </c>
      <c r="AD106" s="4">
        <v>46006</v>
      </c>
      <c r="AE106" t="s">
        <v>76</v>
      </c>
      <c r="AF106">
        <v>7224250483</v>
      </c>
      <c r="AG106" t="s">
        <v>1349</v>
      </c>
      <c r="AI106" t="s">
        <v>459</v>
      </c>
      <c r="AJ106">
        <v>6131023</v>
      </c>
      <c r="AM106" t="s">
        <v>1350</v>
      </c>
      <c r="AN106" t="s">
        <v>1351</v>
      </c>
      <c r="AO106" t="s">
        <v>1352</v>
      </c>
      <c r="AP106" t="s">
        <v>1353</v>
      </c>
      <c r="AQ106" t="s">
        <v>1354</v>
      </c>
      <c r="AR106" t="s">
        <v>1355</v>
      </c>
      <c r="AY106" s="5">
        <v>1187.5</v>
      </c>
      <c r="AZ106" s="5">
        <v>0</v>
      </c>
      <c r="BA106">
        <v>1</v>
      </c>
      <c r="BB106" t="s">
        <v>204</v>
      </c>
      <c r="BC106" t="s">
        <v>1356</v>
      </c>
      <c r="BD106" t="s">
        <v>100</v>
      </c>
      <c r="BE106" t="s">
        <v>81</v>
      </c>
      <c r="BF106" t="s">
        <v>82</v>
      </c>
      <c r="BH106" s="6" t="s">
        <v>83</v>
      </c>
      <c r="BK106">
        <v>4</v>
      </c>
      <c r="BL106">
        <v>4</v>
      </c>
      <c r="BM106" t="s">
        <v>101</v>
      </c>
      <c r="BN106" s="3" t="s">
        <v>1357</v>
      </c>
      <c r="BO106" s="5">
        <v>607.5</v>
      </c>
      <c r="BP106" s="5">
        <v>1187.5</v>
      </c>
      <c r="BQ106" s="34">
        <v>1</v>
      </c>
    </row>
    <row r="107" spans="1:69" x14ac:dyDescent="0.3">
      <c r="A107" s="3" t="s">
        <v>2690</v>
      </c>
      <c r="B107" t="s">
        <v>67</v>
      </c>
      <c r="C107" t="s">
        <v>536</v>
      </c>
      <c r="D107" t="s">
        <v>568</v>
      </c>
      <c r="E107" t="s">
        <v>569</v>
      </c>
      <c r="F107" t="s">
        <v>154</v>
      </c>
      <c r="G107" t="s">
        <v>155</v>
      </c>
      <c r="H107" t="s">
        <v>73</v>
      </c>
      <c r="I107" t="s">
        <v>2691</v>
      </c>
      <c r="J107" s="4">
        <v>45839</v>
      </c>
      <c r="K107" s="4">
        <v>46204</v>
      </c>
      <c r="L107" s="5">
        <v>20000</v>
      </c>
      <c r="M107" s="5">
        <v>21068.16</v>
      </c>
      <c r="N107">
        <v>21</v>
      </c>
      <c r="O107" t="s">
        <v>1061</v>
      </c>
      <c r="P107">
        <v>12</v>
      </c>
      <c r="Q107" t="s">
        <v>75</v>
      </c>
      <c r="R107">
        <v>3347.38</v>
      </c>
      <c r="S107">
        <v>696</v>
      </c>
      <c r="T107" s="5">
        <v>0</v>
      </c>
      <c r="U107" s="5">
        <v>0</v>
      </c>
      <c r="V107">
        <v>0.6</v>
      </c>
      <c r="W107" s="5">
        <v>14045.44</v>
      </c>
      <c r="X107" s="5">
        <v>1901.54</v>
      </c>
      <c r="Y107" s="5">
        <v>1755.68</v>
      </c>
      <c r="Z107" s="5">
        <v>145.86000000000001</v>
      </c>
      <c r="AA107" s="5">
        <v>0</v>
      </c>
      <c r="AB107" s="5">
        <v>0</v>
      </c>
      <c r="AC107" s="5">
        <v>2000</v>
      </c>
      <c r="AD107" s="4">
        <v>46010</v>
      </c>
      <c r="AE107" t="s">
        <v>76</v>
      </c>
      <c r="AF107">
        <v>7122924932</v>
      </c>
      <c r="AG107" t="s">
        <v>2692</v>
      </c>
      <c r="AI107" t="s">
        <v>251</v>
      </c>
      <c r="AJ107">
        <v>131011</v>
      </c>
      <c r="AK107" t="s">
        <v>2693</v>
      </c>
      <c r="AL107" t="s">
        <v>2694</v>
      </c>
      <c r="AM107" t="s">
        <v>2695</v>
      </c>
      <c r="AN107" t="s">
        <v>2696</v>
      </c>
      <c r="AO107" t="s">
        <v>2697</v>
      </c>
      <c r="AP107" t="s">
        <v>2698</v>
      </c>
      <c r="AQ107" t="s">
        <v>2699</v>
      </c>
      <c r="AR107" t="s">
        <v>2700</v>
      </c>
      <c r="AY107" s="5">
        <v>24927.22</v>
      </c>
      <c r="AZ107" s="5">
        <v>0</v>
      </c>
      <c r="BA107">
        <v>1</v>
      </c>
      <c r="BB107" t="s">
        <v>204</v>
      </c>
      <c r="BC107" t="s">
        <v>2701</v>
      </c>
      <c r="BD107" t="s">
        <v>2702</v>
      </c>
      <c r="BE107" t="s">
        <v>81</v>
      </c>
      <c r="BF107" t="s">
        <v>536</v>
      </c>
      <c r="BG107" t="s">
        <v>2703</v>
      </c>
      <c r="BH107" s="6" t="s">
        <v>83</v>
      </c>
      <c r="BK107">
        <v>3</v>
      </c>
      <c r="BL107">
        <v>2</v>
      </c>
      <c r="BM107" t="s">
        <v>101</v>
      </c>
      <c r="BN107" s="3" t="s">
        <v>2704</v>
      </c>
      <c r="BO107" s="5">
        <v>14045.44</v>
      </c>
      <c r="BP107" s="5">
        <v>24927.22</v>
      </c>
      <c r="BQ107" s="34">
        <v>7.6283677040600587E-2</v>
      </c>
    </row>
    <row r="108" spans="1:69" x14ac:dyDescent="0.3">
      <c r="A108" s="3" t="s">
        <v>2635</v>
      </c>
      <c r="B108" t="s">
        <v>67</v>
      </c>
      <c r="C108" t="s">
        <v>536</v>
      </c>
      <c r="D108" t="s">
        <v>1277</v>
      </c>
      <c r="E108" t="s">
        <v>1278</v>
      </c>
      <c r="F108" t="s">
        <v>173</v>
      </c>
      <c r="G108" t="s">
        <v>174</v>
      </c>
      <c r="H108" t="s">
        <v>175</v>
      </c>
      <c r="I108" t="s">
        <v>2636</v>
      </c>
      <c r="J108" s="4">
        <v>45961</v>
      </c>
      <c r="K108" s="4">
        <v>46143</v>
      </c>
      <c r="L108" s="5">
        <v>25000</v>
      </c>
      <c r="M108" s="5">
        <v>26335.19</v>
      </c>
      <c r="N108">
        <v>21</v>
      </c>
      <c r="O108" t="s">
        <v>1061</v>
      </c>
      <c r="P108">
        <v>6</v>
      </c>
      <c r="Q108" t="s">
        <v>75</v>
      </c>
      <c r="R108">
        <v>6359.07</v>
      </c>
      <c r="S108">
        <v>348</v>
      </c>
      <c r="T108" s="5">
        <v>580</v>
      </c>
      <c r="U108" s="5">
        <v>0</v>
      </c>
      <c r="V108">
        <v>1</v>
      </c>
      <c r="W108" s="5">
        <v>26335.19</v>
      </c>
      <c r="X108" s="5">
        <v>6939.0783000000001</v>
      </c>
      <c r="Y108" s="5">
        <v>4389.2</v>
      </c>
      <c r="Z108" s="5">
        <v>1911.88</v>
      </c>
      <c r="AA108" s="5">
        <v>58</v>
      </c>
      <c r="AB108" s="5">
        <v>580</v>
      </c>
      <c r="AC108" s="5"/>
      <c r="AD108" s="4"/>
      <c r="AE108" t="s">
        <v>76</v>
      </c>
      <c r="AF108">
        <v>7122511512</v>
      </c>
      <c r="AG108" t="s">
        <v>2637</v>
      </c>
      <c r="AI108" t="s">
        <v>1210</v>
      </c>
      <c r="AJ108">
        <v>9213018</v>
      </c>
      <c r="AM108" t="s">
        <v>2638</v>
      </c>
      <c r="AN108" t="s">
        <v>2639</v>
      </c>
      <c r="AO108" t="s">
        <v>2640</v>
      </c>
      <c r="AP108" t="s">
        <v>2641</v>
      </c>
      <c r="AQ108" t="s">
        <v>2642</v>
      </c>
      <c r="AR108" t="s">
        <v>2643</v>
      </c>
      <c r="AY108" s="5">
        <v>38444.449999999997</v>
      </c>
      <c r="AZ108" s="5">
        <v>0</v>
      </c>
      <c r="BA108">
        <v>1</v>
      </c>
      <c r="BB108" t="s">
        <v>204</v>
      </c>
      <c r="BC108" t="s">
        <v>2644</v>
      </c>
      <c r="BD108" t="s">
        <v>2645</v>
      </c>
      <c r="BE108" t="s">
        <v>81</v>
      </c>
      <c r="BF108" t="s">
        <v>2646</v>
      </c>
      <c r="BH108" s="6" t="s">
        <v>83</v>
      </c>
      <c r="BK108">
        <v>1</v>
      </c>
      <c r="BL108">
        <v>1</v>
      </c>
      <c r="BM108" t="s">
        <v>101</v>
      </c>
      <c r="BN108" s="3" t="s">
        <v>2647</v>
      </c>
      <c r="BO108" s="5">
        <v>26335.19</v>
      </c>
      <c r="BP108" s="5">
        <v>38444.449999999997</v>
      </c>
      <c r="BQ108" s="34">
        <v>0.18049623027511119</v>
      </c>
    </row>
    <row r="109" spans="1:69" x14ac:dyDescent="0.3">
      <c r="A109" s="3" t="s">
        <v>1440</v>
      </c>
      <c r="B109" t="s">
        <v>67</v>
      </c>
      <c r="C109" t="s">
        <v>68</v>
      </c>
      <c r="D109" t="s">
        <v>335</v>
      </c>
      <c r="E109" t="s">
        <v>336</v>
      </c>
      <c r="F109" t="s">
        <v>608</v>
      </c>
      <c r="G109" t="s">
        <v>609</v>
      </c>
      <c r="H109" t="s">
        <v>73</v>
      </c>
      <c r="I109" t="s">
        <v>1441</v>
      </c>
      <c r="J109" s="4">
        <v>45810</v>
      </c>
      <c r="K109" s="4">
        <v>45993</v>
      </c>
      <c r="L109" s="5">
        <v>7000</v>
      </c>
      <c r="M109" s="5">
        <v>7373.85</v>
      </c>
      <c r="N109">
        <v>20</v>
      </c>
      <c r="O109" t="s">
        <v>1061</v>
      </c>
      <c r="P109">
        <v>6</v>
      </c>
      <c r="Q109" t="s">
        <v>75</v>
      </c>
      <c r="R109">
        <v>1825.24</v>
      </c>
      <c r="S109">
        <v>348</v>
      </c>
      <c r="T109" s="5">
        <v>0</v>
      </c>
      <c r="U109" s="5">
        <v>0</v>
      </c>
      <c r="V109">
        <v>0.3</v>
      </c>
      <c r="W109" s="5">
        <v>580.01</v>
      </c>
      <c r="X109" s="5">
        <v>580.01</v>
      </c>
      <c r="Y109" s="5">
        <v>580.01</v>
      </c>
      <c r="Z109" s="5">
        <v>0</v>
      </c>
      <c r="AA109" s="5">
        <v>0</v>
      </c>
      <c r="AB109" s="5">
        <v>0</v>
      </c>
      <c r="AC109" s="5">
        <v>1825.24</v>
      </c>
      <c r="AD109" s="4">
        <v>45994</v>
      </c>
      <c r="AE109" t="s">
        <v>76</v>
      </c>
      <c r="AF109">
        <v>7291110998</v>
      </c>
      <c r="AG109" t="s">
        <v>1442</v>
      </c>
      <c r="AI109" t="s">
        <v>158</v>
      </c>
      <c r="AJ109">
        <v>8711021</v>
      </c>
      <c r="AK109" t="s">
        <v>1443</v>
      </c>
      <c r="AL109" t="s">
        <v>1444</v>
      </c>
      <c r="AM109" t="s">
        <v>1445</v>
      </c>
      <c r="AN109" t="s">
        <v>1446</v>
      </c>
      <c r="AO109" t="s">
        <v>1447</v>
      </c>
      <c r="AP109" t="s">
        <v>1448</v>
      </c>
      <c r="AQ109" t="s">
        <v>1449</v>
      </c>
      <c r="AR109" t="s">
        <v>1450</v>
      </c>
      <c r="AY109" s="5">
        <v>580.01</v>
      </c>
      <c r="AZ109" s="5">
        <v>0</v>
      </c>
      <c r="BA109">
        <v>1</v>
      </c>
      <c r="BB109" t="s">
        <v>204</v>
      </c>
      <c r="BC109" t="s">
        <v>1451</v>
      </c>
      <c r="BD109" t="s">
        <v>1075</v>
      </c>
      <c r="BE109" t="s">
        <v>81</v>
      </c>
      <c r="BF109" t="s">
        <v>82</v>
      </c>
      <c r="BH109" s="6" t="s">
        <v>83</v>
      </c>
      <c r="BK109">
        <v>1</v>
      </c>
      <c r="BL109">
        <v>1</v>
      </c>
      <c r="BM109" t="s">
        <v>101</v>
      </c>
      <c r="BN109" s="3" t="s">
        <v>1452</v>
      </c>
      <c r="BO109" s="5">
        <v>580.01</v>
      </c>
      <c r="BP109" s="5">
        <v>580.01</v>
      </c>
      <c r="BQ109" s="34">
        <v>1</v>
      </c>
    </row>
    <row r="110" spans="1:69" x14ac:dyDescent="0.3">
      <c r="A110" s="3" t="s">
        <v>1480</v>
      </c>
      <c r="B110" t="s">
        <v>67</v>
      </c>
      <c r="C110" t="s">
        <v>536</v>
      </c>
      <c r="D110" t="s">
        <v>537</v>
      </c>
      <c r="E110" t="s">
        <v>538</v>
      </c>
      <c r="F110" t="s">
        <v>154</v>
      </c>
      <c r="G110" t="s">
        <v>155</v>
      </c>
      <c r="H110" t="s">
        <v>73</v>
      </c>
      <c r="I110" t="s">
        <v>1481</v>
      </c>
      <c r="J110" s="4">
        <v>45873</v>
      </c>
      <c r="K110" s="4">
        <v>46238</v>
      </c>
      <c r="L110" s="5">
        <v>20000</v>
      </c>
      <c r="M110" s="5">
        <v>21068.16</v>
      </c>
      <c r="N110">
        <v>18</v>
      </c>
      <c r="O110" t="s">
        <v>1061</v>
      </c>
      <c r="P110">
        <v>12</v>
      </c>
      <c r="Q110" t="s">
        <v>75</v>
      </c>
      <c r="R110">
        <v>3347.38</v>
      </c>
      <c r="S110">
        <v>696</v>
      </c>
      <c r="T110" s="5">
        <v>580</v>
      </c>
      <c r="U110" s="5">
        <v>0</v>
      </c>
      <c r="V110">
        <v>1</v>
      </c>
      <c r="W110" s="5">
        <v>15801.12</v>
      </c>
      <c r="X110" s="5">
        <v>3926.5341013333332</v>
      </c>
      <c r="Y110" s="5">
        <v>1755.68</v>
      </c>
      <c r="Z110" s="5">
        <v>1533.7</v>
      </c>
      <c r="AA110" s="5">
        <v>57.15</v>
      </c>
      <c r="AB110" s="5">
        <v>580</v>
      </c>
      <c r="AC110" s="5">
        <v>3928</v>
      </c>
      <c r="AD110" s="4">
        <v>45982</v>
      </c>
      <c r="AE110" t="s">
        <v>76</v>
      </c>
      <c r="AF110">
        <v>7226431992</v>
      </c>
      <c r="AG110" t="s">
        <v>1482</v>
      </c>
      <c r="AI110" t="s">
        <v>1483</v>
      </c>
      <c r="AJ110">
        <v>2419069</v>
      </c>
      <c r="AK110" t="s">
        <v>1484</v>
      </c>
      <c r="AM110" t="s">
        <v>1485</v>
      </c>
      <c r="AN110" t="s">
        <v>1486</v>
      </c>
      <c r="AO110" t="s">
        <v>1487</v>
      </c>
      <c r="AP110" t="s">
        <v>1488</v>
      </c>
      <c r="AQ110" t="s">
        <v>1489</v>
      </c>
      <c r="AR110" t="s">
        <v>1490</v>
      </c>
      <c r="AY110" s="5">
        <v>30241.599999999999</v>
      </c>
      <c r="AZ110" s="5">
        <v>0</v>
      </c>
      <c r="BA110">
        <v>1</v>
      </c>
      <c r="BB110" t="s">
        <v>204</v>
      </c>
      <c r="BC110" t="s">
        <v>1491</v>
      </c>
      <c r="BD110" t="s">
        <v>1492</v>
      </c>
      <c r="BE110" t="s">
        <v>81</v>
      </c>
      <c r="BF110" t="s">
        <v>536</v>
      </c>
      <c r="BG110" t="s">
        <v>1493</v>
      </c>
      <c r="BH110" s="6" t="s">
        <v>83</v>
      </c>
      <c r="BK110">
        <v>4</v>
      </c>
      <c r="BL110">
        <v>4</v>
      </c>
      <c r="BM110" t="s">
        <v>101</v>
      </c>
      <c r="BN110" s="3" t="s">
        <v>1494</v>
      </c>
      <c r="BO110" s="5">
        <v>15801.12</v>
      </c>
      <c r="BP110" s="5">
        <v>30241.599999999999</v>
      </c>
      <c r="BQ110" s="34">
        <v>0.129838834629561</v>
      </c>
    </row>
    <row r="111" spans="1:69" x14ac:dyDescent="0.3">
      <c r="A111" s="3" t="s">
        <v>1536</v>
      </c>
      <c r="B111" t="s">
        <v>67</v>
      </c>
      <c r="C111" t="s">
        <v>189</v>
      </c>
      <c r="D111" t="s">
        <v>353</v>
      </c>
      <c r="E111" t="s">
        <v>354</v>
      </c>
      <c r="F111" t="s">
        <v>192</v>
      </c>
      <c r="G111" t="s">
        <v>193</v>
      </c>
      <c r="H111" t="s">
        <v>73</v>
      </c>
      <c r="I111" t="s">
        <v>1537</v>
      </c>
      <c r="J111" s="4">
        <v>45876</v>
      </c>
      <c r="K111" s="4">
        <v>46241</v>
      </c>
      <c r="L111" s="5">
        <v>10000</v>
      </c>
      <c r="M111" s="5">
        <v>10534.08</v>
      </c>
      <c r="N111">
        <v>14</v>
      </c>
      <c r="O111" t="s">
        <v>1325</v>
      </c>
      <c r="P111">
        <v>12</v>
      </c>
      <c r="Q111" t="s">
        <v>75</v>
      </c>
      <c r="R111">
        <v>1702.69</v>
      </c>
      <c r="S111">
        <v>696</v>
      </c>
      <c r="T111" s="5">
        <v>580</v>
      </c>
      <c r="U111" s="5">
        <v>0</v>
      </c>
      <c r="V111">
        <v>1</v>
      </c>
      <c r="W111" s="5">
        <v>8659.49</v>
      </c>
      <c r="X111" s="5">
        <v>2274.77</v>
      </c>
      <c r="Y111" s="5">
        <v>1636.77</v>
      </c>
      <c r="Z111" s="5">
        <v>0</v>
      </c>
      <c r="AA111" s="5">
        <v>58</v>
      </c>
      <c r="AB111" s="5">
        <v>580</v>
      </c>
      <c r="AC111" s="5">
        <v>2290</v>
      </c>
      <c r="AD111" s="4">
        <v>45997</v>
      </c>
      <c r="AE111" t="s">
        <v>76</v>
      </c>
      <c r="AF111">
        <v>7295713281</v>
      </c>
      <c r="AG111" t="s">
        <v>1538</v>
      </c>
      <c r="AI111" t="s">
        <v>731</v>
      </c>
      <c r="AJ111">
        <v>6212013</v>
      </c>
      <c r="AK111" t="s">
        <v>1539</v>
      </c>
      <c r="AM111" t="s">
        <v>1540</v>
      </c>
      <c r="AN111" t="s">
        <v>1541</v>
      </c>
      <c r="AO111" t="s">
        <v>1542</v>
      </c>
      <c r="AP111" t="s">
        <v>1543</v>
      </c>
      <c r="AQ111" t="s">
        <v>1544</v>
      </c>
      <c r="AR111" t="s">
        <v>1545</v>
      </c>
      <c r="AY111" s="5">
        <v>15432.3</v>
      </c>
      <c r="AZ111" s="5">
        <v>0</v>
      </c>
      <c r="BA111">
        <v>1</v>
      </c>
      <c r="BB111" t="s">
        <v>204</v>
      </c>
      <c r="BC111" t="s">
        <v>1546</v>
      </c>
      <c r="BD111" t="s">
        <v>1547</v>
      </c>
      <c r="BE111" t="s">
        <v>81</v>
      </c>
      <c r="BF111" t="s">
        <v>189</v>
      </c>
      <c r="BG111" t="s">
        <v>1548</v>
      </c>
      <c r="BH111" s="6" t="s">
        <v>83</v>
      </c>
      <c r="BK111">
        <v>2</v>
      </c>
      <c r="BL111">
        <v>2</v>
      </c>
      <c r="BM111" t="s">
        <v>101</v>
      </c>
      <c r="BN111" s="3" t="s">
        <v>1549</v>
      </c>
      <c r="BO111" s="5">
        <v>8659.49</v>
      </c>
      <c r="BP111" s="5">
        <v>15432.3</v>
      </c>
      <c r="BQ111" s="34">
        <v>0.14740317386261281</v>
      </c>
    </row>
    <row r="112" spans="1:69" x14ac:dyDescent="0.3">
      <c r="A112" s="3" t="s">
        <v>1524</v>
      </c>
      <c r="B112" t="s">
        <v>67</v>
      </c>
      <c r="C112" t="s">
        <v>68</v>
      </c>
      <c r="D112" t="s">
        <v>190</v>
      </c>
      <c r="E112" t="s">
        <v>191</v>
      </c>
      <c r="F112" t="s">
        <v>173</v>
      </c>
      <c r="G112" t="s">
        <v>174</v>
      </c>
      <c r="H112" t="s">
        <v>73</v>
      </c>
      <c r="I112" t="s">
        <v>1525</v>
      </c>
      <c r="J112" s="4">
        <v>45784</v>
      </c>
      <c r="K112" s="4">
        <v>46149</v>
      </c>
      <c r="L112" s="5">
        <v>15000</v>
      </c>
      <c r="M112" s="5">
        <v>15801.12</v>
      </c>
      <c r="N112">
        <v>14</v>
      </c>
      <c r="O112" t="s">
        <v>1325</v>
      </c>
      <c r="P112">
        <v>12</v>
      </c>
      <c r="Q112" t="s">
        <v>75</v>
      </c>
      <c r="R112">
        <v>2525.04</v>
      </c>
      <c r="S112">
        <v>696</v>
      </c>
      <c r="T112" s="5">
        <v>0</v>
      </c>
      <c r="U112" s="5">
        <v>0</v>
      </c>
      <c r="V112">
        <v>0.2</v>
      </c>
      <c r="W112" s="5">
        <v>7113.06</v>
      </c>
      <c r="X112" s="5">
        <v>529.263508</v>
      </c>
      <c r="Y112" s="5">
        <v>529.26</v>
      </c>
      <c r="Z112" s="5">
        <v>0</v>
      </c>
      <c r="AA112" s="5">
        <v>0</v>
      </c>
      <c r="AB112" s="5">
        <v>0</v>
      </c>
      <c r="AC112" s="5">
        <v>2560</v>
      </c>
      <c r="AD112" s="4">
        <v>45999</v>
      </c>
      <c r="AE112" t="s">
        <v>76</v>
      </c>
      <c r="AF112">
        <v>7294965466</v>
      </c>
      <c r="AG112" t="s">
        <v>1526</v>
      </c>
      <c r="AI112" t="s">
        <v>1080</v>
      </c>
      <c r="AJ112">
        <v>6233019</v>
      </c>
      <c r="AM112" t="s">
        <v>1527</v>
      </c>
      <c r="AN112" t="s">
        <v>1528</v>
      </c>
      <c r="AO112" t="s">
        <v>1529</v>
      </c>
      <c r="AP112" t="s">
        <v>1530</v>
      </c>
      <c r="AQ112" t="s">
        <v>1531</v>
      </c>
      <c r="AR112" t="s">
        <v>1532</v>
      </c>
      <c r="AY112" s="5">
        <v>12864.45</v>
      </c>
      <c r="AZ112" s="5">
        <v>0</v>
      </c>
      <c r="BA112">
        <v>1</v>
      </c>
      <c r="BB112" t="s">
        <v>204</v>
      </c>
      <c r="BC112" t="s">
        <v>1533</v>
      </c>
      <c r="BD112" t="s">
        <v>1534</v>
      </c>
      <c r="BE112" t="s">
        <v>81</v>
      </c>
      <c r="BF112" t="s">
        <v>82</v>
      </c>
      <c r="BH112" s="6" t="s">
        <v>83</v>
      </c>
      <c r="BK112">
        <v>7</v>
      </c>
      <c r="BL112">
        <v>7</v>
      </c>
      <c r="BM112" t="s">
        <v>101</v>
      </c>
      <c r="BN112" s="3" t="s">
        <v>1535</v>
      </c>
      <c r="BO112" s="5">
        <v>7113.06</v>
      </c>
      <c r="BP112" s="5">
        <v>12864.45</v>
      </c>
      <c r="BQ112" s="34">
        <v>4.1141557392659622E-2</v>
      </c>
    </row>
    <row r="113" spans="1:69" x14ac:dyDescent="0.3">
      <c r="A113" s="3" t="s">
        <v>1028</v>
      </c>
      <c r="B113" t="s">
        <v>67</v>
      </c>
      <c r="C113" t="s">
        <v>68</v>
      </c>
      <c r="D113" t="s">
        <v>190</v>
      </c>
      <c r="E113" t="s">
        <v>191</v>
      </c>
      <c r="F113" t="s">
        <v>173</v>
      </c>
      <c r="G113" t="s">
        <v>174</v>
      </c>
      <c r="H113" t="s">
        <v>73</v>
      </c>
      <c r="I113" t="s">
        <v>1029</v>
      </c>
      <c r="J113" s="4">
        <v>45756</v>
      </c>
      <c r="K113" s="4">
        <v>46121</v>
      </c>
      <c r="L113" s="5">
        <v>30000</v>
      </c>
      <c r="M113" s="5">
        <v>31602.23</v>
      </c>
      <c r="N113">
        <v>13</v>
      </c>
      <c r="O113" t="s">
        <v>1325</v>
      </c>
      <c r="P113">
        <v>12</v>
      </c>
      <c r="Q113" t="s">
        <v>75</v>
      </c>
      <c r="R113">
        <v>4412.13</v>
      </c>
      <c r="S113">
        <v>696</v>
      </c>
      <c r="T113" s="5">
        <v>633.9</v>
      </c>
      <c r="U113" s="5">
        <v>0</v>
      </c>
      <c r="V113">
        <v>1</v>
      </c>
      <c r="W113" s="5">
        <v>13167.6</v>
      </c>
      <c r="X113" s="5">
        <v>4988.0333000000001</v>
      </c>
      <c r="Y113" s="5">
        <v>2633.52</v>
      </c>
      <c r="Z113" s="5">
        <v>1720.61</v>
      </c>
      <c r="AA113" s="5">
        <v>0</v>
      </c>
      <c r="AB113" s="5">
        <v>633.9</v>
      </c>
      <c r="AC113" s="5">
        <v>5344</v>
      </c>
      <c r="AD113" s="4">
        <v>46001</v>
      </c>
      <c r="AE113" t="s">
        <v>76</v>
      </c>
      <c r="AF113">
        <v>7224003355</v>
      </c>
      <c r="AG113" t="s">
        <v>1030</v>
      </c>
      <c r="AI113" t="s">
        <v>1031</v>
      </c>
      <c r="AJ113">
        <v>9800000</v>
      </c>
      <c r="AK113" t="s">
        <v>1032</v>
      </c>
      <c r="AL113" t="s">
        <v>1033</v>
      </c>
      <c r="AM113" t="s">
        <v>1034</v>
      </c>
      <c r="AN113" t="s">
        <v>1035</v>
      </c>
      <c r="AO113" t="s">
        <v>1036</v>
      </c>
      <c r="AP113" t="s">
        <v>1037</v>
      </c>
      <c r="AQ113" t="s">
        <v>1038</v>
      </c>
      <c r="AR113" t="s">
        <v>1039</v>
      </c>
      <c r="AS113" t="s">
        <v>144</v>
      </c>
      <c r="AT113" t="s">
        <v>1040</v>
      </c>
      <c r="AU113" t="s">
        <v>1041</v>
      </c>
      <c r="AY113" s="5">
        <v>22404.55</v>
      </c>
      <c r="AZ113" s="5">
        <v>0</v>
      </c>
      <c r="BA113">
        <v>1</v>
      </c>
      <c r="BB113" t="s">
        <v>204</v>
      </c>
      <c r="BC113" t="s">
        <v>1042</v>
      </c>
      <c r="BD113" t="s">
        <v>349</v>
      </c>
      <c r="BE113" t="s">
        <v>81</v>
      </c>
      <c r="BF113" t="s">
        <v>82</v>
      </c>
      <c r="BH113" s="6" t="s">
        <v>83</v>
      </c>
      <c r="BK113">
        <v>4</v>
      </c>
      <c r="BL113">
        <v>4</v>
      </c>
      <c r="BM113" t="s">
        <v>101</v>
      </c>
      <c r="BN113" s="3" t="s">
        <v>1043</v>
      </c>
      <c r="BO113" s="5">
        <v>13167.6</v>
      </c>
      <c r="BP113" s="5">
        <v>22404.55</v>
      </c>
      <c r="BQ113" s="34">
        <v>0.2226348353347869</v>
      </c>
    </row>
    <row r="114" spans="1:69" x14ac:dyDescent="0.3">
      <c r="A114" s="3" t="s">
        <v>1044</v>
      </c>
      <c r="B114" t="s">
        <v>67</v>
      </c>
      <c r="C114" t="s">
        <v>104</v>
      </c>
      <c r="D114" t="s">
        <v>795</v>
      </c>
      <c r="E114" t="s">
        <v>796</v>
      </c>
      <c r="F114" t="s">
        <v>424</v>
      </c>
      <c r="G114" t="s">
        <v>425</v>
      </c>
      <c r="H114" t="s">
        <v>73</v>
      </c>
      <c r="I114" t="s">
        <v>1045</v>
      </c>
      <c r="J114" s="4">
        <v>45817</v>
      </c>
      <c r="K114" s="4">
        <v>46182</v>
      </c>
      <c r="L114" s="5">
        <v>30000</v>
      </c>
      <c r="M114" s="5">
        <v>31602.23</v>
      </c>
      <c r="N114">
        <v>13</v>
      </c>
      <c r="O114" t="s">
        <v>1325</v>
      </c>
      <c r="P114">
        <v>12</v>
      </c>
      <c r="Q114" t="s">
        <v>75</v>
      </c>
      <c r="R114">
        <v>4992.07</v>
      </c>
      <c r="S114">
        <v>696</v>
      </c>
      <c r="T114" s="5">
        <v>580</v>
      </c>
      <c r="U114" s="5">
        <v>0</v>
      </c>
      <c r="V114">
        <v>1</v>
      </c>
      <c r="W114" s="5">
        <v>18434.63</v>
      </c>
      <c r="X114" s="5">
        <v>5571.4450000000006</v>
      </c>
      <c r="Y114" s="5">
        <v>2633.52</v>
      </c>
      <c r="Z114" s="5">
        <v>2300.56</v>
      </c>
      <c r="AA114" s="5">
        <v>57.37</v>
      </c>
      <c r="AB114" s="5">
        <v>580</v>
      </c>
      <c r="AC114" s="5">
        <v>5572</v>
      </c>
      <c r="AD114" s="4">
        <v>45979</v>
      </c>
      <c r="AE114" t="s">
        <v>76</v>
      </c>
      <c r="AF114">
        <v>7225655574</v>
      </c>
      <c r="AG114" t="s">
        <v>1046</v>
      </c>
      <c r="AI114" t="s">
        <v>158</v>
      </c>
      <c r="AJ114">
        <v>8711021</v>
      </c>
      <c r="AK114" t="s">
        <v>1047</v>
      </c>
      <c r="AL114" t="s">
        <v>1048</v>
      </c>
      <c r="AM114" t="s">
        <v>1049</v>
      </c>
      <c r="AN114" t="s">
        <v>1050</v>
      </c>
      <c r="AO114" t="s">
        <v>1051</v>
      </c>
      <c r="AP114" t="s">
        <v>1052</v>
      </c>
      <c r="AQ114" t="s">
        <v>1053</v>
      </c>
      <c r="AR114" t="s">
        <v>1054</v>
      </c>
      <c r="AY114" s="5">
        <v>35175.879999999997</v>
      </c>
      <c r="AZ114" s="5">
        <v>0</v>
      </c>
      <c r="BA114">
        <v>1</v>
      </c>
      <c r="BB114" t="s">
        <v>204</v>
      </c>
      <c r="BC114" t="s">
        <v>1055</v>
      </c>
      <c r="BD114" t="s">
        <v>1056</v>
      </c>
      <c r="BE114" t="s">
        <v>81</v>
      </c>
      <c r="BF114" t="s">
        <v>112</v>
      </c>
      <c r="BG114" t="s">
        <v>1057</v>
      </c>
      <c r="BH114" s="6" t="s">
        <v>83</v>
      </c>
      <c r="BK114">
        <v>4</v>
      </c>
      <c r="BL114">
        <v>4</v>
      </c>
      <c r="BM114" t="s">
        <v>101</v>
      </c>
      <c r="BN114" s="3" t="s">
        <v>1058</v>
      </c>
      <c r="BO114" s="5">
        <v>18434.63</v>
      </c>
      <c r="BP114" s="5">
        <v>35175.879999999997</v>
      </c>
      <c r="BQ114" s="34">
        <v>0.15838821942763059</v>
      </c>
    </row>
    <row r="115" spans="1:69" x14ac:dyDescent="0.3">
      <c r="A115" s="3" t="s">
        <v>1614</v>
      </c>
      <c r="B115" t="s">
        <v>67</v>
      </c>
      <c r="C115" t="s">
        <v>132</v>
      </c>
      <c r="D115" t="s">
        <v>190</v>
      </c>
      <c r="E115" t="s">
        <v>191</v>
      </c>
      <c r="F115" t="s">
        <v>608</v>
      </c>
      <c r="G115" t="s">
        <v>609</v>
      </c>
      <c r="H115" t="s">
        <v>175</v>
      </c>
      <c r="I115" t="s">
        <v>1615</v>
      </c>
      <c r="J115" s="4">
        <v>45848</v>
      </c>
      <c r="K115" s="4">
        <v>46213</v>
      </c>
      <c r="L115" s="5">
        <v>42000</v>
      </c>
      <c r="M115" s="5">
        <v>44243.13</v>
      </c>
      <c r="N115">
        <v>12</v>
      </c>
      <c r="O115" t="s">
        <v>1325</v>
      </c>
      <c r="P115">
        <v>12</v>
      </c>
      <c r="Q115" t="s">
        <v>75</v>
      </c>
      <c r="R115">
        <v>6153.78</v>
      </c>
      <c r="S115">
        <v>696</v>
      </c>
      <c r="T115" s="5">
        <v>580</v>
      </c>
      <c r="U115" s="5">
        <v>0</v>
      </c>
      <c r="V115">
        <v>1</v>
      </c>
      <c r="W115" s="5">
        <v>29495.42</v>
      </c>
      <c r="X115" s="5">
        <v>6732.9079106250001</v>
      </c>
      <c r="Y115" s="5">
        <v>3686.93</v>
      </c>
      <c r="Z115" s="5">
        <v>2408.85</v>
      </c>
      <c r="AA115" s="5">
        <v>57.13</v>
      </c>
      <c r="AB115" s="5">
        <v>580</v>
      </c>
      <c r="AC115" s="5">
        <v>6734</v>
      </c>
      <c r="AD115" s="4">
        <v>45973</v>
      </c>
      <c r="AE115" t="s">
        <v>76</v>
      </c>
      <c r="AF115">
        <v>4471294396</v>
      </c>
      <c r="AG115" t="s">
        <v>1616</v>
      </c>
      <c r="AI115" t="s">
        <v>211</v>
      </c>
      <c r="AJ115">
        <v>6211023</v>
      </c>
      <c r="AK115" t="s">
        <v>1617</v>
      </c>
      <c r="AM115" t="s">
        <v>1618</v>
      </c>
      <c r="AN115" t="s">
        <v>1619</v>
      </c>
      <c r="AO115" t="s">
        <v>1620</v>
      </c>
      <c r="AP115" t="s">
        <v>1621</v>
      </c>
      <c r="AQ115" t="s">
        <v>1622</v>
      </c>
      <c r="AR115" t="s">
        <v>1623</v>
      </c>
      <c r="AS115" t="s">
        <v>144</v>
      </c>
      <c r="AT115" t="s">
        <v>1624</v>
      </c>
      <c r="AU115" t="s">
        <v>1625</v>
      </c>
      <c r="AY115" s="5">
        <v>49403.38</v>
      </c>
      <c r="AZ115" s="5">
        <v>0</v>
      </c>
      <c r="BA115">
        <v>2</v>
      </c>
      <c r="BB115" t="s">
        <v>1507</v>
      </c>
      <c r="BC115" t="s">
        <v>1626</v>
      </c>
      <c r="BD115" t="s">
        <v>288</v>
      </c>
      <c r="BE115" t="s">
        <v>149</v>
      </c>
      <c r="BF115" t="s">
        <v>132</v>
      </c>
      <c r="BG115" t="s">
        <v>1627</v>
      </c>
      <c r="BH115" s="6" t="s">
        <v>83</v>
      </c>
      <c r="BK115">
        <v>3</v>
      </c>
      <c r="BL115">
        <v>2</v>
      </c>
      <c r="BM115" t="s">
        <v>101</v>
      </c>
      <c r="BN115" s="3" t="s">
        <v>1628</v>
      </c>
      <c r="BO115" s="5">
        <v>29495.42</v>
      </c>
      <c r="BP115" s="5">
        <v>49403.38</v>
      </c>
      <c r="BQ115" s="34">
        <v>0.13628435768210589</v>
      </c>
    </row>
    <row r="116" spans="1:69" x14ac:dyDescent="0.3">
      <c r="A116" s="3" t="s">
        <v>2552</v>
      </c>
      <c r="B116" t="s">
        <v>67</v>
      </c>
      <c r="C116" t="s">
        <v>104</v>
      </c>
      <c r="D116" t="s">
        <v>190</v>
      </c>
      <c r="E116" t="s">
        <v>191</v>
      </c>
      <c r="F116" t="s">
        <v>190</v>
      </c>
      <c r="G116" t="s">
        <v>191</v>
      </c>
      <c r="H116" t="s">
        <v>73</v>
      </c>
      <c r="I116" t="s">
        <v>2553</v>
      </c>
      <c r="J116" s="4">
        <v>45895</v>
      </c>
      <c r="K116" s="4">
        <v>46081</v>
      </c>
      <c r="L116" s="5">
        <v>10000</v>
      </c>
      <c r="M116" s="5">
        <v>10000</v>
      </c>
      <c r="N116">
        <v>7</v>
      </c>
      <c r="O116" t="s">
        <v>1513</v>
      </c>
      <c r="P116">
        <v>12</v>
      </c>
      <c r="Q116" t="s">
        <v>1017</v>
      </c>
      <c r="R116">
        <v>986.61</v>
      </c>
      <c r="S116">
        <v>372</v>
      </c>
      <c r="T116" s="5">
        <v>0</v>
      </c>
      <c r="U116" s="5">
        <v>0</v>
      </c>
      <c r="V116">
        <v>1</v>
      </c>
      <c r="W116" s="5">
        <v>5337.82</v>
      </c>
      <c r="X116" s="5">
        <v>986.62</v>
      </c>
      <c r="Y116" s="5">
        <v>844.42000000000007</v>
      </c>
      <c r="Z116" s="5">
        <v>111.2</v>
      </c>
      <c r="AA116" s="5">
        <v>31</v>
      </c>
      <c r="AB116" s="5">
        <v>0</v>
      </c>
      <c r="AC116" s="5">
        <v>986.61</v>
      </c>
      <c r="AD116" s="4">
        <v>46006</v>
      </c>
      <c r="AE116" t="s">
        <v>76</v>
      </c>
      <c r="AF116">
        <v>7224310823</v>
      </c>
      <c r="AG116" t="s">
        <v>2554</v>
      </c>
      <c r="AI116" t="s">
        <v>126</v>
      </c>
      <c r="AJ116">
        <v>9501009</v>
      </c>
      <c r="AK116" t="s">
        <v>2555</v>
      </c>
      <c r="AY116" s="5">
        <v>5480.02</v>
      </c>
      <c r="AZ116" s="5">
        <v>0</v>
      </c>
      <c r="BA116">
        <v>1</v>
      </c>
      <c r="BB116" t="s">
        <v>127</v>
      </c>
      <c r="BC116" t="s">
        <v>2556</v>
      </c>
      <c r="BD116" t="s">
        <v>2557</v>
      </c>
      <c r="BE116" t="s">
        <v>81</v>
      </c>
      <c r="BF116" t="s">
        <v>1555</v>
      </c>
      <c r="BH116" s="6" t="s">
        <v>83</v>
      </c>
      <c r="BK116">
        <v>3</v>
      </c>
      <c r="BL116">
        <v>3</v>
      </c>
      <c r="BM116" t="s">
        <v>101</v>
      </c>
      <c r="BN116" s="3" t="s">
        <v>2558</v>
      </c>
      <c r="BO116" s="5">
        <v>5337.82</v>
      </c>
      <c r="BP116" s="5">
        <v>5480.02</v>
      </c>
      <c r="BQ116" s="34">
        <v>0.1800394889069748</v>
      </c>
    </row>
    <row r="117" spans="1:69" x14ac:dyDescent="0.3">
      <c r="A117" s="3" t="s">
        <v>1413</v>
      </c>
      <c r="B117" t="s">
        <v>67</v>
      </c>
      <c r="C117" t="s">
        <v>189</v>
      </c>
      <c r="D117" t="s">
        <v>190</v>
      </c>
      <c r="E117" t="s">
        <v>191</v>
      </c>
      <c r="F117" t="s">
        <v>192</v>
      </c>
      <c r="G117" t="s">
        <v>193</v>
      </c>
      <c r="H117" t="s">
        <v>73</v>
      </c>
      <c r="I117" t="s">
        <v>1414</v>
      </c>
      <c r="J117" s="4">
        <v>45936</v>
      </c>
      <c r="K117" s="4">
        <v>46104</v>
      </c>
      <c r="L117" s="5">
        <v>5000</v>
      </c>
      <c r="M117" s="5">
        <v>5267.04</v>
      </c>
      <c r="N117">
        <v>7</v>
      </c>
      <c r="O117" t="s">
        <v>1513</v>
      </c>
      <c r="P117">
        <v>12</v>
      </c>
      <c r="Q117" t="s">
        <v>293</v>
      </c>
      <c r="R117">
        <v>673.4</v>
      </c>
      <c r="S117">
        <v>696</v>
      </c>
      <c r="T117" s="5">
        <v>580</v>
      </c>
      <c r="U117" s="5">
        <v>5</v>
      </c>
      <c r="V117">
        <v>0.9</v>
      </c>
      <c r="W117" s="5">
        <v>3511.36</v>
      </c>
      <c r="X117" s="5">
        <v>1149.6047679999999</v>
      </c>
      <c r="Y117" s="5">
        <v>438.92</v>
      </c>
      <c r="Z117" s="5">
        <v>130.68</v>
      </c>
      <c r="AA117" s="5">
        <v>0</v>
      </c>
      <c r="AB117" s="5">
        <v>580</v>
      </c>
      <c r="AC117" s="5">
        <v>675</v>
      </c>
      <c r="AD117" s="4">
        <v>46006</v>
      </c>
      <c r="AE117" t="s">
        <v>76</v>
      </c>
      <c r="AF117">
        <v>7223344062</v>
      </c>
      <c r="AG117" t="s">
        <v>1415</v>
      </c>
      <c r="AI117" t="s">
        <v>370</v>
      </c>
      <c r="AJ117">
        <v>8944098</v>
      </c>
      <c r="AK117" t="s">
        <v>1416</v>
      </c>
      <c r="AM117" t="s">
        <v>1417</v>
      </c>
      <c r="AN117" t="s">
        <v>1418</v>
      </c>
      <c r="AO117" t="s">
        <v>1419</v>
      </c>
      <c r="AP117" t="s">
        <v>1420</v>
      </c>
      <c r="AQ117" t="s">
        <v>1421</v>
      </c>
      <c r="AR117" t="s">
        <v>1422</v>
      </c>
      <c r="AY117" s="5">
        <v>5457.41</v>
      </c>
      <c r="AZ117" s="5">
        <v>0</v>
      </c>
      <c r="BA117">
        <v>1</v>
      </c>
      <c r="BB117" t="s">
        <v>204</v>
      </c>
      <c r="BC117" t="s">
        <v>1423</v>
      </c>
      <c r="BD117" t="s">
        <v>972</v>
      </c>
      <c r="BE117" t="s">
        <v>81</v>
      </c>
      <c r="BF117" t="s">
        <v>189</v>
      </c>
      <c r="BG117" t="s">
        <v>1424</v>
      </c>
      <c r="BH117" s="6" t="s">
        <v>83</v>
      </c>
      <c r="BK117">
        <v>4</v>
      </c>
      <c r="BL117">
        <v>4</v>
      </c>
      <c r="BM117" t="s">
        <v>101</v>
      </c>
      <c r="BN117" s="3" t="s">
        <v>1425</v>
      </c>
      <c r="BO117" s="5">
        <v>3511.36</v>
      </c>
      <c r="BP117" s="5">
        <v>5457.41</v>
      </c>
      <c r="BQ117" s="34">
        <v>0.21065024764494511</v>
      </c>
    </row>
    <row r="118" spans="1:69" x14ac:dyDescent="0.3">
      <c r="A118" s="3" t="s">
        <v>1882</v>
      </c>
      <c r="B118" t="s">
        <v>67</v>
      </c>
      <c r="C118" t="s">
        <v>189</v>
      </c>
      <c r="D118" t="s">
        <v>1672</v>
      </c>
      <c r="E118" t="s">
        <v>1673</v>
      </c>
      <c r="F118" t="s">
        <v>192</v>
      </c>
      <c r="G118" t="s">
        <v>193</v>
      </c>
      <c r="H118" t="s">
        <v>175</v>
      </c>
      <c r="I118" t="s">
        <v>1883</v>
      </c>
      <c r="J118" s="4">
        <v>45971</v>
      </c>
      <c r="K118" s="4">
        <v>46139</v>
      </c>
      <c r="L118" s="5">
        <v>12000</v>
      </c>
      <c r="M118" s="5">
        <v>12640.89</v>
      </c>
      <c r="N118">
        <v>7</v>
      </c>
      <c r="O118" t="s">
        <v>1513</v>
      </c>
      <c r="P118">
        <v>24</v>
      </c>
      <c r="Q118" t="s">
        <v>279</v>
      </c>
      <c r="R118">
        <v>796.48</v>
      </c>
      <c r="S118">
        <v>1392</v>
      </c>
      <c r="T118" s="5">
        <v>580</v>
      </c>
      <c r="U118" s="5">
        <v>6</v>
      </c>
      <c r="V118">
        <v>1.8</v>
      </c>
      <c r="W118" s="5">
        <v>10534.07</v>
      </c>
      <c r="X118" s="5">
        <v>1953.8847628000001</v>
      </c>
      <c r="Y118" s="5">
        <v>1053.4000000000001</v>
      </c>
      <c r="Z118" s="5">
        <v>262.47000000000003</v>
      </c>
      <c r="AA118" s="5">
        <v>58.01</v>
      </c>
      <c r="AB118" s="5">
        <v>580</v>
      </c>
      <c r="AC118" s="5">
        <v>580</v>
      </c>
      <c r="AD118" s="4">
        <v>46008</v>
      </c>
      <c r="AE118" t="s">
        <v>76</v>
      </c>
      <c r="AF118">
        <v>7221835589</v>
      </c>
      <c r="AG118" t="s">
        <v>1884</v>
      </c>
      <c r="AI118" t="s">
        <v>196</v>
      </c>
      <c r="AJ118">
        <v>6112023</v>
      </c>
      <c r="AM118" t="s">
        <v>1885</v>
      </c>
      <c r="AN118" t="s">
        <v>1886</v>
      </c>
      <c r="AO118" t="s">
        <v>1887</v>
      </c>
      <c r="AP118" t="s">
        <v>1888</v>
      </c>
      <c r="AQ118" t="s">
        <v>1889</v>
      </c>
      <c r="AR118" t="s">
        <v>1890</v>
      </c>
      <c r="AY118" s="5">
        <v>15246.54</v>
      </c>
      <c r="AZ118" s="5">
        <v>0</v>
      </c>
      <c r="BA118">
        <v>1</v>
      </c>
      <c r="BB118" t="s">
        <v>204</v>
      </c>
      <c r="BC118" t="s">
        <v>1891</v>
      </c>
      <c r="BD118" t="s">
        <v>1892</v>
      </c>
      <c r="BE118" t="s">
        <v>81</v>
      </c>
      <c r="BF118" t="s">
        <v>260</v>
      </c>
      <c r="BG118" t="s">
        <v>1893</v>
      </c>
      <c r="BH118" s="6" t="s">
        <v>83</v>
      </c>
      <c r="BK118">
        <v>5</v>
      </c>
      <c r="BL118">
        <v>5</v>
      </c>
      <c r="BM118" t="s">
        <v>101</v>
      </c>
      <c r="BN118" s="3" t="s">
        <v>1894</v>
      </c>
      <c r="BO118" s="5">
        <v>10534.07</v>
      </c>
      <c r="BP118" s="5">
        <v>15246.54</v>
      </c>
      <c r="BQ118" s="34">
        <v>0.12815266695263319</v>
      </c>
    </row>
    <row r="119" spans="1:69" x14ac:dyDescent="0.3">
      <c r="A119" s="3" t="s">
        <v>2198</v>
      </c>
      <c r="B119" t="s">
        <v>67</v>
      </c>
      <c r="C119" t="s">
        <v>189</v>
      </c>
      <c r="D119" t="s">
        <v>276</v>
      </c>
      <c r="E119" t="s">
        <v>277</v>
      </c>
      <c r="F119" t="s">
        <v>608</v>
      </c>
      <c r="G119" t="s">
        <v>609</v>
      </c>
      <c r="H119" t="s">
        <v>73</v>
      </c>
      <c r="I119" t="s">
        <v>2199</v>
      </c>
      <c r="J119" s="4">
        <v>45820</v>
      </c>
      <c r="K119" s="4">
        <v>46003</v>
      </c>
      <c r="L119" s="5">
        <v>10000</v>
      </c>
      <c r="M119" s="5">
        <v>10534.08</v>
      </c>
      <c r="N119">
        <v>7</v>
      </c>
      <c r="O119" t="s">
        <v>1513</v>
      </c>
      <c r="P119">
        <v>6</v>
      </c>
      <c r="Q119" t="s">
        <v>75</v>
      </c>
      <c r="R119">
        <v>2582.63</v>
      </c>
      <c r="S119">
        <v>348</v>
      </c>
      <c r="T119" s="5">
        <v>580</v>
      </c>
      <c r="U119" s="5">
        <v>0</v>
      </c>
      <c r="V119">
        <v>1</v>
      </c>
      <c r="W119" s="5">
        <v>1755.68</v>
      </c>
      <c r="X119" s="5">
        <v>3162.17</v>
      </c>
      <c r="Y119" s="5">
        <v>1755.68</v>
      </c>
      <c r="Z119" s="5">
        <v>768.96</v>
      </c>
      <c r="AA119" s="5">
        <v>57.53</v>
      </c>
      <c r="AB119" s="5">
        <v>580</v>
      </c>
      <c r="AC119" s="5">
        <v>3163</v>
      </c>
      <c r="AD119" s="4">
        <v>45974</v>
      </c>
      <c r="AE119" t="s">
        <v>76</v>
      </c>
      <c r="AF119">
        <v>7224257357</v>
      </c>
      <c r="AG119" t="s">
        <v>2200</v>
      </c>
      <c r="AI119" t="s">
        <v>2201</v>
      </c>
      <c r="AJ119">
        <v>3515022</v>
      </c>
      <c r="AK119" t="s">
        <v>2202</v>
      </c>
      <c r="AM119" t="s">
        <v>2203</v>
      </c>
      <c r="AN119" t="s">
        <v>2204</v>
      </c>
      <c r="AO119" t="s">
        <v>2205</v>
      </c>
      <c r="AP119" t="s">
        <v>2206</v>
      </c>
      <c r="AQ119" t="s">
        <v>2207</v>
      </c>
      <c r="AR119" t="s">
        <v>2208</v>
      </c>
      <c r="AY119" s="5">
        <v>3162.17</v>
      </c>
      <c r="AZ119" s="5">
        <v>0</v>
      </c>
      <c r="BA119">
        <v>1</v>
      </c>
      <c r="BB119" t="s">
        <v>204</v>
      </c>
      <c r="BC119" t="s">
        <v>2209</v>
      </c>
      <c r="BD119" t="s">
        <v>317</v>
      </c>
      <c r="BE119" t="s">
        <v>81</v>
      </c>
      <c r="BF119" t="s">
        <v>304</v>
      </c>
      <c r="BG119" t="s">
        <v>2210</v>
      </c>
      <c r="BH119" s="6" t="s">
        <v>83</v>
      </c>
      <c r="BK119">
        <v>5</v>
      </c>
      <c r="BL119">
        <v>5</v>
      </c>
      <c r="BM119" t="s">
        <v>101</v>
      </c>
      <c r="BN119" s="3" t="s">
        <v>2211</v>
      </c>
      <c r="BO119" s="5">
        <v>1755.68</v>
      </c>
      <c r="BP119" s="5">
        <v>3162.17</v>
      </c>
      <c r="BQ119" s="34">
        <v>1</v>
      </c>
    </row>
    <row r="120" spans="1:69" x14ac:dyDescent="0.3">
      <c r="A120" s="3" t="s">
        <v>1909</v>
      </c>
      <c r="B120" t="s">
        <v>67</v>
      </c>
      <c r="C120" t="s">
        <v>189</v>
      </c>
      <c r="D120" t="s">
        <v>276</v>
      </c>
      <c r="E120" t="s">
        <v>277</v>
      </c>
      <c r="F120" t="s">
        <v>608</v>
      </c>
      <c r="G120" t="s">
        <v>609</v>
      </c>
      <c r="H120" t="s">
        <v>73</v>
      </c>
      <c r="I120" t="s">
        <v>1910</v>
      </c>
      <c r="J120" s="4">
        <v>45854</v>
      </c>
      <c r="K120" s="4">
        <v>46219</v>
      </c>
      <c r="L120" s="5">
        <v>12000</v>
      </c>
      <c r="M120" s="5">
        <v>12640.89</v>
      </c>
      <c r="N120">
        <v>6</v>
      </c>
      <c r="O120" t="s">
        <v>1513</v>
      </c>
      <c r="P120">
        <v>12</v>
      </c>
      <c r="Q120" t="s">
        <v>75</v>
      </c>
      <c r="R120">
        <v>2031.63</v>
      </c>
      <c r="S120">
        <v>696</v>
      </c>
      <c r="T120" s="5">
        <v>580</v>
      </c>
      <c r="U120" s="5">
        <v>0</v>
      </c>
      <c r="V120">
        <v>1</v>
      </c>
      <c r="W120" s="5">
        <v>8427.26</v>
      </c>
      <c r="X120" s="5">
        <v>2610.1475</v>
      </c>
      <c r="Y120" s="5">
        <v>1053.4100000000001</v>
      </c>
      <c r="Z120" s="5">
        <v>920.22</v>
      </c>
      <c r="AA120" s="5">
        <v>56.52</v>
      </c>
      <c r="AB120" s="5">
        <v>580</v>
      </c>
      <c r="AC120" s="5">
        <v>2032</v>
      </c>
      <c r="AD120" s="4">
        <v>45979</v>
      </c>
      <c r="AE120" t="s">
        <v>76</v>
      </c>
      <c r="AF120">
        <v>7221055890</v>
      </c>
      <c r="AG120" t="s">
        <v>1911</v>
      </c>
      <c r="AI120" t="s">
        <v>1249</v>
      </c>
      <c r="AJ120">
        <v>6326012</v>
      </c>
      <c r="AK120" t="s">
        <v>1912</v>
      </c>
      <c r="AM120" t="s">
        <v>1913</v>
      </c>
      <c r="AN120" t="s">
        <v>1914</v>
      </c>
      <c r="AO120" t="s">
        <v>1915</v>
      </c>
      <c r="AP120" t="s">
        <v>1916</v>
      </c>
      <c r="AQ120" t="s">
        <v>1917</v>
      </c>
      <c r="AR120" t="s">
        <v>1918</v>
      </c>
      <c r="AY120" s="5">
        <v>16425.55</v>
      </c>
      <c r="AZ120" s="5">
        <v>0</v>
      </c>
      <c r="BA120">
        <v>1</v>
      </c>
      <c r="BB120" t="s">
        <v>204</v>
      </c>
      <c r="BC120" t="s">
        <v>1919</v>
      </c>
      <c r="BD120" t="s">
        <v>1892</v>
      </c>
      <c r="BE120" t="s">
        <v>81</v>
      </c>
      <c r="BF120" t="s">
        <v>260</v>
      </c>
      <c r="BG120" t="s">
        <v>1920</v>
      </c>
      <c r="BH120" s="6" t="s">
        <v>83</v>
      </c>
      <c r="BK120">
        <v>2</v>
      </c>
      <c r="BL120">
        <v>1</v>
      </c>
      <c r="BM120" t="s">
        <v>101</v>
      </c>
      <c r="BN120" s="3" t="s">
        <v>1921</v>
      </c>
      <c r="BO120" s="5">
        <v>8427.26</v>
      </c>
      <c r="BP120" s="5">
        <v>16425.55</v>
      </c>
      <c r="BQ120" s="34">
        <v>0.15890776868963291</v>
      </c>
    </row>
    <row r="121" spans="1:69" x14ac:dyDescent="0.3">
      <c r="A121" s="3" t="s">
        <v>2398</v>
      </c>
      <c r="B121" t="s">
        <v>67</v>
      </c>
      <c r="C121" t="s">
        <v>104</v>
      </c>
      <c r="D121" t="s">
        <v>190</v>
      </c>
      <c r="E121" t="s">
        <v>191</v>
      </c>
      <c r="F121" t="s">
        <v>608</v>
      </c>
      <c r="G121" t="s">
        <v>609</v>
      </c>
      <c r="H121" t="s">
        <v>73</v>
      </c>
      <c r="I121" t="s">
        <v>2399</v>
      </c>
      <c r="J121" s="4">
        <v>45946</v>
      </c>
      <c r="K121" s="4">
        <v>46007</v>
      </c>
      <c r="L121" s="5">
        <v>127522.5</v>
      </c>
      <c r="M121" s="5">
        <v>127522.5</v>
      </c>
      <c r="N121">
        <v>6</v>
      </c>
      <c r="O121" t="s">
        <v>1513</v>
      </c>
      <c r="P121">
        <v>2</v>
      </c>
      <c r="Q121" t="s">
        <v>75</v>
      </c>
      <c r="R121">
        <v>6561.13</v>
      </c>
      <c r="S121">
        <v>370</v>
      </c>
      <c r="T121" s="5">
        <v>0</v>
      </c>
      <c r="U121" s="5">
        <v>0</v>
      </c>
      <c r="V121">
        <v>0.9</v>
      </c>
      <c r="W121" s="5">
        <v>126360.76</v>
      </c>
      <c r="X121" s="5">
        <v>126360.76</v>
      </c>
      <c r="Y121" s="5">
        <v>126360.76</v>
      </c>
      <c r="Z121" s="5">
        <v>0</v>
      </c>
      <c r="AA121" s="5">
        <v>0</v>
      </c>
      <c r="AB121" s="5">
        <v>0</v>
      </c>
      <c r="AC121" s="5">
        <v>7142</v>
      </c>
      <c r="AD121" s="4">
        <v>46009</v>
      </c>
      <c r="AE121" t="s">
        <v>76</v>
      </c>
      <c r="AF121">
        <v>5522711874</v>
      </c>
      <c r="AG121" t="s">
        <v>2400</v>
      </c>
      <c r="AI121" t="s">
        <v>1701</v>
      </c>
      <c r="AJ121">
        <v>9212010</v>
      </c>
      <c r="AY121" s="5">
        <v>126360.76</v>
      </c>
      <c r="AZ121" s="5">
        <v>0</v>
      </c>
      <c r="BA121">
        <v>2</v>
      </c>
      <c r="BB121" t="s">
        <v>617</v>
      </c>
      <c r="BC121" t="s">
        <v>2401</v>
      </c>
      <c r="BD121" t="s">
        <v>2402</v>
      </c>
      <c r="BE121" t="s">
        <v>2403</v>
      </c>
      <c r="BF121" t="s">
        <v>2404</v>
      </c>
      <c r="BH121" s="6" t="s">
        <v>83</v>
      </c>
      <c r="BK121">
        <v>2</v>
      </c>
      <c r="BL121">
        <v>2</v>
      </c>
      <c r="BM121" t="s">
        <v>101</v>
      </c>
      <c r="BN121" s="3" t="s">
        <v>2405</v>
      </c>
      <c r="BO121" s="5">
        <v>126360.76</v>
      </c>
      <c r="BP121" s="5">
        <v>126360.76</v>
      </c>
      <c r="BQ121" s="34">
        <v>1</v>
      </c>
    </row>
    <row r="122" spans="1:69" x14ac:dyDescent="0.3">
      <c r="A122" s="3" t="s">
        <v>1817</v>
      </c>
      <c r="B122" t="s">
        <v>67</v>
      </c>
      <c r="C122" t="s">
        <v>68</v>
      </c>
      <c r="D122" t="s">
        <v>335</v>
      </c>
      <c r="E122" t="s">
        <v>336</v>
      </c>
      <c r="F122" t="s">
        <v>173</v>
      </c>
      <c r="G122" t="s">
        <v>174</v>
      </c>
      <c r="H122" t="s">
        <v>73</v>
      </c>
      <c r="I122" t="s">
        <v>1818</v>
      </c>
      <c r="J122" s="4">
        <v>45827</v>
      </c>
      <c r="K122" s="4">
        <v>46163</v>
      </c>
      <c r="L122" s="5">
        <v>30000</v>
      </c>
      <c r="M122" s="5">
        <v>31602.23</v>
      </c>
      <c r="N122">
        <v>4</v>
      </c>
      <c r="O122" t="s">
        <v>1513</v>
      </c>
      <c r="P122">
        <v>48</v>
      </c>
      <c r="Q122" t="s">
        <v>279</v>
      </c>
      <c r="R122">
        <v>1245.82</v>
      </c>
      <c r="S122">
        <v>2784</v>
      </c>
      <c r="T122" s="5">
        <v>1098.56</v>
      </c>
      <c r="U122" s="5">
        <v>26</v>
      </c>
      <c r="V122">
        <v>1</v>
      </c>
      <c r="W122" s="5">
        <v>15142.74</v>
      </c>
      <c r="X122" s="5">
        <v>2286.384608266666</v>
      </c>
      <c r="Y122" s="5">
        <v>658.38</v>
      </c>
      <c r="Z122" s="5">
        <v>529.44000000000005</v>
      </c>
      <c r="AA122" s="5">
        <v>0</v>
      </c>
      <c r="AB122" s="5">
        <v>1098.56</v>
      </c>
      <c r="AC122" s="5">
        <v>1246</v>
      </c>
      <c r="AD122" s="4">
        <v>46009</v>
      </c>
      <c r="AE122" t="s">
        <v>76</v>
      </c>
      <c r="AF122">
        <v>7292421666</v>
      </c>
      <c r="AG122" t="s">
        <v>1819</v>
      </c>
      <c r="AI122" t="s">
        <v>1820</v>
      </c>
      <c r="AJ122">
        <v>7123011</v>
      </c>
      <c r="AM122" t="s">
        <v>1821</v>
      </c>
      <c r="AN122" t="s">
        <v>1822</v>
      </c>
      <c r="AO122" t="s">
        <v>1823</v>
      </c>
      <c r="AP122" t="s">
        <v>1824</v>
      </c>
      <c r="AQ122" t="s">
        <v>1825</v>
      </c>
      <c r="AR122" t="s">
        <v>1826</v>
      </c>
      <c r="AY122" s="5">
        <v>28418.48</v>
      </c>
      <c r="AZ122" s="5">
        <v>0</v>
      </c>
      <c r="BA122">
        <v>1</v>
      </c>
      <c r="BB122" t="s">
        <v>204</v>
      </c>
      <c r="BC122" t="s">
        <v>1827</v>
      </c>
      <c r="BD122" t="s">
        <v>80</v>
      </c>
      <c r="BE122" t="s">
        <v>81</v>
      </c>
      <c r="BF122" t="s">
        <v>82</v>
      </c>
      <c r="BG122" t="s">
        <v>1828</v>
      </c>
      <c r="BH122" s="6" t="s">
        <v>83</v>
      </c>
      <c r="BK122">
        <v>5</v>
      </c>
      <c r="BL122">
        <v>5</v>
      </c>
      <c r="BM122" t="s">
        <v>101</v>
      </c>
      <c r="BN122" s="3" t="s">
        <v>1829</v>
      </c>
      <c r="BO122" s="5">
        <v>15142.74</v>
      </c>
      <c r="BP122" s="5">
        <v>28418.48</v>
      </c>
      <c r="BQ122" s="34">
        <v>8.0454148436744907E-2</v>
      </c>
    </row>
    <row r="123" spans="1:69" x14ac:dyDescent="0.3">
      <c r="A123" s="3" t="s">
        <v>1952</v>
      </c>
      <c r="B123" t="s">
        <v>67</v>
      </c>
      <c r="C123" t="s">
        <v>68</v>
      </c>
      <c r="D123" t="s">
        <v>335</v>
      </c>
      <c r="E123" t="s">
        <v>336</v>
      </c>
      <c r="F123" t="s">
        <v>608</v>
      </c>
      <c r="G123" t="s">
        <v>609</v>
      </c>
      <c r="H123" t="s">
        <v>73</v>
      </c>
      <c r="I123" t="s">
        <v>1953</v>
      </c>
      <c r="J123" s="4">
        <v>45707</v>
      </c>
      <c r="K123" s="4">
        <v>46072</v>
      </c>
      <c r="L123" s="5">
        <v>20000</v>
      </c>
      <c r="M123" s="5">
        <v>21068.16</v>
      </c>
      <c r="N123">
        <v>3</v>
      </c>
      <c r="O123" t="s">
        <v>1513</v>
      </c>
      <c r="P123">
        <v>12</v>
      </c>
      <c r="Q123" t="s">
        <v>75</v>
      </c>
      <c r="R123">
        <v>3015.02</v>
      </c>
      <c r="S123">
        <v>696</v>
      </c>
      <c r="T123" s="5">
        <v>580</v>
      </c>
      <c r="U123" s="5">
        <v>0</v>
      </c>
      <c r="V123">
        <v>1</v>
      </c>
      <c r="W123" s="5">
        <v>7471.78</v>
      </c>
      <c r="X123" s="5">
        <v>3570.2</v>
      </c>
      <c r="Y123" s="5">
        <v>2277.09</v>
      </c>
      <c r="Z123" s="5">
        <v>679.93000000000006</v>
      </c>
      <c r="AA123" s="5">
        <v>33.18</v>
      </c>
      <c r="AB123" s="5">
        <v>580</v>
      </c>
      <c r="AC123" s="5">
        <v>3016</v>
      </c>
      <c r="AD123" s="4">
        <v>45980</v>
      </c>
      <c r="AE123" t="s">
        <v>76</v>
      </c>
      <c r="AF123">
        <v>7222300093</v>
      </c>
      <c r="AG123" t="s">
        <v>1954</v>
      </c>
      <c r="AI123" t="s">
        <v>1955</v>
      </c>
      <c r="AJ123">
        <v>8911019</v>
      </c>
      <c r="AM123" t="s">
        <v>1956</v>
      </c>
      <c r="AN123" t="s">
        <v>1957</v>
      </c>
      <c r="AO123" t="s">
        <v>1958</v>
      </c>
      <c r="AP123" t="s">
        <v>1959</v>
      </c>
      <c r="AQ123" t="s">
        <v>1960</v>
      </c>
      <c r="AR123" t="s">
        <v>1961</v>
      </c>
      <c r="AS123" t="s">
        <v>144</v>
      </c>
      <c r="AT123" t="s">
        <v>1962</v>
      </c>
      <c r="AU123" t="s">
        <v>1963</v>
      </c>
      <c r="AV123" t="s">
        <v>1964</v>
      </c>
      <c r="AW123" t="s">
        <v>1965</v>
      </c>
      <c r="AX123" t="s">
        <v>1966</v>
      </c>
      <c r="AY123" s="5">
        <v>8764.89</v>
      </c>
      <c r="AZ123" s="5">
        <v>0</v>
      </c>
      <c r="BA123">
        <v>4</v>
      </c>
      <c r="BB123" t="s">
        <v>1130</v>
      </c>
      <c r="BC123" t="s">
        <v>1967</v>
      </c>
      <c r="BD123" t="s">
        <v>80</v>
      </c>
      <c r="BE123" t="s">
        <v>81</v>
      </c>
      <c r="BF123" t="s">
        <v>82</v>
      </c>
      <c r="BH123" s="6" t="s">
        <v>83</v>
      </c>
      <c r="BK123">
        <v>1</v>
      </c>
      <c r="BL123">
        <v>1</v>
      </c>
      <c r="BM123" t="s">
        <v>101</v>
      </c>
      <c r="BN123" s="3" t="s">
        <v>1968</v>
      </c>
      <c r="BO123" s="5">
        <v>7471.78</v>
      </c>
      <c r="BP123" s="5">
        <v>8764.89</v>
      </c>
      <c r="BQ123" s="34">
        <v>0.40732969837613492</v>
      </c>
    </row>
    <row r="124" spans="1:69" x14ac:dyDescent="0.3">
      <c r="A124" s="3" t="s">
        <v>2727</v>
      </c>
      <c r="B124" t="s">
        <v>67</v>
      </c>
      <c r="C124" t="s">
        <v>189</v>
      </c>
      <c r="D124" t="s">
        <v>1277</v>
      </c>
      <c r="E124" t="s">
        <v>1278</v>
      </c>
      <c r="F124" t="s">
        <v>608</v>
      </c>
      <c r="G124" t="s">
        <v>609</v>
      </c>
      <c r="H124" t="s">
        <v>175</v>
      </c>
      <c r="I124" t="s">
        <v>2839</v>
      </c>
      <c r="J124" s="4">
        <v>45980</v>
      </c>
      <c r="K124" s="4">
        <v>46161</v>
      </c>
      <c r="L124" s="5">
        <v>10000</v>
      </c>
      <c r="M124" s="5">
        <v>10534.08</v>
      </c>
      <c r="N124">
        <v>3</v>
      </c>
      <c r="O124" t="s">
        <v>1513</v>
      </c>
      <c r="P124">
        <v>6</v>
      </c>
      <c r="Q124" t="s">
        <v>75</v>
      </c>
      <c r="R124">
        <v>2574.23</v>
      </c>
      <c r="S124">
        <v>348</v>
      </c>
      <c r="T124" s="5">
        <v>580</v>
      </c>
      <c r="U124" s="5">
        <v>0</v>
      </c>
      <c r="V124">
        <v>1</v>
      </c>
      <c r="W124" s="5">
        <v>10534.08</v>
      </c>
      <c r="X124" s="5">
        <v>3154.23</v>
      </c>
      <c r="Y124" s="5">
        <v>1755.68</v>
      </c>
      <c r="Z124" s="5">
        <v>760.55000000000007</v>
      </c>
      <c r="AA124" s="5">
        <v>58</v>
      </c>
      <c r="AB124" s="5">
        <v>580</v>
      </c>
      <c r="AC124" s="5"/>
      <c r="AD124" s="4"/>
      <c r="AE124" t="s">
        <v>76</v>
      </c>
      <c r="AF124">
        <v>5660044424</v>
      </c>
      <c r="AG124" t="s">
        <v>2867</v>
      </c>
      <c r="AI124" t="s">
        <v>459</v>
      </c>
      <c r="AJ124">
        <v>6131023</v>
      </c>
      <c r="AK124" t="s">
        <v>2868</v>
      </c>
      <c r="AM124" t="s">
        <v>2869</v>
      </c>
      <c r="AN124" t="s">
        <v>2870</v>
      </c>
      <c r="AO124" t="s">
        <v>2871</v>
      </c>
      <c r="AP124" t="s">
        <v>2872</v>
      </c>
      <c r="AQ124" t="s">
        <v>2873</v>
      </c>
      <c r="AR124" t="s">
        <v>2874</v>
      </c>
      <c r="AY124" s="5">
        <v>15735.37</v>
      </c>
      <c r="AZ124" s="5">
        <v>0</v>
      </c>
      <c r="BA124">
        <v>1</v>
      </c>
      <c r="BB124" t="s">
        <v>204</v>
      </c>
      <c r="BC124" t="s">
        <v>2875</v>
      </c>
      <c r="BD124" t="s">
        <v>1547</v>
      </c>
      <c r="BE124" t="s">
        <v>81</v>
      </c>
      <c r="BF124" t="s">
        <v>189</v>
      </c>
      <c r="BG124" t="s">
        <v>2876</v>
      </c>
      <c r="BH124" s="6" t="s">
        <v>83</v>
      </c>
      <c r="BK124">
        <v>1</v>
      </c>
      <c r="BL124">
        <v>1</v>
      </c>
      <c r="BM124" t="s">
        <v>101</v>
      </c>
      <c r="BN124" s="3" t="s">
        <v>2877</v>
      </c>
      <c r="BO124" s="5">
        <v>10534.08</v>
      </c>
      <c r="BP124" s="5">
        <v>15735.37</v>
      </c>
      <c r="BQ124" s="34">
        <v>0.20045477163867129</v>
      </c>
    </row>
    <row r="125" spans="1:69" x14ac:dyDescent="0.3">
      <c r="A125" s="3" t="s">
        <v>2212</v>
      </c>
      <c r="B125" t="s">
        <v>67</v>
      </c>
      <c r="C125" t="s">
        <v>189</v>
      </c>
      <c r="D125" t="s">
        <v>190</v>
      </c>
      <c r="E125" t="s">
        <v>191</v>
      </c>
      <c r="F125" t="s">
        <v>608</v>
      </c>
      <c r="G125" t="s">
        <v>609</v>
      </c>
      <c r="H125" t="s">
        <v>175</v>
      </c>
      <c r="I125" t="s">
        <v>2213</v>
      </c>
      <c r="J125" s="4">
        <v>45926</v>
      </c>
      <c r="K125" s="4">
        <v>46094</v>
      </c>
      <c r="L125" s="5">
        <v>10000</v>
      </c>
      <c r="M125" s="5">
        <v>10534.08</v>
      </c>
      <c r="N125">
        <v>3</v>
      </c>
      <c r="O125" t="s">
        <v>1513</v>
      </c>
      <c r="P125">
        <v>12</v>
      </c>
      <c r="Q125" t="s">
        <v>293</v>
      </c>
      <c r="R125">
        <v>1288.8</v>
      </c>
      <c r="S125">
        <v>696</v>
      </c>
      <c r="T125" s="5">
        <v>580</v>
      </c>
      <c r="U125" s="5">
        <v>6</v>
      </c>
      <c r="V125">
        <v>1</v>
      </c>
      <c r="W125" s="5">
        <v>6144.88</v>
      </c>
      <c r="X125" s="5">
        <v>1832.8114432</v>
      </c>
      <c r="Y125" s="5">
        <v>877.84</v>
      </c>
      <c r="Z125" s="5">
        <v>352.96</v>
      </c>
      <c r="AA125" s="5">
        <v>22.01</v>
      </c>
      <c r="AB125" s="5">
        <v>580</v>
      </c>
      <c r="AC125" s="5">
        <v>1300</v>
      </c>
      <c r="AD125" s="4">
        <v>45996</v>
      </c>
      <c r="AE125" t="s">
        <v>76</v>
      </c>
      <c r="AF125">
        <v>7221116623</v>
      </c>
      <c r="AG125" t="s">
        <v>2214</v>
      </c>
      <c r="AI125" t="s">
        <v>370</v>
      </c>
      <c r="AJ125">
        <v>8944098</v>
      </c>
      <c r="AM125" t="s">
        <v>2215</v>
      </c>
      <c r="AN125" t="s">
        <v>2216</v>
      </c>
      <c r="AO125" t="s">
        <v>2217</v>
      </c>
      <c r="AP125" t="s">
        <v>2218</v>
      </c>
      <c r="AQ125" t="s">
        <v>2219</v>
      </c>
      <c r="AR125" t="s">
        <v>2220</v>
      </c>
      <c r="AY125" s="5">
        <v>9217.6200000000008</v>
      </c>
      <c r="AZ125" s="5">
        <v>0</v>
      </c>
      <c r="BA125">
        <v>1</v>
      </c>
      <c r="BB125" t="s">
        <v>204</v>
      </c>
      <c r="BC125" t="s">
        <v>2221</v>
      </c>
      <c r="BD125" t="s">
        <v>2222</v>
      </c>
      <c r="BE125" t="s">
        <v>81</v>
      </c>
      <c r="BF125" t="s">
        <v>189</v>
      </c>
      <c r="BH125" s="6" t="s">
        <v>83</v>
      </c>
      <c r="BK125">
        <v>1</v>
      </c>
      <c r="BL125">
        <v>1</v>
      </c>
      <c r="BM125" t="s">
        <v>101</v>
      </c>
      <c r="BN125" s="3" t="s">
        <v>2223</v>
      </c>
      <c r="BO125" s="5">
        <v>6144.88</v>
      </c>
      <c r="BP125" s="5">
        <v>9217.6200000000008</v>
      </c>
      <c r="BQ125" s="34">
        <v>0.19883781748433979</v>
      </c>
    </row>
    <row r="126" spans="1:69" x14ac:dyDescent="0.3">
      <c r="A126" s="3" t="s">
        <v>1723</v>
      </c>
      <c r="B126" t="s">
        <v>67</v>
      </c>
      <c r="C126" t="s">
        <v>68</v>
      </c>
      <c r="D126" t="s">
        <v>1672</v>
      </c>
      <c r="E126" t="s">
        <v>1673</v>
      </c>
      <c r="F126" t="s">
        <v>608</v>
      </c>
      <c r="G126" t="s">
        <v>609</v>
      </c>
      <c r="H126" t="s">
        <v>175</v>
      </c>
      <c r="I126" t="s">
        <v>1724</v>
      </c>
      <c r="J126" s="4">
        <v>45968</v>
      </c>
      <c r="K126" s="4">
        <v>46149</v>
      </c>
      <c r="L126" s="5">
        <v>20000</v>
      </c>
      <c r="M126" s="5">
        <v>21068.16</v>
      </c>
      <c r="N126">
        <v>0</v>
      </c>
      <c r="O126" t="s">
        <v>1656</v>
      </c>
      <c r="P126">
        <v>6</v>
      </c>
      <c r="Q126" t="s">
        <v>75</v>
      </c>
      <c r="R126">
        <v>5090.46</v>
      </c>
      <c r="S126">
        <v>348</v>
      </c>
      <c r="T126" s="5">
        <v>0</v>
      </c>
      <c r="U126" s="5">
        <v>0</v>
      </c>
      <c r="V126">
        <v>0</v>
      </c>
      <c r="W126" s="5">
        <v>17556.8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5100</v>
      </c>
      <c r="AD126" s="4">
        <v>45992</v>
      </c>
      <c r="AE126" t="s">
        <v>76</v>
      </c>
      <c r="AF126">
        <v>7223140548</v>
      </c>
      <c r="AG126" t="s">
        <v>1725</v>
      </c>
      <c r="AI126" t="s">
        <v>399</v>
      </c>
      <c r="AJ126">
        <v>9411998</v>
      </c>
      <c r="AM126" t="s">
        <v>1726</v>
      </c>
      <c r="AN126" t="s">
        <v>1727</v>
      </c>
      <c r="AO126" t="s">
        <v>1728</v>
      </c>
      <c r="AP126" t="s">
        <v>1729</v>
      </c>
      <c r="AQ126" t="s">
        <v>1730</v>
      </c>
      <c r="AR126" t="s">
        <v>1731</v>
      </c>
      <c r="AY126" s="5">
        <v>25152.75</v>
      </c>
      <c r="AZ126" s="5">
        <v>9.5422570666666697</v>
      </c>
      <c r="BA126">
        <v>1</v>
      </c>
      <c r="BB126" t="s">
        <v>204</v>
      </c>
      <c r="BC126" t="s">
        <v>1732</v>
      </c>
      <c r="BD126" t="s">
        <v>80</v>
      </c>
      <c r="BE126" t="s">
        <v>81</v>
      </c>
      <c r="BF126" t="s">
        <v>82</v>
      </c>
      <c r="BH126" s="6" t="s">
        <v>83</v>
      </c>
      <c r="BK126">
        <v>0</v>
      </c>
      <c r="BL126">
        <v>0</v>
      </c>
      <c r="BM126" t="s">
        <v>101</v>
      </c>
      <c r="BN126" s="3" t="s">
        <v>1733</v>
      </c>
      <c r="BO126" s="5">
        <v>0</v>
      </c>
      <c r="BP126" s="5">
        <v>0</v>
      </c>
      <c r="BQ126" s="34">
        <v>0</v>
      </c>
    </row>
    <row r="127" spans="1:69" x14ac:dyDescent="0.3">
      <c r="A127" s="3" t="s">
        <v>1922</v>
      </c>
      <c r="B127" t="s">
        <v>67</v>
      </c>
      <c r="C127" t="s">
        <v>68</v>
      </c>
      <c r="D127" t="s">
        <v>335</v>
      </c>
      <c r="E127" t="s">
        <v>336</v>
      </c>
      <c r="F127" t="s">
        <v>608</v>
      </c>
      <c r="G127" t="s">
        <v>609</v>
      </c>
      <c r="H127" t="s">
        <v>73</v>
      </c>
      <c r="I127" t="s">
        <v>1923</v>
      </c>
      <c r="J127" s="4">
        <v>45716</v>
      </c>
      <c r="K127" s="4">
        <v>46081</v>
      </c>
      <c r="L127" s="5">
        <v>65000</v>
      </c>
      <c r="M127" s="5">
        <v>68471.509999999995</v>
      </c>
      <c r="N127">
        <v>0</v>
      </c>
      <c r="O127" t="s">
        <v>1656</v>
      </c>
      <c r="P127">
        <v>12</v>
      </c>
      <c r="Q127" t="s">
        <v>75</v>
      </c>
      <c r="R127">
        <v>12081.41</v>
      </c>
      <c r="S127">
        <v>696</v>
      </c>
      <c r="T127" s="5">
        <v>0</v>
      </c>
      <c r="U127" s="5">
        <v>0</v>
      </c>
      <c r="V127">
        <v>0</v>
      </c>
      <c r="W127" s="5">
        <v>17117.88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12081.41</v>
      </c>
      <c r="AD127" s="4">
        <v>45986</v>
      </c>
      <c r="AE127" t="s">
        <v>76</v>
      </c>
      <c r="AF127">
        <v>7295890044</v>
      </c>
      <c r="AG127" t="s">
        <v>1924</v>
      </c>
      <c r="AI127" t="s">
        <v>585</v>
      </c>
      <c r="AJ127">
        <v>2411023</v>
      </c>
      <c r="AK127" t="s">
        <v>1925</v>
      </c>
      <c r="AM127" t="s">
        <v>1926</v>
      </c>
      <c r="AN127" t="s">
        <v>1927</v>
      </c>
      <c r="AO127" t="s">
        <v>1928</v>
      </c>
      <c r="AP127" t="s">
        <v>1929</v>
      </c>
      <c r="AQ127" t="s">
        <v>1930</v>
      </c>
      <c r="AR127" t="s">
        <v>1931</v>
      </c>
      <c r="AS127" t="s">
        <v>144</v>
      </c>
      <c r="AT127" t="s">
        <v>1932</v>
      </c>
      <c r="AU127" t="s">
        <v>1933</v>
      </c>
      <c r="AY127" s="5">
        <v>36070.21</v>
      </c>
      <c r="AZ127" s="5">
        <v>7.4999999999999997E-3</v>
      </c>
      <c r="BA127">
        <v>1</v>
      </c>
      <c r="BB127" t="s">
        <v>204</v>
      </c>
      <c r="BC127" t="s">
        <v>1934</v>
      </c>
      <c r="BD127" t="s">
        <v>1935</v>
      </c>
      <c r="BE127" t="s">
        <v>81</v>
      </c>
      <c r="BF127" t="s">
        <v>82</v>
      </c>
      <c r="BH127" s="6" t="s">
        <v>83</v>
      </c>
      <c r="BK127">
        <v>2</v>
      </c>
      <c r="BL127">
        <v>1</v>
      </c>
      <c r="BM127" t="s">
        <v>101</v>
      </c>
      <c r="BN127" s="3" t="s">
        <v>1936</v>
      </c>
      <c r="BO127" s="5">
        <v>0</v>
      </c>
      <c r="BP127" s="5">
        <v>0</v>
      </c>
      <c r="BQ127" s="34">
        <v>0</v>
      </c>
    </row>
    <row r="128" spans="1:69" x14ac:dyDescent="0.3">
      <c r="A128" s="3" t="s">
        <v>1734</v>
      </c>
      <c r="B128" t="s">
        <v>67</v>
      </c>
      <c r="C128" t="s">
        <v>68</v>
      </c>
      <c r="D128" t="s">
        <v>335</v>
      </c>
      <c r="E128" t="s">
        <v>336</v>
      </c>
      <c r="F128" t="s">
        <v>608</v>
      </c>
      <c r="G128" t="s">
        <v>609</v>
      </c>
      <c r="H128" t="s">
        <v>73</v>
      </c>
      <c r="I128" t="s">
        <v>1735</v>
      </c>
      <c r="J128" s="4">
        <v>45827</v>
      </c>
      <c r="K128" s="4">
        <v>46192</v>
      </c>
      <c r="L128" s="5">
        <v>10000</v>
      </c>
      <c r="M128" s="5">
        <v>10534.08</v>
      </c>
      <c r="N128">
        <v>0</v>
      </c>
      <c r="O128" t="s">
        <v>1656</v>
      </c>
      <c r="P128">
        <v>12</v>
      </c>
      <c r="Q128" t="s">
        <v>75</v>
      </c>
      <c r="R128">
        <v>1702.69</v>
      </c>
      <c r="S128">
        <v>696</v>
      </c>
      <c r="T128" s="5">
        <v>0</v>
      </c>
      <c r="U128" s="5">
        <v>0</v>
      </c>
      <c r="V128">
        <v>0</v>
      </c>
      <c r="W128" s="5">
        <v>5267.04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1703</v>
      </c>
      <c r="AD128" s="4">
        <v>46010</v>
      </c>
      <c r="AE128" t="s">
        <v>76</v>
      </c>
      <c r="AF128">
        <v>7291791570</v>
      </c>
      <c r="AG128" t="s">
        <v>1736</v>
      </c>
      <c r="AI128" t="s">
        <v>459</v>
      </c>
      <c r="AJ128">
        <v>6131023</v>
      </c>
      <c r="AK128" t="s">
        <v>1737</v>
      </c>
      <c r="AL128" t="s">
        <v>1738</v>
      </c>
      <c r="AM128" t="s">
        <v>1739</v>
      </c>
      <c r="AN128" t="s">
        <v>1740</v>
      </c>
      <c r="AO128" t="s">
        <v>1741</v>
      </c>
      <c r="AP128" t="s">
        <v>1742</v>
      </c>
      <c r="AQ128" t="s">
        <v>1743</v>
      </c>
      <c r="AR128" t="s">
        <v>1744</v>
      </c>
      <c r="AY128" s="5">
        <v>9866.61</v>
      </c>
      <c r="AZ128" s="5">
        <v>1.54</v>
      </c>
      <c r="BA128">
        <v>1</v>
      </c>
      <c r="BB128" t="s">
        <v>204</v>
      </c>
      <c r="BC128" t="s">
        <v>1745</v>
      </c>
      <c r="BD128" t="s">
        <v>1746</v>
      </c>
      <c r="BE128" t="s">
        <v>81</v>
      </c>
      <c r="BF128" t="s">
        <v>82</v>
      </c>
      <c r="BG128" t="s">
        <v>1747</v>
      </c>
      <c r="BH128" s="6" t="s">
        <v>83</v>
      </c>
      <c r="BK128">
        <v>0</v>
      </c>
      <c r="BL128">
        <v>0</v>
      </c>
      <c r="BM128" t="s">
        <v>101</v>
      </c>
      <c r="BN128" s="3" t="s">
        <v>1748</v>
      </c>
      <c r="BO128" s="5">
        <v>0</v>
      </c>
      <c r="BP128" s="5">
        <v>0</v>
      </c>
      <c r="BQ128" s="34">
        <v>0</v>
      </c>
    </row>
    <row r="129" spans="1:69" x14ac:dyDescent="0.3">
      <c r="A129" s="3" t="s">
        <v>2840</v>
      </c>
      <c r="B129" t="s">
        <v>67</v>
      </c>
      <c r="C129" t="s">
        <v>68</v>
      </c>
      <c r="D129" t="s">
        <v>1277</v>
      </c>
      <c r="E129" t="s">
        <v>1278</v>
      </c>
      <c r="F129" t="s">
        <v>608</v>
      </c>
      <c r="G129" t="s">
        <v>609</v>
      </c>
      <c r="H129" t="s">
        <v>73</v>
      </c>
      <c r="I129" t="s">
        <v>2841</v>
      </c>
      <c r="J129" s="4">
        <v>45975</v>
      </c>
      <c r="K129" s="4">
        <v>46156</v>
      </c>
      <c r="L129" s="5">
        <v>8000</v>
      </c>
      <c r="M129" s="5">
        <v>8427.26</v>
      </c>
      <c r="N129">
        <v>0</v>
      </c>
      <c r="O129" t="s">
        <v>1656</v>
      </c>
      <c r="P129">
        <v>6</v>
      </c>
      <c r="Q129" t="s">
        <v>75</v>
      </c>
      <c r="R129">
        <v>2070.98</v>
      </c>
      <c r="S129">
        <v>348</v>
      </c>
      <c r="T129" s="5">
        <v>0</v>
      </c>
      <c r="U129" s="5">
        <v>0</v>
      </c>
      <c r="V129">
        <v>0</v>
      </c>
      <c r="W129" s="5">
        <v>7023.7</v>
      </c>
      <c r="X129" s="5">
        <v>0.98329999999999995</v>
      </c>
      <c r="Y129" s="5">
        <v>0.98</v>
      </c>
      <c r="Z129" s="5">
        <v>0</v>
      </c>
      <c r="AA129" s="5">
        <v>0</v>
      </c>
      <c r="AB129" s="5">
        <v>0</v>
      </c>
      <c r="AC129" s="5">
        <v>2070</v>
      </c>
      <c r="AD129" s="4">
        <v>46006</v>
      </c>
      <c r="AE129" t="s">
        <v>76</v>
      </c>
      <c r="AF129">
        <v>7291367393</v>
      </c>
      <c r="AG129" t="s">
        <v>2842</v>
      </c>
      <c r="AI129" t="s">
        <v>158</v>
      </c>
      <c r="AJ129">
        <v>8711021</v>
      </c>
      <c r="AK129" t="s">
        <v>2843</v>
      </c>
      <c r="AL129" t="s">
        <v>2844</v>
      </c>
      <c r="AM129" t="s">
        <v>2845</v>
      </c>
      <c r="AN129" t="s">
        <v>2846</v>
      </c>
      <c r="AO129" t="s">
        <v>2847</v>
      </c>
      <c r="AP129" t="s">
        <v>2848</v>
      </c>
      <c r="AQ129" t="s">
        <v>2849</v>
      </c>
      <c r="AR129" t="s">
        <v>2850</v>
      </c>
      <c r="AY129" s="5">
        <v>10065.89</v>
      </c>
      <c r="AZ129" s="5">
        <v>0</v>
      </c>
      <c r="BA129">
        <v>1</v>
      </c>
      <c r="BB129" t="s">
        <v>204</v>
      </c>
      <c r="BC129" t="s">
        <v>2851</v>
      </c>
      <c r="BD129" t="s">
        <v>2852</v>
      </c>
      <c r="BE129" t="s">
        <v>81</v>
      </c>
      <c r="BF129" t="s">
        <v>82</v>
      </c>
      <c r="BH129" s="6" t="s">
        <v>83</v>
      </c>
      <c r="BK129">
        <v>0</v>
      </c>
      <c r="BL129">
        <v>0</v>
      </c>
      <c r="BM129" t="s">
        <v>101</v>
      </c>
      <c r="BN129" s="3" t="s">
        <v>2853</v>
      </c>
      <c r="BO129" s="5">
        <v>0</v>
      </c>
      <c r="BP129" s="5">
        <v>0</v>
      </c>
      <c r="BQ129" s="34">
        <v>9.7686344674936839E-5</v>
      </c>
    </row>
    <row r="130" spans="1:69" x14ac:dyDescent="0.3">
      <c r="A130" s="3" t="s">
        <v>1671</v>
      </c>
      <c r="B130" t="s">
        <v>67</v>
      </c>
      <c r="C130" t="s">
        <v>68</v>
      </c>
      <c r="D130" t="s">
        <v>1672</v>
      </c>
      <c r="E130" t="s">
        <v>1673</v>
      </c>
      <c r="F130" t="s">
        <v>608</v>
      </c>
      <c r="G130" t="s">
        <v>609</v>
      </c>
      <c r="H130" t="s">
        <v>73</v>
      </c>
      <c r="I130" t="s">
        <v>1674</v>
      </c>
      <c r="J130" s="4">
        <v>45947</v>
      </c>
      <c r="K130" s="4">
        <v>46115</v>
      </c>
      <c r="L130" s="5">
        <v>7000</v>
      </c>
      <c r="M130" s="5">
        <v>7373.85</v>
      </c>
      <c r="N130">
        <v>0</v>
      </c>
      <c r="O130" t="s">
        <v>1656</v>
      </c>
      <c r="P130">
        <v>12</v>
      </c>
      <c r="Q130" t="s">
        <v>293</v>
      </c>
      <c r="R130">
        <v>919.56000000000006</v>
      </c>
      <c r="S130">
        <v>696</v>
      </c>
      <c r="T130" s="5">
        <v>0</v>
      </c>
      <c r="U130" s="5">
        <v>4</v>
      </c>
      <c r="V130">
        <v>0</v>
      </c>
      <c r="W130" s="5">
        <v>4301.41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920</v>
      </c>
      <c r="AD130" s="4">
        <v>46006</v>
      </c>
      <c r="AE130" t="s">
        <v>76</v>
      </c>
      <c r="AF130">
        <v>7228764233</v>
      </c>
      <c r="AG130" t="s">
        <v>1675</v>
      </c>
      <c r="AI130" t="s">
        <v>126</v>
      </c>
      <c r="AJ130">
        <v>9501009</v>
      </c>
      <c r="AK130" t="s">
        <v>1676</v>
      </c>
      <c r="AL130" t="s">
        <v>1677</v>
      </c>
      <c r="AM130" t="s">
        <v>1678</v>
      </c>
      <c r="AN130" t="s">
        <v>1679</v>
      </c>
      <c r="AO130" t="s">
        <v>1680</v>
      </c>
      <c r="AP130" t="s">
        <v>1681</v>
      </c>
      <c r="AQ130" t="s">
        <v>1682</v>
      </c>
      <c r="AR130" t="s">
        <v>1683</v>
      </c>
      <c r="AY130" s="5">
        <v>5970.73</v>
      </c>
      <c r="AZ130" s="5">
        <v>921.76</v>
      </c>
      <c r="BA130">
        <v>1</v>
      </c>
      <c r="BB130" t="s">
        <v>204</v>
      </c>
      <c r="BC130" t="s">
        <v>1684</v>
      </c>
      <c r="BD130" t="s">
        <v>1685</v>
      </c>
      <c r="BE130" t="s">
        <v>81</v>
      </c>
      <c r="BF130" t="s">
        <v>82</v>
      </c>
      <c r="BH130" s="6" t="s">
        <v>83</v>
      </c>
      <c r="BK130">
        <v>1</v>
      </c>
      <c r="BL130">
        <v>1</v>
      </c>
      <c r="BM130" t="s">
        <v>101</v>
      </c>
      <c r="BN130" s="3" t="s">
        <v>1686</v>
      </c>
      <c r="BO130" s="5">
        <v>0</v>
      </c>
      <c r="BP130" s="5">
        <v>0</v>
      </c>
      <c r="BQ130" s="34">
        <v>0</v>
      </c>
    </row>
    <row r="131" spans="1:69" x14ac:dyDescent="0.3">
      <c r="A131" s="3" t="s">
        <v>1687</v>
      </c>
      <c r="B131" t="s">
        <v>67</v>
      </c>
      <c r="C131" t="s">
        <v>68</v>
      </c>
      <c r="D131" t="s">
        <v>190</v>
      </c>
      <c r="E131" t="s">
        <v>191</v>
      </c>
      <c r="F131" t="s">
        <v>608</v>
      </c>
      <c r="G131" t="s">
        <v>609</v>
      </c>
      <c r="H131" t="s">
        <v>73</v>
      </c>
      <c r="I131" t="s">
        <v>1688</v>
      </c>
      <c r="J131" s="4">
        <v>45789</v>
      </c>
      <c r="K131" s="4">
        <v>46154</v>
      </c>
      <c r="L131" s="5">
        <v>10000</v>
      </c>
      <c r="M131" s="5">
        <v>10534.08</v>
      </c>
      <c r="N131">
        <v>0</v>
      </c>
      <c r="O131" t="s">
        <v>1656</v>
      </c>
      <c r="P131">
        <v>12</v>
      </c>
      <c r="Q131" t="s">
        <v>75</v>
      </c>
      <c r="R131">
        <v>1702.69</v>
      </c>
      <c r="S131">
        <v>696</v>
      </c>
      <c r="T131" s="5">
        <v>0</v>
      </c>
      <c r="U131" s="5">
        <v>0</v>
      </c>
      <c r="V131">
        <v>0</v>
      </c>
      <c r="W131" s="5">
        <v>4389.2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1703</v>
      </c>
      <c r="AD131" s="4">
        <v>46006</v>
      </c>
      <c r="AE131" t="s">
        <v>76</v>
      </c>
      <c r="AF131">
        <v>7201228948</v>
      </c>
      <c r="AG131" t="s">
        <v>1689</v>
      </c>
      <c r="AI131" t="s">
        <v>1080</v>
      </c>
      <c r="AJ131">
        <v>6233019</v>
      </c>
      <c r="AM131" t="s">
        <v>1690</v>
      </c>
      <c r="AN131" t="s">
        <v>1691</v>
      </c>
      <c r="AO131" t="s">
        <v>1692</v>
      </c>
      <c r="AP131" t="s">
        <v>1693</v>
      </c>
      <c r="AQ131" t="s">
        <v>1694</v>
      </c>
      <c r="AR131" t="s">
        <v>1695</v>
      </c>
      <c r="AY131" s="5">
        <v>8222.85</v>
      </c>
      <c r="AZ131" s="5">
        <v>0.61</v>
      </c>
      <c r="BA131">
        <v>1</v>
      </c>
      <c r="BB131" t="s">
        <v>204</v>
      </c>
      <c r="BC131" t="s">
        <v>1696</v>
      </c>
      <c r="BD131" t="s">
        <v>80</v>
      </c>
      <c r="BE131" t="s">
        <v>81</v>
      </c>
      <c r="BF131" t="s">
        <v>82</v>
      </c>
      <c r="BH131" s="6" t="s">
        <v>83</v>
      </c>
      <c r="BK131">
        <v>1</v>
      </c>
      <c r="BL131">
        <v>1</v>
      </c>
      <c r="BM131" t="s">
        <v>101</v>
      </c>
      <c r="BN131" s="3" t="s">
        <v>1697</v>
      </c>
      <c r="BO131" s="5">
        <v>0</v>
      </c>
      <c r="BP131" s="5">
        <v>0</v>
      </c>
      <c r="BQ131" s="34">
        <v>0</v>
      </c>
    </row>
    <row r="132" spans="1:69" x14ac:dyDescent="0.3">
      <c r="A132" s="3" t="s">
        <v>1654</v>
      </c>
      <c r="B132" t="s">
        <v>67</v>
      </c>
      <c r="C132" t="s">
        <v>68</v>
      </c>
      <c r="D132" t="s">
        <v>410</v>
      </c>
      <c r="E132" t="s">
        <v>411</v>
      </c>
      <c r="F132" t="s">
        <v>608</v>
      </c>
      <c r="G132" t="s">
        <v>609</v>
      </c>
      <c r="H132" t="s">
        <v>73</v>
      </c>
      <c r="I132" t="s">
        <v>1655</v>
      </c>
      <c r="J132" s="4">
        <v>45832</v>
      </c>
      <c r="K132" s="4">
        <v>46015</v>
      </c>
      <c r="L132" s="5">
        <v>8000</v>
      </c>
      <c r="M132" s="5">
        <v>8427.26</v>
      </c>
      <c r="N132">
        <v>0</v>
      </c>
      <c r="O132" t="s">
        <v>1656</v>
      </c>
      <c r="P132">
        <v>6</v>
      </c>
      <c r="Q132" t="s">
        <v>75</v>
      </c>
      <c r="R132">
        <v>2077.71</v>
      </c>
      <c r="S132">
        <v>348</v>
      </c>
      <c r="T132" s="5">
        <v>0</v>
      </c>
      <c r="U132" s="5">
        <v>0</v>
      </c>
      <c r="V132">
        <v>0</v>
      </c>
      <c r="W132" s="5">
        <v>1404.54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2200</v>
      </c>
      <c r="AD132" s="4">
        <v>45986</v>
      </c>
      <c r="AE132" t="s">
        <v>76</v>
      </c>
      <c r="AF132">
        <v>7228956353</v>
      </c>
      <c r="AG132" t="s">
        <v>1657</v>
      </c>
      <c r="AI132" t="s">
        <v>1658</v>
      </c>
      <c r="AJ132">
        <v>2094019</v>
      </c>
      <c r="AK132" t="s">
        <v>1659</v>
      </c>
      <c r="AL132" t="s">
        <v>1660</v>
      </c>
      <c r="AM132" t="s">
        <v>1661</v>
      </c>
      <c r="AN132" t="s">
        <v>1662</v>
      </c>
      <c r="AO132" t="s">
        <v>1663</v>
      </c>
      <c r="AP132" t="s">
        <v>1664</v>
      </c>
      <c r="AQ132" t="s">
        <v>1665</v>
      </c>
      <c r="AR132" t="s">
        <v>1666</v>
      </c>
      <c r="AY132" s="5">
        <v>1988.23</v>
      </c>
      <c r="AZ132" s="5">
        <v>31.473887666666659</v>
      </c>
      <c r="BA132">
        <v>1</v>
      </c>
      <c r="BB132" t="s">
        <v>204</v>
      </c>
      <c r="BC132" t="s">
        <v>1667</v>
      </c>
      <c r="BD132" t="s">
        <v>1668</v>
      </c>
      <c r="BE132" t="s">
        <v>81</v>
      </c>
      <c r="BF132" t="s">
        <v>273</v>
      </c>
      <c r="BG132" t="s">
        <v>1669</v>
      </c>
      <c r="BH132" s="6" t="s">
        <v>83</v>
      </c>
      <c r="BK132">
        <v>1</v>
      </c>
      <c r="BL132">
        <v>1</v>
      </c>
      <c r="BM132" t="s">
        <v>101</v>
      </c>
      <c r="BN132" s="3" t="s">
        <v>1670</v>
      </c>
      <c r="BO132" s="5">
        <v>0</v>
      </c>
      <c r="BP132" s="5">
        <v>0</v>
      </c>
      <c r="BQ132" s="34">
        <v>0</v>
      </c>
    </row>
    <row r="133" spans="1:69" x14ac:dyDescent="0.3">
      <c r="A133" s="3" t="s">
        <v>1711</v>
      </c>
      <c r="B133" t="s">
        <v>67</v>
      </c>
      <c r="C133" t="s">
        <v>68</v>
      </c>
      <c r="D133" t="s">
        <v>1277</v>
      </c>
      <c r="E133" t="s">
        <v>1278</v>
      </c>
      <c r="F133" t="s">
        <v>608</v>
      </c>
      <c r="G133" t="s">
        <v>609</v>
      </c>
      <c r="H133" t="s">
        <v>175</v>
      </c>
      <c r="I133" t="s">
        <v>1712</v>
      </c>
      <c r="J133" s="4">
        <v>45971</v>
      </c>
      <c r="K133" s="4">
        <v>46152</v>
      </c>
      <c r="L133" s="5">
        <v>10000</v>
      </c>
      <c r="M133" s="5">
        <v>10534.08</v>
      </c>
      <c r="N133">
        <v>0</v>
      </c>
      <c r="O133" t="s">
        <v>1656</v>
      </c>
      <c r="P133">
        <v>6</v>
      </c>
      <c r="Q133" t="s">
        <v>75</v>
      </c>
      <c r="R133">
        <v>2574.23</v>
      </c>
      <c r="S133">
        <v>348</v>
      </c>
      <c r="T133" s="5">
        <v>0</v>
      </c>
      <c r="U133" s="5">
        <v>0</v>
      </c>
      <c r="V133">
        <v>0</v>
      </c>
      <c r="W133" s="5">
        <v>8778.4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2574.23</v>
      </c>
      <c r="AD133" s="4">
        <v>46000</v>
      </c>
      <c r="AE133" t="s">
        <v>76</v>
      </c>
      <c r="AF133">
        <v>7293862794</v>
      </c>
      <c r="AG133" t="s">
        <v>1713</v>
      </c>
      <c r="AI133" t="s">
        <v>1714</v>
      </c>
      <c r="AJ133">
        <v>8912017</v>
      </c>
      <c r="AM133" t="s">
        <v>1715</v>
      </c>
      <c r="AN133" t="s">
        <v>1716</v>
      </c>
      <c r="AO133" t="s">
        <v>1717</v>
      </c>
      <c r="AP133" t="s">
        <v>1718</v>
      </c>
      <c r="AQ133" t="s">
        <v>1719</v>
      </c>
      <c r="AR133" t="s">
        <v>1720</v>
      </c>
      <c r="AY133" s="5">
        <v>12581.14</v>
      </c>
      <c r="AZ133" s="5">
        <v>1.128533333333E-3</v>
      </c>
      <c r="BA133">
        <v>1</v>
      </c>
      <c r="BB133" t="s">
        <v>204</v>
      </c>
      <c r="BC133" t="s">
        <v>1721</v>
      </c>
      <c r="BD133" t="s">
        <v>80</v>
      </c>
      <c r="BE133" t="s">
        <v>81</v>
      </c>
      <c r="BF133" t="s">
        <v>82</v>
      </c>
      <c r="BH133" s="6" t="s">
        <v>83</v>
      </c>
      <c r="BK133">
        <v>0</v>
      </c>
      <c r="BL133">
        <v>0</v>
      </c>
      <c r="BM133" t="s">
        <v>101</v>
      </c>
      <c r="BN133" s="3" t="s">
        <v>1722</v>
      </c>
      <c r="BO133" s="5">
        <v>0</v>
      </c>
      <c r="BP133" s="5">
        <v>0</v>
      </c>
      <c r="BQ133" s="34">
        <v>0</v>
      </c>
    </row>
    <row r="134" spans="1:69" x14ac:dyDescent="0.3">
      <c r="A134" s="3" t="s">
        <v>2019</v>
      </c>
      <c r="B134" t="s">
        <v>67</v>
      </c>
      <c r="C134" t="s">
        <v>68</v>
      </c>
      <c r="D134" t="s">
        <v>335</v>
      </c>
      <c r="E134" t="s">
        <v>336</v>
      </c>
      <c r="F134" t="s">
        <v>608</v>
      </c>
      <c r="G134" t="s">
        <v>609</v>
      </c>
      <c r="H134" t="s">
        <v>73</v>
      </c>
      <c r="I134" t="s">
        <v>2020</v>
      </c>
      <c r="J134" s="4">
        <v>45856</v>
      </c>
      <c r="K134" s="4">
        <v>46221</v>
      </c>
      <c r="L134" s="5">
        <v>10000</v>
      </c>
      <c r="M134" s="5">
        <v>10534.08</v>
      </c>
      <c r="N134">
        <v>0</v>
      </c>
      <c r="O134" t="s">
        <v>1656</v>
      </c>
      <c r="P134">
        <v>12</v>
      </c>
      <c r="Q134" t="s">
        <v>75</v>
      </c>
      <c r="R134">
        <v>1702.69</v>
      </c>
      <c r="S134">
        <v>696</v>
      </c>
      <c r="T134" s="5">
        <v>0</v>
      </c>
      <c r="U134" s="5">
        <v>0</v>
      </c>
      <c r="V134">
        <v>0</v>
      </c>
      <c r="W134" s="5">
        <v>6144.88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1702.69</v>
      </c>
      <c r="AD134" s="4">
        <v>46009</v>
      </c>
      <c r="AE134" t="s">
        <v>76</v>
      </c>
      <c r="AF134">
        <v>7223750697</v>
      </c>
      <c r="AG134" t="s">
        <v>2021</v>
      </c>
      <c r="AI134" t="s">
        <v>370</v>
      </c>
      <c r="AJ134">
        <v>8944098</v>
      </c>
      <c r="AK134" t="s">
        <v>2022</v>
      </c>
      <c r="AL134" t="s">
        <v>2023</v>
      </c>
      <c r="AM134" t="s">
        <v>2024</v>
      </c>
      <c r="AN134" t="s">
        <v>2025</v>
      </c>
      <c r="AO134" t="s">
        <v>2026</v>
      </c>
      <c r="AP134" t="s">
        <v>2027</v>
      </c>
      <c r="AQ134" t="s">
        <v>2028</v>
      </c>
      <c r="AR134" t="s">
        <v>2029</v>
      </c>
      <c r="AY134" s="5">
        <v>11512.54</v>
      </c>
      <c r="AZ134" s="5">
        <v>0.30118666666666699</v>
      </c>
      <c r="BA134">
        <v>1</v>
      </c>
      <c r="BB134" t="s">
        <v>204</v>
      </c>
      <c r="BC134" t="s">
        <v>2030</v>
      </c>
      <c r="BD134" t="s">
        <v>80</v>
      </c>
      <c r="BE134" t="s">
        <v>81</v>
      </c>
      <c r="BF134" t="s">
        <v>82</v>
      </c>
      <c r="BG134" t="s">
        <v>2031</v>
      </c>
      <c r="BH134" s="6" t="s">
        <v>83</v>
      </c>
      <c r="BK134">
        <v>0</v>
      </c>
      <c r="BL134">
        <v>0</v>
      </c>
      <c r="BM134" t="s">
        <v>101</v>
      </c>
      <c r="BN134" s="3" t="s">
        <v>2032</v>
      </c>
      <c r="BO134" s="5">
        <v>0</v>
      </c>
      <c r="BP134" s="5">
        <v>0</v>
      </c>
      <c r="BQ134" s="34">
        <v>0</v>
      </c>
    </row>
    <row r="135" spans="1:69" x14ac:dyDescent="0.3">
      <c r="A135" s="3" t="s">
        <v>1804</v>
      </c>
      <c r="B135" t="s">
        <v>67</v>
      </c>
      <c r="C135" t="s">
        <v>68</v>
      </c>
      <c r="D135" t="s">
        <v>173</v>
      </c>
      <c r="E135" t="s">
        <v>174</v>
      </c>
      <c r="F135" t="s">
        <v>608</v>
      </c>
      <c r="G135" t="s">
        <v>609</v>
      </c>
      <c r="H135" t="s">
        <v>175</v>
      </c>
      <c r="I135" t="s">
        <v>1805</v>
      </c>
      <c r="J135" s="4">
        <v>45944</v>
      </c>
      <c r="K135" s="4">
        <v>46112</v>
      </c>
      <c r="L135" s="5">
        <v>8000</v>
      </c>
      <c r="M135" s="5">
        <v>8427.26</v>
      </c>
      <c r="N135">
        <v>0</v>
      </c>
      <c r="O135" t="s">
        <v>1656</v>
      </c>
      <c r="P135">
        <v>12</v>
      </c>
      <c r="Q135" t="s">
        <v>293</v>
      </c>
      <c r="R135">
        <v>1042.6400000000001</v>
      </c>
      <c r="S135">
        <v>696</v>
      </c>
      <c r="T135" s="5">
        <v>0</v>
      </c>
      <c r="U135" s="5">
        <v>4</v>
      </c>
      <c r="V135">
        <v>0</v>
      </c>
      <c r="W135" s="5">
        <v>4915.9000000000005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1042.6400000000001</v>
      </c>
      <c r="AD135" s="4">
        <v>46009</v>
      </c>
      <c r="AE135" t="s">
        <v>76</v>
      </c>
      <c r="AF135">
        <v>7202840539</v>
      </c>
      <c r="AG135" t="s">
        <v>1806</v>
      </c>
      <c r="AI135" t="s">
        <v>126</v>
      </c>
      <c r="AJ135">
        <v>9501009</v>
      </c>
      <c r="AK135" t="s">
        <v>1807</v>
      </c>
      <c r="AL135" t="s">
        <v>1808</v>
      </c>
      <c r="AM135" t="s">
        <v>1809</v>
      </c>
      <c r="AN135" t="s">
        <v>1810</v>
      </c>
      <c r="AO135" t="s">
        <v>1811</v>
      </c>
      <c r="AP135" t="s">
        <v>1812</v>
      </c>
      <c r="AQ135" t="s">
        <v>1813</v>
      </c>
      <c r="AR135" t="s">
        <v>1814</v>
      </c>
      <c r="AY135" s="5">
        <v>6829.49</v>
      </c>
      <c r="AZ135" s="5">
        <v>1047.6357664</v>
      </c>
      <c r="BA135">
        <v>1</v>
      </c>
      <c r="BB135" t="s">
        <v>204</v>
      </c>
      <c r="BC135" t="s">
        <v>1815</v>
      </c>
      <c r="BD135" t="s">
        <v>378</v>
      </c>
      <c r="BE135" t="s">
        <v>81</v>
      </c>
      <c r="BF135" t="s">
        <v>82</v>
      </c>
      <c r="BH135" s="6" t="s">
        <v>83</v>
      </c>
      <c r="BK135">
        <v>1</v>
      </c>
      <c r="BL135">
        <v>1</v>
      </c>
      <c r="BM135" t="s">
        <v>101</v>
      </c>
      <c r="BN135" s="3" t="s">
        <v>1816</v>
      </c>
      <c r="BO135" s="5">
        <v>0</v>
      </c>
      <c r="BP135" s="5">
        <v>0</v>
      </c>
      <c r="BQ135" s="34">
        <v>0</v>
      </c>
    </row>
    <row r="136" spans="1:69" x14ac:dyDescent="0.3">
      <c r="A136" s="3" t="s">
        <v>1764</v>
      </c>
      <c r="B136" t="s">
        <v>67</v>
      </c>
      <c r="C136" t="s">
        <v>68</v>
      </c>
      <c r="D136" t="s">
        <v>1277</v>
      </c>
      <c r="E136" t="s">
        <v>1278</v>
      </c>
      <c r="F136" t="s">
        <v>608</v>
      </c>
      <c r="G136" t="s">
        <v>609</v>
      </c>
      <c r="H136" t="s">
        <v>175</v>
      </c>
      <c r="I136" t="s">
        <v>1765</v>
      </c>
      <c r="J136" s="4">
        <v>46007</v>
      </c>
      <c r="K136" s="4">
        <v>46189</v>
      </c>
      <c r="L136" s="5">
        <v>15000</v>
      </c>
      <c r="M136" s="5">
        <v>15801.12</v>
      </c>
      <c r="N136">
        <v>0</v>
      </c>
      <c r="O136" t="s">
        <v>1656</v>
      </c>
      <c r="P136">
        <v>6</v>
      </c>
      <c r="Q136" t="s">
        <v>75</v>
      </c>
      <c r="R136">
        <v>3838.65</v>
      </c>
      <c r="S136">
        <v>348</v>
      </c>
      <c r="T136" s="5">
        <v>0</v>
      </c>
      <c r="U136" s="5">
        <v>0</v>
      </c>
      <c r="V136">
        <v>0</v>
      </c>
      <c r="W136" s="5">
        <v>15801.12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/>
      <c r="AD136" s="4"/>
      <c r="AE136" t="s">
        <v>76</v>
      </c>
      <c r="AF136">
        <v>7221330950</v>
      </c>
      <c r="AG136" t="s">
        <v>1766</v>
      </c>
      <c r="AI136" t="s">
        <v>1767</v>
      </c>
      <c r="AJ136">
        <v>6326020</v>
      </c>
      <c r="AK136" t="s">
        <v>1768</v>
      </c>
      <c r="AL136" t="s">
        <v>1769</v>
      </c>
      <c r="AM136" t="s">
        <v>1770</v>
      </c>
      <c r="AN136" t="s">
        <v>1771</v>
      </c>
      <c r="AO136" t="s">
        <v>1772</v>
      </c>
      <c r="AP136" t="s">
        <v>1773</v>
      </c>
      <c r="AQ136" t="s">
        <v>1774</v>
      </c>
      <c r="AR136" t="s">
        <v>1775</v>
      </c>
      <c r="AY136" s="5">
        <v>22683.88</v>
      </c>
      <c r="AZ136" s="5">
        <v>0</v>
      </c>
      <c r="BA136">
        <v>1</v>
      </c>
      <c r="BB136" t="s">
        <v>204</v>
      </c>
      <c r="BC136" t="s">
        <v>1776</v>
      </c>
      <c r="BD136" t="s">
        <v>1668</v>
      </c>
      <c r="BE136" t="s">
        <v>81</v>
      </c>
      <c r="BF136" t="s">
        <v>273</v>
      </c>
      <c r="BH136" s="6" t="s">
        <v>83</v>
      </c>
      <c r="BK136">
        <v>0</v>
      </c>
      <c r="BL136">
        <v>0</v>
      </c>
      <c r="BM136" t="s">
        <v>101</v>
      </c>
      <c r="BN136" s="3" t="s">
        <v>2966</v>
      </c>
      <c r="BO136" s="5">
        <v>0</v>
      </c>
      <c r="BP136" s="5">
        <v>0</v>
      </c>
      <c r="BQ136" s="34">
        <v>0</v>
      </c>
    </row>
    <row r="137" spans="1:69" x14ac:dyDescent="0.3">
      <c r="A137" s="3" t="s">
        <v>2005</v>
      </c>
      <c r="B137" t="s">
        <v>67</v>
      </c>
      <c r="C137" t="s">
        <v>68</v>
      </c>
      <c r="D137" t="s">
        <v>410</v>
      </c>
      <c r="E137" t="s">
        <v>411</v>
      </c>
      <c r="F137" t="s">
        <v>608</v>
      </c>
      <c r="G137" t="s">
        <v>609</v>
      </c>
      <c r="H137" t="s">
        <v>73</v>
      </c>
      <c r="I137" t="s">
        <v>2006</v>
      </c>
      <c r="J137" s="4">
        <v>45856</v>
      </c>
      <c r="K137" s="4">
        <v>46024</v>
      </c>
      <c r="L137" s="5">
        <v>5000</v>
      </c>
      <c r="M137" s="5">
        <v>5267.04</v>
      </c>
      <c r="N137">
        <v>0</v>
      </c>
      <c r="O137" t="s">
        <v>1656</v>
      </c>
      <c r="P137">
        <v>12</v>
      </c>
      <c r="Q137" t="s">
        <v>293</v>
      </c>
      <c r="R137">
        <v>673.4</v>
      </c>
      <c r="S137">
        <v>696</v>
      </c>
      <c r="T137" s="5">
        <v>0</v>
      </c>
      <c r="U137" s="5">
        <v>11</v>
      </c>
      <c r="V137">
        <v>0</v>
      </c>
      <c r="W137" s="5">
        <v>438.93</v>
      </c>
      <c r="X137" s="5">
        <v>1.04896E-2</v>
      </c>
      <c r="Y137" s="5">
        <v>0.01</v>
      </c>
      <c r="Z137" s="5">
        <v>0</v>
      </c>
      <c r="AA137" s="5">
        <v>0</v>
      </c>
      <c r="AB137" s="5">
        <v>0</v>
      </c>
      <c r="AC137" s="5">
        <v>673.4</v>
      </c>
      <c r="AD137" s="4">
        <v>46010</v>
      </c>
      <c r="AE137" t="s">
        <v>76</v>
      </c>
      <c r="AF137">
        <v>7228502289</v>
      </c>
      <c r="AG137" t="s">
        <v>2007</v>
      </c>
      <c r="AI137" t="s">
        <v>498</v>
      </c>
      <c r="AJ137">
        <v>8933013</v>
      </c>
      <c r="AK137" t="s">
        <v>2008</v>
      </c>
      <c r="AL137" t="s">
        <v>2009</v>
      </c>
      <c r="AM137" t="s">
        <v>2010</v>
      </c>
      <c r="AN137" t="s">
        <v>2011</v>
      </c>
      <c r="AO137" t="s">
        <v>2012</v>
      </c>
      <c r="AP137" t="s">
        <v>2013</v>
      </c>
      <c r="AQ137" t="s">
        <v>2014</v>
      </c>
      <c r="AR137" t="s">
        <v>2015</v>
      </c>
      <c r="AY137" s="5">
        <v>615.41</v>
      </c>
      <c r="AZ137" s="5">
        <v>0</v>
      </c>
      <c r="BA137">
        <v>1</v>
      </c>
      <c r="BB137" t="s">
        <v>204</v>
      </c>
      <c r="BC137" t="s">
        <v>2016</v>
      </c>
      <c r="BD137" t="s">
        <v>2017</v>
      </c>
      <c r="BE137" t="s">
        <v>81</v>
      </c>
      <c r="BF137" t="s">
        <v>82</v>
      </c>
      <c r="BG137" t="s">
        <v>533</v>
      </c>
      <c r="BH137" s="6" t="s">
        <v>83</v>
      </c>
      <c r="BK137">
        <v>0</v>
      </c>
      <c r="BL137">
        <v>0</v>
      </c>
      <c r="BM137" t="s">
        <v>101</v>
      </c>
      <c r="BN137" s="3" t="s">
        <v>2018</v>
      </c>
      <c r="BO137" s="5">
        <v>0</v>
      </c>
      <c r="BP137" s="5">
        <v>0</v>
      </c>
      <c r="BQ137" s="34">
        <v>1.7044896898002961E-5</v>
      </c>
    </row>
    <row r="138" spans="1:69" x14ac:dyDescent="0.3">
      <c r="A138" s="3" t="s">
        <v>1969</v>
      </c>
      <c r="B138" t="s">
        <v>67</v>
      </c>
      <c r="C138" t="s">
        <v>68</v>
      </c>
      <c r="D138" t="s">
        <v>190</v>
      </c>
      <c r="E138" t="s">
        <v>191</v>
      </c>
      <c r="F138" t="s">
        <v>608</v>
      </c>
      <c r="G138" t="s">
        <v>609</v>
      </c>
      <c r="H138" t="s">
        <v>73</v>
      </c>
      <c r="I138" t="s">
        <v>1970</v>
      </c>
      <c r="J138" s="4">
        <v>45757</v>
      </c>
      <c r="K138" s="4">
        <v>46122</v>
      </c>
      <c r="L138" s="5">
        <v>15000</v>
      </c>
      <c r="M138" s="5">
        <v>15801.12</v>
      </c>
      <c r="N138">
        <v>0</v>
      </c>
      <c r="O138" t="s">
        <v>1656</v>
      </c>
      <c r="P138">
        <v>12</v>
      </c>
      <c r="Q138" t="s">
        <v>75</v>
      </c>
      <c r="R138">
        <v>2235.0700000000002</v>
      </c>
      <c r="S138">
        <v>696</v>
      </c>
      <c r="T138" s="5">
        <v>0</v>
      </c>
      <c r="U138" s="5">
        <v>0</v>
      </c>
      <c r="V138">
        <v>0</v>
      </c>
      <c r="W138" s="5">
        <v>5267.04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2235.0700000000002</v>
      </c>
      <c r="AD138" s="4">
        <v>46001</v>
      </c>
      <c r="AE138" t="s">
        <v>76</v>
      </c>
      <c r="AF138">
        <v>7223615618</v>
      </c>
      <c r="AG138" t="s">
        <v>1971</v>
      </c>
      <c r="AI138" t="s">
        <v>383</v>
      </c>
      <c r="AJ138">
        <v>2711019</v>
      </c>
      <c r="AK138" t="s">
        <v>1972</v>
      </c>
      <c r="AL138" t="s">
        <v>1973</v>
      </c>
      <c r="AM138" t="s">
        <v>1974</v>
      </c>
      <c r="AN138" t="s">
        <v>1975</v>
      </c>
      <c r="AO138" t="s">
        <v>1976</v>
      </c>
      <c r="AP138" t="s">
        <v>1977</v>
      </c>
      <c r="AQ138" t="s">
        <v>1978</v>
      </c>
      <c r="AR138" t="s">
        <v>1977</v>
      </c>
      <c r="AS138" t="s">
        <v>144</v>
      </c>
      <c r="AT138" t="s">
        <v>1979</v>
      </c>
      <c r="AU138" t="s">
        <v>1980</v>
      </c>
      <c r="AY138" s="5">
        <v>8707.2900000000009</v>
      </c>
      <c r="AZ138" s="5">
        <v>0.97</v>
      </c>
      <c r="BA138">
        <v>1</v>
      </c>
      <c r="BB138" t="s">
        <v>204</v>
      </c>
      <c r="BC138" t="s">
        <v>1981</v>
      </c>
      <c r="BD138" t="s">
        <v>1534</v>
      </c>
      <c r="BE138" t="s">
        <v>81</v>
      </c>
      <c r="BF138" t="s">
        <v>82</v>
      </c>
      <c r="BH138" s="6" t="s">
        <v>83</v>
      </c>
      <c r="BK138">
        <v>3</v>
      </c>
      <c r="BL138">
        <v>2</v>
      </c>
      <c r="BM138" t="s">
        <v>101</v>
      </c>
      <c r="BN138" s="3" t="s">
        <v>1982</v>
      </c>
      <c r="BO138" s="5">
        <v>0</v>
      </c>
      <c r="BP138" s="5">
        <v>0</v>
      </c>
      <c r="BQ138" s="34">
        <v>0</v>
      </c>
    </row>
    <row r="139" spans="1:69" x14ac:dyDescent="0.3">
      <c r="A139" s="3" t="s">
        <v>1791</v>
      </c>
      <c r="B139" t="s">
        <v>67</v>
      </c>
      <c r="C139" t="s">
        <v>68</v>
      </c>
      <c r="D139" t="s">
        <v>335</v>
      </c>
      <c r="E139" t="s">
        <v>336</v>
      </c>
      <c r="F139" t="s">
        <v>608</v>
      </c>
      <c r="G139" t="s">
        <v>609</v>
      </c>
      <c r="H139" t="s">
        <v>73</v>
      </c>
      <c r="I139" t="s">
        <v>1792</v>
      </c>
      <c r="J139" s="4">
        <v>45873</v>
      </c>
      <c r="K139" s="4">
        <v>46238</v>
      </c>
      <c r="L139" s="5">
        <v>20000</v>
      </c>
      <c r="M139" s="5">
        <v>21068.16</v>
      </c>
      <c r="N139">
        <v>0</v>
      </c>
      <c r="O139" t="s">
        <v>1656</v>
      </c>
      <c r="P139">
        <v>12</v>
      </c>
      <c r="Q139" t="s">
        <v>75</v>
      </c>
      <c r="R139">
        <v>3347.38</v>
      </c>
      <c r="S139">
        <v>696</v>
      </c>
      <c r="T139" s="5">
        <v>0</v>
      </c>
      <c r="U139" s="5">
        <v>0</v>
      </c>
      <c r="V139">
        <v>0</v>
      </c>
      <c r="W139" s="5">
        <v>14045.44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3350</v>
      </c>
      <c r="AD139" s="4">
        <v>45994</v>
      </c>
      <c r="AE139" t="s">
        <v>76</v>
      </c>
      <c r="AF139">
        <v>7227910953</v>
      </c>
      <c r="AG139" t="s">
        <v>1793</v>
      </c>
      <c r="AI139" t="s">
        <v>1794</v>
      </c>
      <c r="AJ139">
        <v>9502007</v>
      </c>
      <c r="AM139" t="s">
        <v>1795</v>
      </c>
      <c r="AN139" t="s">
        <v>1796</v>
      </c>
      <c r="AO139" t="s">
        <v>1797</v>
      </c>
      <c r="AP139" t="s">
        <v>1798</v>
      </c>
      <c r="AQ139" t="s">
        <v>1799</v>
      </c>
      <c r="AR139" t="s">
        <v>1800</v>
      </c>
      <c r="AY139" s="5">
        <v>26309.84</v>
      </c>
      <c r="AZ139" s="5">
        <v>5.23</v>
      </c>
      <c r="BA139">
        <v>1</v>
      </c>
      <c r="BB139" t="s">
        <v>204</v>
      </c>
      <c r="BC139" t="s">
        <v>1801</v>
      </c>
      <c r="BD139" t="s">
        <v>80</v>
      </c>
      <c r="BE139" t="s">
        <v>81</v>
      </c>
      <c r="BF139" t="s">
        <v>82</v>
      </c>
      <c r="BG139" t="s">
        <v>1802</v>
      </c>
      <c r="BH139" s="6" t="s">
        <v>83</v>
      </c>
      <c r="BK139">
        <v>0</v>
      </c>
      <c r="BL139">
        <v>0</v>
      </c>
      <c r="BM139" t="s">
        <v>101</v>
      </c>
      <c r="BN139" s="3" t="s">
        <v>1803</v>
      </c>
      <c r="BO139" s="5">
        <v>0</v>
      </c>
      <c r="BP139" s="5">
        <v>0</v>
      </c>
      <c r="BQ139" s="34">
        <v>0</v>
      </c>
    </row>
    <row r="140" spans="1:69" x14ac:dyDescent="0.3">
      <c r="A140" s="3" t="s">
        <v>2854</v>
      </c>
      <c r="B140" t="s">
        <v>67</v>
      </c>
      <c r="C140" t="s">
        <v>68</v>
      </c>
      <c r="D140" t="s">
        <v>1277</v>
      </c>
      <c r="E140" t="s">
        <v>1278</v>
      </c>
      <c r="F140" t="s">
        <v>608</v>
      </c>
      <c r="G140" t="s">
        <v>609</v>
      </c>
      <c r="H140" t="s">
        <v>175</v>
      </c>
      <c r="I140" t="s">
        <v>2855</v>
      </c>
      <c r="J140" s="4">
        <v>45979</v>
      </c>
      <c r="K140" s="4">
        <v>46160</v>
      </c>
      <c r="L140" s="5">
        <v>12000</v>
      </c>
      <c r="M140" s="5">
        <v>12640.89</v>
      </c>
      <c r="N140">
        <v>0</v>
      </c>
      <c r="O140" t="s">
        <v>1656</v>
      </c>
      <c r="P140">
        <v>6</v>
      </c>
      <c r="Q140" t="s">
        <v>75</v>
      </c>
      <c r="R140">
        <v>3077.47</v>
      </c>
      <c r="S140">
        <v>348</v>
      </c>
      <c r="T140" s="5">
        <v>0</v>
      </c>
      <c r="U140" s="5">
        <v>0</v>
      </c>
      <c r="V140">
        <v>0</v>
      </c>
      <c r="W140" s="5">
        <v>10534.07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3078</v>
      </c>
      <c r="AD140" s="4">
        <v>46009</v>
      </c>
      <c r="AE140" t="s">
        <v>76</v>
      </c>
      <c r="AF140">
        <v>7293313439</v>
      </c>
      <c r="AG140" t="s">
        <v>2856</v>
      </c>
      <c r="AI140" t="s">
        <v>1387</v>
      </c>
      <c r="AJ140">
        <v>6132055</v>
      </c>
      <c r="AK140" t="s">
        <v>2857</v>
      </c>
      <c r="AL140" t="s">
        <v>2858</v>
      </c>
      <c r="AM140" t="s">
        <v>2859</v>
      </c>
      <c r="AN140" t="s">
        <v>2860</v>
      </c>
      <c r="AO140" t="s">
        <v>525</v>
      </c>
      <c r="AP140" t="s">
        <v>2861</v>
      </c>
      <c r="AQ140" t="s">
        <v>2862</v>
      </c>
      <c r="AR140" t="s">
        <v>2863</v>
      </c>
      <c r="AY140" s="5">
        <v>15096.84</v>
      </c>
      <c r="AZ140" s="5">
        <v>0.526787433333333</v>
      </c>
      <c r="BA140">
        <v>1</v>
      </c>
      <c r="BB140" t="s">
        <v>204</v>
      </c>
      <c r="BC140" t="s">
        <v>2864</v>
      </c>
      <c r="BD140" t="s">
        <v>2033</v>
      </c>
      <c r="BE140" t="s">
        <v>81</v>
      </c>
      <c r="BF140" t="s">
        <v>273</v>
      </c>
      <c r="BG140" t="s">
        <v>2865</v>
      </c>
      <c r="BH140" s="6" t="s">
        <v>83</v>
      </c>
      <c r="BK140">
        <v>0</v>
      </c>
      <c r="BL140">
        <v>0</v>
      </c>
      <c r="BM140" t="s">
        <v>101</v>
      </c>
      <c r="BN140" s="3" t="s">
        <v>2866</v>
      </c>
      <c r="BO140" s="5">
        <v>0</v>
      </c>
      <c r="BP140" s="5">
        <v>0</v>
      </c>
      <c r="BQ140" s="34">
        <v>0</v>
      </c>
    </row>
    <row r="141" spans="1:69" x14ac:dyDescent="0.3">
      <c r="A141" s="3" t="s">
        <v>1511</v>
      </c>
      <c r="B141" t="s">
        <v>67</v>
      </c>
      <c r="C141" t="s">
        <v>68</v>
      </c>
      <c r="D141" t="s">
        <v>190</v>
      </c>
      <c r="E141" t="s">
        <v>191</v>
      </c>
      <c r="F141" t="s">
        <v>608</v>
      </c>
      <c r="G141" t="s">
        <v>609</v>
      </c>
      <c r="H141" t="s">
        <v>73</v>
      </c>
      <c r="I141" t="s">
        <v>1512</v>
      </c>
      <c r="J141" s="4">
        <v>45784</v>
      </c>
      <c r="K141" s="4">
        <v>46149</v>
      </c>
      <c r="L141" s="5">
        <v>10000</v>
      </c>
      <c r="M141" s="5">
        <v>10534.08</v>
      </c>
      <c r="N141">
        <v>0</v>
      </c>
      <c r="O141" t="s">
        <v>1656</v>
      </c>
      <c r="P141">
        <v>12</v>
      </c>
      <c r="Q141" t="s">
        <v>75</v>
      </c>
      <c r="R141">
        <v>1702.69</v>
      </c>
      <c r="S141">
        <v>696</v>
      </c>
      <c r="T141" s="5">
        <v>0</v>
      </c>
      <c r="U141" s="5">
        <v>0</v>
      </c>
      <c r="V141">
        <v>0</v>
      </c>
      <c r="W141" s="5">
        <v>4389.2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1702.69</v>
      </c>
      <c r="AD141" s="4">
        <v>45999</v>
      </c>
      <c r="AE141" t="s">
        <v>76</v>
      </c>
      <c r="AF141">
        <v>7222412758</v>
      </c>
      <c r="AG141" t="s">
        <v>1514</v>
      </c>
      <c r="AI141" t="s">
        <v>1515</v>
      </c>
      <c r="AJ141">
        <v>9119018</v>
      </c>
      <c r="AM141" t="s">
        <v>1516</v>
      </c>
      <c r="AN141" t="s">
        <v>1517</v>
      </c>
      <c r="AO141" t="s">
        <v>1518</v>
      </c>
      <c r="AP141" t="s">
        <v>1519</v>
      </c>
      <c r="AQ141" t="s">
        <v>1520</v>
      </c>
      <c r="AR141" t="s">
        <v>1521</v>
      </c>
      <c r="AY141" s="5">
        <v>8223.15</v>
      </c>
      <c r="AZ141" s="5">
        <v>0.31</v>
      </c>
      <c r="BA141">
        <v>1</v>
      </c>
      <c r="BB141" t="s">
        <v>204</v>
      </c>
      <c r="BC141" t="s">
        <v>1522</v>
      </c>
      <c r="BD141" t="s">
        <v>80</v>
      </c>
      <c r="BE141" t="s">
        <v>81</v>
      </c>
      <c r="BF141" t="s">
        <v>82</v>
      </c>
      <c r="BH141" s="6" t="s">
        <v>83</v>
      </c>
      <c r="BK141">
        <v>2</v>
      </c>
      <c r="BL141">
        <v>2</v>
      </c>
      <c r="BM141" t="s">
        <v>101</v>
      </c>
      <c r="BN141" s="3" t="s">
        <v>1523</v>
      </c>
      <c r="BO141" s="5">
        <v>0</v>
      </c>
      <c r="BP141" s="5">
        <v>0</v>
      </c>
      <c r="BQ141" s="34">
        <v>0</v>
      </c>
    </row>
    <row r="142" spans="1:69" x14ac:dyDescent="0.3">
      <c r="A142" s="3" t="s">
        <v>1983</v>
      </c>
      <c r="B142" t="s">
        <v>67</v>
      </c>
      <c r="C142" t="s">
        <v>68</v>
      </c>
      <c r="D142" t="s">
        <v>1277</v>
      </c>
      <c r="E142" t="s">
        <v>1278</v>
      </c>
      <c r="F142" t="s">
        <v>608</v>
      </c>
      <c r="G142" t="s">
        <v>609</v>
      </c>
      <c r="H142" t="s">
        <v>175</v>
      </c>
      <c r="I142" t="s">
        <v>1984</v>
      </c>
      <c r="J142" s="4">
        <v>45994</v>
      </c>
      <c r="K142" s="4">
        <v>46359</v>
      </c>
      <c r="L142" s="5">
        <v>12000</v>
      </c>
      <c r="M142" s="5">
        <v>12640.89</v>
      </c>
      <c r="N142">
        <v>0</v>
      </c>
      <c r="O142" t="s">
        <v>1656</v>
      </c>
      <c r="P142">
        <v>12</v>
      </c>
      <c r="Q142" t="s">
        <v>75</v>
      </c>
      <c r="R142">
        <v>2031.63</v>
      </c>
      <c r="S142">
        <v>696</v>
      </c>
      <c r="T142" s="5">
        <v>0</v>
      </c>
      <c r="U142" s="5">
        <v>0</v>
      </c>
      <c r="V142">
        <v>0</v>
      </c>
      <c r="W142" s="5">
        <v>12640.89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/>
      <c r="AD142" s="4"/>
      <c r="AE142" t="s">
        <v>76</v>
      </c>
      <c r="AF142">
        <v>7291051764</v>
      </c>
      <c r="AG142" t="s">
        <v>1985</v>
      </c>
      <c r="AI142" t="s">
        <v>1986</v>
      </c>
      <c r="AJ142">
        <v>6112015</v>
      </c>
      <c r="AK142" t="s">
        <v>1987</v>
      </c>
      <c r="AL142" t="s">
        <v>1988</v>
      </c>
      <c r="AM142" t="s">
        <v>2917</v>
      </c>
      <c r="AN142" t="s">
        <v>2918</v>
      </c>
      <c r="AO142" t="s">
        <v>2919</v>
      </c>
      <c r="AP142" t="s">
        <v>1989</v>
      </c>
      <c r="AQ142" t="s">
        <v>2920</v>
      </c>
      <c r="AR142" t="s">
        <v>2921</v>
      </c>
      <c r="AY142" s="5">
        <v>23683.55</v>
      </c>
      <c r="AZ142" s="5">
        <v>0</v>
      </c>
      <c r="BA142">
        <v>1</v>
      </c>
      <c r="BB142" t="s">
        <v>204</v>
      </c>
      <c r="BC142" t="s">
        <v>1990</v>
      </c>
      <c r="BD142" t="s">
        <v>2922</v>
      </c>
      <c r="BE142" t="s">
        <v>81</v>
      </c>
      <c r="BF142" t="s">
        <v>273</v>
      </c>
      <c r="BG142" t="s">
        <v>2923</v>
      </c>
      <c r="BH142" s="6" t="s">
        <v>83</v>
      </c>
      <c r="BK142">
        <v>0</v>
      </c>
      <c r="BL142">
        <v>0</v>
      </c>
      <c r="BM142" t="s">
        <v>101</v>
      </c>
      <c r="BN142" s="3" t="s">
        <v>2924</v>
      </c>
      <c r="BO142" s="5">
        <v>0</v>
      </c>
      <c r="BP142" s="5">
        <v>0</v>
      </c>
      <c r="BQ142" s="34">
        <v>0</v>
      </c>
    </row>
    <row r="143" spans="1:69" x14ac:dyDescent="0.3">
      <c r="A143" s="3" t="s">
        <v>2034</v>
      </c>
      <c r="B143" t="s">
        <v>67</v>
      </c>
      <c r="C143" t="s">
        <v>68</v>
      </c>
      <c r="D143" t="s">
        <v>410</v>
      </c>
      <c r="E143" t="s">
        <v>411</v>
      </c>
      <c r="F143" t="s">
        <v>608</v>
      </c>
      <c r="G143" t="s">
        <v>609</v>
      </c>
      <c r="H143" t="s">
        <v>73</v>
      </c>
      <c r="I143" t="s">
        <v>2035</v>
      </c>
      <c r="J143" s="4">
        <v>45800</v>
      </c>
      <c r="K143" s="4">
        <v>46165</v>
      </c>
      <c r="L143" s="5">
        <v>10000</v>
      </c>
      <c r="M143" s="5">
        <v>10534.08</v>
      </c>
      <c r="N143">
        <v>0</v>
      </c>
      <c r="O143" t="s">
        <v>1656</v>
      </c>
      <c r="P143">
        <v>12</v>
      </c>
      <c r="Q143" t="s">
        <v>75</v>
      </c>
      <c r="R143">
        <v>1702.69</v>
      </c>
      <c r="S143">
        <v>696</v>
      </c>
      <c r="T143" s="5">
        <v>0</v>
      </c>
      <c r="U143" s="5">
        <v>0</v>
      </c>
      <c r="V143">
        <v>0</v>
      </c>
      <c r="W143" s="5">
        <v>5267.05</v>
      </c>
      <c r="X143" s="5">
        <v>1.0576E-2</v>
      </c>
      <c r="Y143" s="5">
        <v>0.01</v>
      </c>
      <c r="Z143" s="5">
        <v>0</v>
      </c>
      <c r="AA143" s="5">
        <v>0</v>
      </c>
      <c r="AB143" s="5">
        <v>0</v>
      </c>
      <c r="AC143" s="5">
        <v>1702.69</v>
      </c>
      <c r="AD143" s="4">
        <v>45985</v>
      </c>
      <c r="AE143" t="s">
        <v>76</v>
      </c>
      <c r="AF143">
        <v>7224934875</v>
      </c>
      <c r="AG143" t="s">
        <v>2036</v>
      </c>
      <c r="AI143" t="s">
        <v>2037</v>
      </c>
      <c r="AJ143">
        <v>4221016</v>
      </c>
      <c r="AM143" t="s">
        <v>2038</v>
      </c>
      <c r="AN143" t="s">
        <v>2039</v>
      </c>
      <c r="AO143" t="s">
        <v>2040</v>
      </c>
      <c r="AP143" t="s">
        <v>2041</v>
      </c>
      <c r="AQ143" t="s">
        <v>2042</v>
      </c>
      <c r="AR143" t="s">
        <v>2043</v>
      </c>
      <c r="AY143" s="5">
        <v>9868.16</v>
      </c>
      <c r="AZ143" s="5">
        <v>0</v>
      </c>
      <c r="BA143">
        <v>1</v>
      </c>
      <c r="BB143" t="s">
        <v>204</v>
      </c>
      <c r="BC143" t="s">
        <v>2044</v>
      </c>
      <c r="BD143" t="s">
        <v>94</v>
      </c>
      <c r="BE143" t="s">
        <v>81</v>
      </c>
      <c r="BF143" t="s">
        <v>82</v>
      </c>
      <c r="BH143" s="6" t="s">
        <v>83</v>
      </c>
      <c r="BK143">
        <v>0</v>
      </c>
      <c r="BL143">
        <v>0</v>
      </c>
      <c r="BM143" t="s">
        <v>101</v>
      </c>
      <c r="BN143" s="3" t="s">
        <v>2045</v>
      </c>
      <c r="BO143" s="5">
        <v>0</v>
      </c>
      <c r="BP143" s="5">
        <v>0</v>
      </c>
      <c r="BQ143" s="34">
        <v>1.071729684155912E-6</v>
      </c>
    </row>
    <row r="144" spans="1:69" x14ac:dyDescent="0.3">
      <c r="A144" s="3" t="s">
        <v>1830</v>
      </c>
      <c r="B144" t="s">
        <v>67</v>
      </c>
      <c r="C144" t="s">
        <v>68</v>
      </c>
      <c r="D144" t="s">
        <v>1277</v>
      </c>
      <c r="E144" t="s">
        <v>1278</v>
      </c>
      <c r="F144" t="s">
        <v>608</v>
      </c>
      <c r="G144" t="s">
        <v>609</v>
      </c>
      <c r="H144" t="s">
        <v>73</v>
      </c>
      <c r="I144" t="s">
        <v>1831</v>
      </c>
      <c r="J144" s="4">
        <v>45967</v>
      </c>
      <c r="K144" s="4">
        <v>46148</v>
      </c>
      <c r="L144" s="5">
        <v>5000.01</v>
      </c>
      <c r="M144" s="5">
        <v>5267.04</v>
      </c>
      <c r="N144">
        <v>0</v>
      </c>
      <c r="O144" t="s">
        <v>1656</v>
      </c>
      <c r="P144">
        <v>6</v>
      </c>
      <c r="Q144" t="s">
        <v>75</v>
      </c>
      <c r="R144">
        <v>1316.11</v>
      </c>
      <c r="S144">
        <v>348</v>
      </c>
      <c r="T144" s="5">
        <v>0</v>
      </c>
      <c r="U144" s="5">
        <v>0</v>
      </c>
      <c r="V144">
        <v>0</v>
      </c>
      <c r="W144" s="5">
        <v>4389.2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1900</v>
      </c>
      <c r="AD144" s="4">
        <v>46006</v>
      </c>
      <c r="AE144" t="s">
        <v>76</v>
      </c>
      <c r="AF144">
        <v>7226055223</v>
      </c>
      <c r="AG144" t="s">
        <v>1832</v>
      </c>
      <c r="AI144" t="s">
        <v>554</v>
      </c>
      <c r="AJ144">
        <v>6231013</v>
      </c>
      <c r="AK144" t="s">
        <v>1833</v>
      </c>
      <c r="AL144" t="s">
        <v>1834</v>
      </c>
      <c r="AM144" t="s">
        <v>1835</v>
      </c>
      <c r="AN144" t="s">
        <v>1836</v>
      </c>
      <c r="AO144" t="s">
        <v>1837</v>
      </c>
      <c r="AP144" t="s">
        <v>1838</v>
      </c>
      <c r="AQ144" t="s">
        <v>1839</v>
      </c>
      <c r="AR144" t="s">
        <v>1840</v>
      </c>
      <c r="AY144" s="5">
        <v>6286.6900000000014</v>
      </c>
      <c r="AZ144" s="5">
        <v>3.89</v>
      </c>
      <c r="BA144">
        <v>1</v>
      </c>
      <c r="BB144" t="s">
        <v>204</v>
      </c>
      <c r="BC144" t="s">
        <v>1841</v>
      </c>
      <c r="BD144" t="s">
        <v>80</v>
      </c>
      <c r="BE144" t="s">
        <v>81</v>
      </c>
      <c r="BF144" t="s">
        <v>82</v>
      </c>
      <c r="BG144" t="s">
        <v>1842</v>
      </c>
      <c r="BH144" s="6" t="s">
        <v>83</v>
      </c>
      <c r="BK144">
        <v>1</v>
      </c>
      <c r="BL144">
        <v>1</v>
      </c>
      <c r="BM144" t="s">
        <v>101</v>
      </c>
      <c r="BN144" s="3" t="s">
        <v>1843</v>
      </c>
      <c r="BO144" s="5">
        <v>0</v>
      </c>
      <c r="BP144" s="5">
        <v>0</v>
      </c>
      <c r="BQ144" s="34">
        <v>0</v>
      </c>
    </row>
    <row r="145" spans="1:69" x14ac:dyDescent="0.3">
      <c r="A145" s="3" t="s">
        <v>1698</v>
      </c>
      <c r="B145" t="s">
        <v>67</v>
      </c>
      <c r="C145" t="s">
        <v>68</v>
      </c>
      <c r="D145" t="s">
        <v>190</v>
      </c>
      <c r="E145" t="s">
        <v>191</v>
      </c>
      <c r="F145" t="s">
        <v>608</v>
      </c>
      <c r="G145" t="s">
        <v>609</v>
      </c>
      <c r="H145" t="s">
        <v>73</v>
      </c>
      <c r="I145" t="s">
        <v>1699</v>
      </c>
      <c r="J145" s="4">
        <v>45768</v>
      </c>
      <c r="K145" s="4">
        <v>46133</v>
      </c>
      <c r="L145" s="5">
        <v>20000</v>
      </c>
      <c r="M145" s="5">
        <v>21068.16</v>
      </c>
      <c r="N145">
        <v>0</v>
      </c>
      <c r="O145" t="s">
        <v>1656</v>
      </c>
      <c r="P145">
        <v>12</v>
      </c>
      <c r="Q145" t="s">
        <v>75</v>
      </c>
      <c r="R145">
        <v>2960.75</v>
      </c>
      <c r="S145">
        <v>696</v>
      </c>
      <c r="T145" s="5">
        <v>0</v>
      </c>
      <c r="U145" s="5">
        <v>0</v>
      </c>
      <c r="V145">
        <v>1</v>
      </c>
      <c r="W145" s="5">
        <v>8778.4</v>
      </c>
      <c r="X145" s="5">
        <v>2905.03</v>
      </c>
      <c r="Y145" s="5">
        <v>1755.68</v>
      </c>
      <c r="Z145" s="5">
        <v>1147.08</v>
      </c>
      <c r="AA145" s="5">
        <v>2.27</v>
      </c>
      <c r="AB145" s="5">
        <v>0</v>
      </c>
      <c r="AC145" s="5">
        <v>2970</v>
      </c>
      <c r="AD145" s="4">
        <v>45982</v>
      </c>
      <c r="AE145" t="s">
        <v>76</v>
      </c>
      <c r="AF145">
        <v>7225577096</v>
      </c>
      <c r="AG145" t="s">
        <v>1700</v>
      </c>
      <c r="AI145" t="s">
        <v>1701</v>
      </c>
      <c r="AJ145">
        <v>9212010</v>
      </c>
      <c r="AM145" t="s">
        <v>1702</v>
      </c>
      <c r="AN145" t="s">
        <v>1703</v>
      </c>
      <c r="AO145" t="s">
        <v>1704</v>
      </c>
      <c r="AP145" t="s">
        <v>1705</v>
      </c>
      <c r="AQ145" t="s">
        <v>1706</v>
      </c>
      <c r="AR145" t="s">
        <v>1707</v>
      </c>
      <c r="AY145" s="5">
        <v>14516.04</v>
      </c>
      <c r="AZ145" s="5">
        <v>0</v>
      </c>
      <c r="BA145">
        <v>1</v>
      </c>
      <c r="BB145" t="s">
        <v>204</v>
      </c>
      <c r="BC145" t="s">
        <v>1708</v>
      </c>
      <c r="BD145" t="s">
        <v>1709</v>
      </c>
      <c r="BE145" t="s">
        <v>81</v>
      </c>
      <c r="BF145" t="s">
        <v>273</v>
      </c>
      <c r="BH145" s="6" t="s">
        <v>83</v>
      </c>
      <c r="BK145">
        <v>1</v>
      </c>
      <c r="BL145">
        <v>1</v>
      </c>
      <c r="BM145" t="s">
        <v>101</v>
      </c>
      <c r="BN145" s="3" t="s">
        <v>1710</v>
      </c>
      <c r="BO145" s="5">
        <v>0</v>
      </c>
      <c r="BP145" s="5">
        <v>0</v>
      </c>
      <c r="BQ145" s="34">
        <v>0.200125516325389</v>
      </c>
    </row>
    <row r="146" spans="1:69" x14ac:dyDescent="0.3">
      <c r="A146" s="3" t="s">
        <v>1749</v>
      </c>
      <c r="B146" t="s">
        <v>67</v>
      </c>
      <c r="C146" t="s">
        <v>68</v>
      </c>
      <c r="D146" t="s">
        <v>1750</v>
      </c>
      <c r="E146" t="s">
        <v>1751</v>
      </c>
      <c r="F146" t="s">
        <v>608</v>
      </c>
      <c r="G146" t="s">
        <v>609</v>
      </c>
      <c r="H146" t="s">
        <v>73</v>
      </c>
      <c r="I146" t="s">
        <v>1752</v>
      </c>
      <c r="J146" s="4">
        <v>45863</v>
      </c>
      <c r="K146" s="4">
        <v>46228</v>
      </c>
      <c r="L146" s="5">
        <v>10000</v>
      </c>
      <c r="M146" s="5">
        <v>10534.08</v>
      </c>
      <c r="N146">
        <v>0</v>
      </c>
      <c r="O146" t="s">
        <v>1656</v>
      </c>
      <c r="P146">
        <v>12</v>
      </c>
      <c r="Q146" t="s">
        <v>75</v>
      </c>
      <c r="R146">
        <v>1702.69</v>
      </c>
      <c r="S146">
        <v>696</v>
      </c>
      <c r="T146" s="5">
        <v>0</v>
      </c>
      <c r="U146" s="5">
        <v>0</v>
      </c>
      <c r="V146">
        <v>0</v>
      </c>
      <c r="W146" s="5">
        <v>7022.72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1703</v>
      </c>
      <c r="AD146" s="4">
        <v>45986</v>
      </c>
      <c r="AE146" t="s">
        <v>76</v>
      </c>
      <c r="AF146">
        <v>7225066648</v>
      </c>
      <c r="AG146" t="s">
        <v>1753</v>
      </c>
      <c r="AI146" t="s">
        <v>158</v>
      </c>
      <c r="AJ146">
        <v>8711021</v>
      </c>
      <c r="AM146" t="s">
        <v>1754</v>
      </c>
      <c r="AN146" t="s">
        <v>1755</v>
      </c>
      <c r="AO146" t="s">
        <v>1756</v>
      </c>
      <c r="AP146" t="s">
        <v>1757</v>
      </c>
      <c r="AQ146" t="s">
        <v>1758</v>
      </c>
      <c r="AR146" t="s">
        <v>1759</v>
      </c>
      <c r="AY146" s="5">
        <v>13085.3</v>
      </c>
      <c r="AZ146" s="5">
        <v>72.232949333333323</v>
      </c>
      <c r="BA146">
        <v>1</v>
      </c>
      <c r="BB146" t="s">
        <v>204</v>
      </c>
      <c r="BC146" t="s">
        <v>1760</v>
      </c>
      <c r="BD146" t="s">
        <v>1761</v>
      </c>
      <c r="BE146" t="s">
        <v>81</v>
      </c>
      <c r="BF146" t="s">
        <v>82</v>
      </c>
      <c r="BG146" t="s">
        <v>1762</v>
      </c>
      <c r="BH146" s="6" t="s">
        <v>83</v>
      </c>
      <c r="BK146">
        <v>0</v>
      </c>
      <c r="BL146">
        <v>0</v>
      </c>
      <c r="BM146" t="s">
        <v>101</v>
      </c>
      <c r="BN146" s="3" t="s">
        <v>1763</v>
      </c>
      <c r="BO146" s="5">
        <v>0</v>
      </c>
      <c r="BP146" s="5">
        <v>0</v>
      </c>
      <c r="BQ146" s="34">
        <v>0</v>
      </c>
    </row>
    <row r="147" spans="1:69" x14ac:dyDescent="0.3">
      <c r="A147" s="3" t="s">
        <v>2335</v>
      </c>
      <c r="B147" t="s">
        <v>67</v>
      </c>
      <c r="C147" t="s">
        <v>189</v>
      </c>
      <c r="D147" t="s">
        <v>1672</v>
      </c>
      <c r="E147" t="s">
        <v>1673</v>
      </c>
      <c r="F147" t="s">
        <v>608</v>
      </c>
      <c r="G147" t="s">
        <v>609</v>
      </c>
      <c r="H147" t="s">
        <v>73</v>
      </c>
      <c r="I147" t="s">
        <v>2336</v>
      </c>
      <c r="J147" s="4">
        <v>45904</v>
      </c>
      <c r="K147" s="4">
        <v>46085</v>
      </c>
      <c r="L147" s="5">
        <v>5000</v>
      </c>
      <c r="M147" s="5">
        <v>5267.04</v>
      </c>
      <c r="N147">
        <v>0</v>
      </c>
      <c r="O147" t="s">
        <v>1656</v>
      </c>
      <c r="P147">
        <v>6</v>
      </c>
      <c r="Q147" t="s">
        <v>75</v>
      </c>
      <c r="R147">
        <v>1316.11</v>
      </c>
      <c r="S147">
        <v>348</v>
      </c>
      <c r="T147" s="5">
        <v>0</v>
      </c>
      <c r="U147" s="5">
        <v>0</v>
      </c>
      <c r="V147">
        <v>0</v>
      </c>
      <c r="W147" s="5">
        <v>2633.64</v>
      </c>
      <c r="X147" s="5">
        <v>0.12330720000000001</v>
      </c>
      <c r="Y147" s="5">
        <v>0.12</v>
      </c>
      <c r="Z147" s="5">
        <v>0</v>
      </c>
      <c r="AA147" s="5">
        <v>0</v>
      </c>
      <c r="AB147" s="5">
        <v>0</v>
      </c>
      <c r="AC147" s="5">
        <v>1316</v>
      </c>
      <c r="AD147" s="4">
        <v>45995</v>
      </c>
      <c r="AE147" t="s">
        <v>76</v>
      </c>
      <c r="AF147">
        <v>7298055134</v>
      </c>
      <c r="AG147" t="s">
        <v>2337</v>
      </c>
      <c r="AI147" t="s">
        <v>211</v>
      </c>
      <c r="AJ147">
        <v>6211023</v>
      </c>
      <c r="AM147" t="s">
        <v>2338</v>
      </c>
      <c r="AN147" t="s">
        <v>2339</v>
      </c>
      <c r="AO147" t="s">
        <v>2340</v>
      </c>
      <c r="AP147" t="s">
        <v>2341</v>
      </c>
      <c r="AQ147" t="s">
        <v>2342</v>
      </c>
      <c r="AR147" t="s">
        <v>829</v>
      </c>
      <c r="AY147" s="5">
        <v>3774.47</v>
      </c>
      <c r="AZ147" s="5">
        <v>0</v>
      </c>
      <c r="BA147">
        <v>1</v>
      </c>
      <c r="BB147" t="s">
        <v>204</v>
      </c>
      <c r="BC147" t="s">
        <v>2343</v>
      </c>
      <c r="BD147" t="s">
        <v>260</v>
      </c>
      <c r="BE147" t="s">
        <v>81</v>
      </c>
      <c r="BF147" t="s">
        <v>260</v>
      </c>
      <c r="BG147" t="s">
        <v>2344</v>
      </c>
      <c r="BH147" s="6" t="s">
        <v>83</v>
      </c>
      <c r="BK147">
        <v>0</v>
      </c>
      <c r="BL147">
        <v>0</v>
      </c>
      <c r="BM147" t="s">
        <v>101</v>
      </c>
      <c r="BN147" s="3" t="s">
        <v>2345</v>
      </c>
      <c r="BO147" s="5">
        <v>0</v>
      </c>
      <c r="BP147" s="5">
        <v>0</v>
      </c>
      <c r="BQ147" s="34">
        <v>3.2668745545732253E-5</v>
      </c>
    </row>
    <row r="148" spans="1:69" x14ac:dyDescent="0.3">
      <c r="A148" s="3" t="s">
        <v>2323</v>
      </c>
      <c r="B148" t="s">
        <v>67</v>
      </c>
      <c r="C148" t="s">
        <v>189</v>
      </c>
      <c r="D148" t="s">
        <v>190</v>
      </c>
      <c r="E148" t="s">
        <v>191</v>
      </c>
      <c r="F148" t="s">
        <v>608</v>
      </c>
      <c r="G148" t="s">
        <v>609</v>
      </c>
      <c r="H148" t="s">
        <v>175</v>
      </c>
      <c r="I148" t="s">
        <v>2324</v>
      </c>
      <c r="J148" s="4">
        <v>45933</v>
      </c>
      <c r="K148" s="4">
        <v>46101</v>
      </c>
      <c r="L148" s="5">
        <v>12000</v>
      </c>
      <c r="M148" s="5">
        <v>12640.89</v>
      </c>
      <c r="N148">
        <v>0</v>
      </c>
      <c r="O148" t="s">
        <v>1656</v>
      </c>
      <c r="P148">
        <v>12</v>
      </c>
      <c r="Q148" t="s">
        <v>293</v>
      </c>
      <c r="R148">
        <v>1534.96</v>
      </c>
      <c r="S148">
        <v>696</v>
      </c>
      <c r="T148" s="5">
        <v>0</v>
      </c>
      <c r="U148" s="5">
        <v>5</v>
      </c>
      <c r="V148">
        <v>0</v>
      </c>
      <c r="W148" s="5">
        <v>7373.85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1535</v>
      </c>
      <c r="AD148" s="4">
        <v>46006</v>
      </c>
      <c r="AE148" t="s">
        <v>76</v>
      </c>
      <c r="AF148">
        <v>7227913375</v>
      </c>
      <c r="AG148" t="s">
        <v>2325</v>
      </c>
      <c r="AI148" t="s">
        <v>251</v>
      </c>
      <c r="AJ148">
        <v>131011</v>
      </c>
      <c r="AK148" t="s">
        <v>2326</v>
      </c>
      <c r="AM148" t="s">
        <v>2327</v>
      </c>
      <c r="AN148" t="s">
        <v>2328</v>
      </c>
      <c r="AO148" t="s">
        <v>2329</v>
      </c>
      <c r="AP148" t="s">
        <v>2330</v>
      </c>
      <c r="AQ148" t="s">
        <v>2331</v>
      </c>
      <c r="AR148" t="s">
        <v>2332</v>
      </c>
      <c r="AY148" s="5">
        <v>10338.540000000001</v>
      </c>
      <c r="AZ148" s="5">
        <v>0.1925</v>
      </c>
      <c r="BA148">
        <v>1</v>
      </c>
      <c r="BB148" t="s">
        <v>204</v>
      </c>
      <c r="BC148" t="s">
        <v>2333</v>
      </c>
      <c r="BD148" t="s">
        <v>644</v>
      </c>
      <c r="BE148" t="s">
        <v>81</v>
      </c>
      <c r="BF148" t="s">
        <v>260</v>
      </c>
      <c r="BH148" s="6" t="s">
        <v>83</v>
      </c>
      <c r="BK148">
        <v>0</v>
      </c>
      <c r="BL148">
        <v>0</v>
      </c>
      <c r="BM148" t="s">
        <v>101</v>
      </c>
      <c r="BN148" s="3" t="s">
        <v>2334</v>
      </c>
      <c r="BO148" s="5">
        <v>0</v>
      </c>
      <c r="BP148" s="5">
        <v>0</v>
      </c>
      <c r="BQ148" s="34">
        <v>0</v>
      </c>
    </row>
    <row r="149" spans="1:69" x14ac:dyDescent="0.3">
      <c r="A149" s="3" t="s">
        <v>2082</v>
      </c>
      <c r="B149" t="s">
        <v>67</v>
      </c>
      <c r="C149" t="s">
        <v>189</v>
      </c>
      <c r="D149" t="s">
        <v>1277</v>
      </c>
      <c r="E149" t="s">
        <v>1278</v>
      </c>
      <c r="F149" t="s">
        <v>608</v>
      </c>
      <c r="G149" t="s">
        <v>609</v>
      </c>
      <c r="H149" t="s">
        <v>175</v>
      </c>
      <c r="I149" t="s">
        <v>2083</v>
      </c>
      <c r="J149" s="4">
        <v>45989</v>
      </c>
      <c r="K149" s="4">
        <v>46174</v>
      </c>
      <c r="L149" s="5">
        <v>12000</v>
      </c>
      <c r="M149" s="5">
        <v>12640.89</v>
      </c>
      <c r="N149">
        <v>0</v>
      </c>
      <c r="O149" t="s">
        <v>1656</v>
      </c>
      <c r="P149">
        <v>6</v>
      </c>
      <c r="Q149" t="s">
        <v>75</v>
      </c>
      <c r="R149">
        <v>3097.64</v>
      </c>
      <c r="S149">
        <v>348</v>
      </c>
      <c r="T149" s="5">
        <v>0</v>
      </c>
      <c r="U149" s="5">
        <v>0</v>
      </c>
      <c r="V149">
        <v>0</v>
      </c>
      <c r="W149" s="5">
        <v>12640.89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/>
      <c r="AD149" s="4"/>
      <c r="AE149" t="s">
        <v>76</v>
      </c>
      <c r="AF149">
        <v>7204315193</v>
      </c>
      <c r="AG149" t="s">
        <v>2084</v>
      </c>
      <c r="AI149" t="s">
        <v>211</v>
      </c>
      <c r="AJ149">
        <v>6211023</v>
      </c>
      <c r="AK149" t="s">
        <v>2908</v>
      </c>
      <c r="AM149" t="s">
        <v>2909</v>
      </c>
      <c r="AN149" t="s">
        <v>2910</v>
      </c>
      <c r="AO149" t="s">
        <v>2911</v>
      </c>
      <c r="AP149" t="s">
        <v>2912</v>
      </c>
      <c r="AQ149" t="s">
        <v>2913</v>
      </c>
      <c r="AR149" t="s">
        <v>2914</v>
      </c>
      <c r="AY149" s="5">
        <v>18237.849999999999</v>
      </c>
      <c r="AZ149" s="5">
        <v>0</v>
      </c>
      <c r="BA149">
        <v>1</v>
      </c>
      <c r="BB149" t="s">
        <v>204</v>
      </c>
      <c r="BC149" t="s">
        <v>2085</v>
      </c>
      <c r="BD149" t="s">
        <v>2086</v>
      </c>
      <c r="BE149" t="s">
        <v>81</v>
      </c>
      <c r="BF149" t="s">
        <v>189</v>
      </c>
      <c r="BG149" t="s">
        <v>2915</v>
      </c>
      <c r="BH149" s="6" t="s">
        <v>83</v>
      </c>
      <c r="BK149">
        <v>0</v>
      </c>
      <c r="BL149">
        <v>0</v>
      </c>
      <c r="BM149" t="s">
        <v>101</v>
      </c>
      <c r="BN149" s="3" t="s">
        <v>2916</v>
      </c>
      <c r="BO149" s="5">
        <v>0</v>
      </c>
      <c r="BP149" s="5">
        <v>0</v>
      </c>
      <c r="BQ149" s="34">
        <v>0</v>
      </c>
    </row>
    <row r="150" spans="1:69" x14ac:dyDescent="0.3">
      <c r="A150" s="3" t="s">
        <v>2046</v>
      </c>
      <c r="B150" t="s">
        <v>67</v>
      </c>
      <c r="C150" t="s">
        <v>189</v>
      </c>
      <c r="D150" t="s">
        <v>353</v>
      </c>
      <c r="E150" t="s">
        <v>354</v>
      </c>
      <c r="F150" t="s">
        <v>608</v>
      </c>
      <c r="G150" t="s">
        <v>609</v>
      </c>
      <c r="H150" t="s">
        <v>175</v>
      </c>
      <c r="I150" t="s">
        <v>2047</v>
      </c>
      <c r="J150" s="4">
        <v>45915</v>
      </c>
      <c r="K150" s="4">
        <v>46083</v>
      </c>
      <c r="L150" s="5">
        <v>10000</v>
      </c>
      <c r="M150" s="5">
        <v>10534.08</v>
      </c>
      <c r="N150">
        <v>0</v>
      </c>
      <c r="O150" t="s">
        <v>1656</v>
      </c>
      <c r="P150">
        <v>12</v>
      </c>
      <c r="Q150" t="s">
        <v>293</v>
      </c>
      <c r="R150">
        <v>1288.8</v>
      </c>
      <c r="S150">
        <v>696</v>
      </c>
      <c r="T150" s="5">
        <v>0</v>
      </c>
      <c r="U150" s="5">
        <v>7</v>
      </c>
      <c r="V150">
        <v>1</v>
      </c>
      <c r="W150" s="5">
        <v>5267.04</v>
      </c>
      <c r="X150" s="5">
        <v>1287.6133503999999</v>
      </c>
      <c r="Y150" s="5">
        <v>877.84</v>
      </c>
      <c r="Z150" s="5">
        <v>352.96</v>
      </c>
      <c r="AA150" s="5">
        <v>56.81</v>
      </c>
      <c r="AB150" s="5">
        <v>0</v>
      </c>
      <c r="AC150" s="5">
        <v>1289</v>
      </c>
      <c r="AD150" s="4">
        <v>45999</v>
      </c>
      <c r="AE150" t="s">
        <v>76</v>
      </c>
      <c r="AF150">
        <v>7226794251</v>
      </c>
      <c r="AG150" t="s">
        <v>2048</v>
      </c>
      <c r="AI150" t="s">
        <v>370</v>
      </c>
      <c r="AJ150">
        <v>8944098</v>
      </c>
      <c r="AM150" t="s">
        <v>2049</v>
      </c>
      <c r="AN150" t="s">
        <v>2050</v>
      </c>
      <c r="AO150" t="s">
        <v>2051</v>
      </c>
      <c r="AP150" t="s">
        <v>2052</v>
      </c>
      <c r="AQ150" t="s">
        <v>2053</v>
      </c>
      <c r="AR150" t="s">
        <v>2054</v>
      </c>
      <c r="AY150" s="5">
        <v>7441.62</v>
      </c>
      <c r="AZ150" s="5">
        <v>0</v>
      </c>
      <c r="BA150">
        <v>1</v>
      </c>
      <c r="BB150" t="s">
        <v>204</v>
      </c>
      <c r="BC150" t="s">
        <v>2055</v>
      </c>
      <c r="BD150" t="s">
        <v>365</v>
      </c>
      <c r="BE150" t="s">
        <v>81</v>
      </c>
      <c r="BF150" t="s">
        <v>189</v>
      </c>
      <c r="BH150" s="6" t="s">
        <v>83</v>
      </c>
      <c r="BK150">
        <v>1</v>
      </c>
      <c r="BL150">
        <v>1</v>
      </c>
      <c r="BM150" t="s">
        <v>101</v>
      </c>
      <c r="BN150" s="3" t="s">
        <v>2056</v>
      </c>
      <c r="BO150" s="5">
        <v>0</v>
      </c>
      <c r="BP150" s="5">
        <v>0</v>
      </c>
      <c r="BQ150" s="34">
        <v>0.17302863494776671</v>
      </c>
    </row>
    <row r="151" spans="1:69" x14ac:dyDescent="0.3">
      <c r="A151" s="3" t="s">
        <v>2071</v>
      </c>
      <c r="B151" t="s">
        <v>67</v>
      </c>
      <c r="C151" t="s">
        <v>189</v>
      </c>
      <c r="D151" t="s">
        <v>276</v>
      </c>
      <c r="E151" t="s">
        <v>277</v>
      </c>
      <c r="F151" t="s">
        <v>608</v>
      </c>
      <c r="G151" t="s">
        <v>609</v>
      </c>
      <c r="H151" t="s">
        <v>73</v>
      </c>
      <c r="I151" t="s">
        <v>2072</v>
      </c>
      <c r="J151" s="4">
        <v>45804</v>
      </c>
      <c r="K151" s="4">
        <v>46169</v>
      </c>
      <c r="L151" s="5">
        <v>20000</v>
      </c>
      <c r="M151" s="5">
        <v>21068.16</v>
      </c>
      <c r="N151">
        <v>0</v>
      </c>
      <c r="O151" t="s">
        <v>1656</v>
      </c>
      <c r="P151">
        <v>12</v>
      </c>
      <c r="Q151" t="s">
        <v>75</v>
      </c>
      <c r="R151">
        <v>3347.38</v>
      </c>
      <c r="S151">
        <v>696</v>
      </c>
      <c r="T151" s="5">
        <v>0</v>
      </c>
      <c r="U151" s="5">
        <v>0</v>
      </c>
      <c r="V151">
        <v>0</v>
      </c>
      <c r="W151" s="5">
        <v>10534.08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3348</v>
      </c>
      <c r="AD151" s="4">
        <v>45988</v>
      </c>
      <c r="AE151" t="s">
        <v>76</v>
      </c>
      <c r="AF151">
        <v>7295179841</v>
      </c>
      <c r="AG151" t="s">
        <v>2073</v>
      </c>
      <c r="AI151" t="s">
        <v>1940</v>
      </c>
      <c r="AJ151">
        <v>4111027</v>
      </c>
      <c r="AM151" t="s">
        <v>2074</v>
      </c>
      <c r="AN151" t="s">
        <v>2075</v>
      </c>
      <c r="AO151" t="s">
        <v>1354</v>
      </c>
      <c r="AP151" t="s">
        <v>2076</v>
      </c>
      <c r="AQ151" t="s">
        <v>2077</v>
      </c>
      <c r="AR151" t="s">
        <v>2078</v>
      </c>
      <c r="AY151" s="5">
        <v>19730.599999999999</v>
      </c>
      <c r="AZ151" s="5">
        <v>5.7</v>
      </c>
      <c r="BA151">
        <v>1</v>
      </c>
      <c r="BB151" t="s">
        <v>204</v>
      </c>
      <c r="BC151" t="s">
        <v>2079</v>
      </c>
      <c r="BD151" t="s">
        <v>2080</v>
      </c>
      <c r="BE151" t="s">
        <v>81</v>
      </c>
      <c r="BF151" t="s">
        <v>260</v>
      </c>
      <c r="BH151" s="6" t="s">
        <v>83</v>
      </c>
      <c r="BK151">
        <v>0</v>
      </c>
      <c r="BL151">
        <v>0</v>
      </c>
      <c r="BM151" t="s">
        <v>101</v>
      </c>
      <c r="BN151" s="3" t="s">
        <v>2081</v>
      </c>
      <c r="BO151" s="5">
        <v>0</v>
      </c>
      <c r="BP151" s="5">
        <v>0</v>
      </c>
      <c r="BQ151" s="34">
        <v>0</v>
      </c>
    </row>
    <row r="152" spans="1:69" x14ac:dyDescent="0.3">
      <c r="A152" s="3" t="s">
        <v>2101</v>
      </c>
      <c r="B152" t="s">
        <v>67</v>
      </c>
      <c r="C152" t="s">
        <v>189</v>
      </c>
      <c r="D152" t="s">
        <v>1277</v>
      </c>
      <c r="E152" t="s">
        <v>1278</v>
      </c>
      <c r="F152" t="s">
        <v>608</v>
      </c>
      <c r="G152" t="s">
        <v>609</v>
      </c>
      <c r="H152" t="s">
        <v>175</v>
      </c>
      <c r="I152" t="s">
        <v>2102</v>
      </c>
      <c r="J152" s="4">
        <v>45965</v>
      </c>
      <c r="K152" s="4">
        <v>46133</v>
      </c>
      <c r="L152" s="5">
        <v>12000</v>
      </c>
      <c r="M152" s="5">
        <v>12640.89</v>
      </c>
      <c r="N152">
        <v>0</v>
      </c>
      <c r="O152" t="s">
        <v>1656</v>
      </c>
      <c r="P152">
        <v>12</v>
      </c>
      <c r="Q152" t="s">
        <v>293</v>
      </c>
      <c r="R152">
        <v>1534.96</v>
      </c>
      <c r="S152">
        <v>696</v>
      </c>
      <c r="T152" s="5">
        <v>0</v>
      </c>
      <c r="U152" s="5">
        <v>3</v>
      </c>
      <c r="V152">
        <v>0</v>
      </c>
      <c r="W152" s="5">
        <v>9480.67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1535</v>
      </c>
      <c r="AD152" s="4">
        <v>46007</v>
      </c>
      <c r="AE152" t="s">
        <v>76</v>
      </c>
      <c r="AF152">
        <v>7291251949</v>
      </c>
      <c r="AG152" t="s">
        <v>2103</v>
      </c>
      <c r="AI152" t="s">
        <v>370</v>
      </c>
      <c r="AJ152">
        <v>8944098</v>
      </c>
      <c r="AM152" t="s">
        <v>2104</v>
      </c>
      <c r="AN152" t="s">
        <v>2105</v>
      </c>
      <c r="AO152" t="s">
        <v>2106</v>
      </c>
      <c r="AP152" t="s">
        <v>2107</v>
      </c>
      <c r="AQ152" t="s">
        <v>2108</v>
      </c>
      <c r="AR152" t="s">
        <v>2109</v>
      </c>
      <c r="AY152" s="5">
        <v>13277.54</v>
      </c>
      <c r="AZ152" s="5">
        <v>15.1175</v>
      </c>
      <c r="BA152">
        <v>1</v>
      </c>
      <c r="BB152" t="s">
        <v>204</v>
      </c>
      <c r="BC152" t="s">
        <v>2110</v>
      </c>
      <c r="BD152" t="s">
        <v>2111</v>
      </c>
      <c r="BE152" t="s">
        <v>81</v>
      </c>
      <c r="BF152" t="s">
        <v>289</v>
      </c>
      <c r="BH152" s="6" t="s">
        <v>83</v>
      </c>
      <c r="BK152">
        <v>3</v>
      </c>
      <c r="BL152">
        <v>3</v>
      </c>
      <c r="BM152" t="s">
        <v>101</v>
      </c>
      <c r="BN152" s="3" t="s">
        <v>2112</v>
      </c>
      <c r="BO152" s="5">
        <v>0</v>
      </c>
      <c r="BP152" s="5">
        <v>0</v>
      </c>
      <c r="BQ152" s="34">
        <v>0</v>
      </c>
    </row>
    <row r="153" spans="1:69" x14ac:dyDescent="0.3">
      <c r="A153" s="3" t="s">
        <v>2113</v>
      </c>
      <c r="B153" t="s">
        <v>67</v>
      </c>
      <c r="C153" t="s">
        <v>189</v>
      </c>
      <c r="D153" t="s">
        <v>1672</v>
      </c>
      <c r="E153" t="s">
        <v>1673</v>
      </c>
      <c r="F153" t="s">
        <v>608</v>
      </c>
      <c r="G153" t="s">
        <v>609</v>
      </c>
      <c r="H153" t="s">
        <v>175</v>
      </c>
      <c r="I153" t="s">
        <v>2114</v>
      </c>
      <c r="J153" s="4">
        <v>45972</v>
      </c>
      <c r="K153" s="4">
        <v>46153</v>
      </c>
      <c r="L153" s="5">
        <v>20000</v>
      </c>
      <c r="M153" s="5">
        <v>21068.16</v>
      </c>
      <c r="N153">
        <v>0</v>
      </c>
      <c r="O153" t="s">
        <v>1656</v>
      </c>
      <c r="P153">
        <v>6</v>
      </c>
      <c r="Q153" t="s">
        <v>75</v>
      </c>
      <c r="R153">
        <v>5090.46</v>
      </c>
      <c r="S153">
        <v>348</v>
      </c>
      <c r="T153" s="5">
        <v>0</v>
      </c>
      <c r="U153" s="5">
        <v>0</v>
      </c>
      <c r="V153">
        <v>0</v>
      </c>
      <c r="W153" s="5">
        <v>17556.8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5091</v>
      </c>
      <c r="AD153" s="4">
        <v>45999</v>
      </c>
      <c r="AE153" t="s">
        <v>76</v>
      </c>
      <c r="AF153">
        <v>7224083842</v>
      </c>
      <c r="AG153" t="s">
        <v>2115</v>
      </c>
      <c r="AI153" t="s">
        <v>1253</v>
      </c>
      <c r="AJ153">
        <v>6325048</v>
      </c>
      <c r="AM153" t="s">
        <v>2116</v>
      </c>
      <c r="AN153" t="s">
        <v>2117</v>
      </c>
      <c r="AO153" t="s">
        <v>2118</v>
      </c>
      <c r="AP153" t="s">
        <v>2119</v>
      </c>
      <c r="AQ153" t="s">
        <v>2120</v>
      </c>
      <c r="AR153" t="s">
        <v>2121</v>
      </c>
      <c r="AY153" s="5">
        <v>25161.75</v>
      </c>
      <c r="AZ153" s="5">
        <v>0.54225706666666695</v>
      </c>
      <c r="BA153">
        <v>1</v>
      </c>
      <c r="BB153" t="s">
        <v>204</v>
      </c>
      <c r="BC153" t="s">
        <v>2122</v>
      </c>
      <c r="BD153" t="s">
        <v>989</v>
      </c>
      <c r="BE153" t="s">
        <v>81</v>
      </c>
      <c r="BF153" t="s">
        <v>289</v>
      </c>
      <c r="BG153" t="s">
        <v>2123</v>
      </c>
      <c r="BH153" s="6" t="s">
        <v>83</v>
      </c>
      <c r="BK153">
        <v>0</v>
      </c>
      <c r="BL153">
        <v>0</v>
      </c>
      <c r="BM153" t="s">
        <v>101</v>
      </c>
      <c r="BN153" s="3" t="s">
        <v>2124</v>
      </c>
      <c r="BO153" s="5">
        <v>0</v>
      </c>
      <c r="BP153" s="5">
        <v>0</v>
      </c>
      <c r="BQ153" s="34">
        <v>0</v>
      </c>
    </row>
    <row r="154" spans="1:69" x14ac:dyDescent="0.3">
      <c r="A154" s="3" t="s">
        <v>2087</v>
      </c>
      <c r="B154" t="s">
        <v>67</v>
      </c>
      <c r="C154" t="s">
        <v>189</v>
      </c>
      <c r="D154" t="s">
        <v>276</v>
      </c>
      <c r="E154" t="s">
        <v>277</v>
      </c>
      <c r="F154" t="s">
        <v>608</v>
      </c>
      <c r="G154" t="s">
        <v>609</v>
      </c>
      <c r="H154" t="s">
        <v>73</v>
      </c>
      <c r="I154" t="s">
        <v>2088</v>
      </c>
      <c r="J154" s="4">
        <v>45889</v>
      </c>
      <c r="K154" s="4">
        <v>46073</v>
      </c>
      <c r="L154" s="5">
        <v>8000</v>
      </c>
      <c r="M154" s="5">
        <v>8427.26</v>
      </c>
      <c r="N154">
        <v>0</v>
      </c>
      <c r="O154" t="s">
        <v>1656</v>
      </c>
      <c r="P154">
        <v>6</v>
      </c>
      <c r="Q154" t="s">
        <v>75</v>
      </c>
      <c r="R154">
        <v>2081.0700000000002</v>
      </c>
      <c r="S154">
        <v>348</v>
      </c>
      <c r="T154" s="5">
        <v>0</v>
      </c>
      <c r="U154" s="5">
        <v>0</v>
      </c>
      <c r="V154">
        <v>1</v>
      </c>
      <c r="W154" s="5">
        <v>4213.63</v>
      </c>
      <c r="X154" s="5">
        <v>2081.057051377777</v>
      </c>
      <c r="Y154" s="5">
        <v>1404.54</v>
      </c>
      <c r="Z154" s="5">
        <v>618.52</v>
      </c>
      <c r="AA154" s="5">
        <v>57.99</v>
      </c>
      <c r="AB154" s="5">
        <v>0</v>
      </c>
      <c r="AC154" s="5">
        <v>2081.0700000000002</v>
      </c>
      <c r="AD154" s="4">
        <v>45981</v>
      </c>
      <c r="AE154" t="s">
        <v>76</v>
      </c>
      <c r="AF154">
        <v>7224273323</v>
      </c>
      <c r="AG154" t="s">
        <v>2089</v>
      </c>
      <c r="AI154" t="s">
        <v>2090</v>
      </c>
      <c r="AJ154">
        <v>9504003</v>
      </c>
      <c r="AK154" t="s">
        <v>2091</v>
      </c>
      <c r="AM154" t="s">
        <v>2092</v>
      </c>
      <c r="AN154" t="s">
        <v>2093</v>
      </c>
      <c r="AO154" t="s">
        <v>2094</v>
      </c>
      <c r="AP154" t="s">
        <v>2095</v>
      </c>
      <c r="AQ154" t="s">
        <v>2096</v>
      </c>
      <c r="AR154" t="s">
        <v>2097</v>
      </c>
      <c r="AY154" s="5">
        <v>6127.1900000000014</v>
      </c>
      <c r="AZ154" s="5">
        <v>0</v>
      </c>
      <c r="BA154">
        <v>1</v>
      </c>
      <c r="BB154" t="s">
        <v>204</v>
      </c>
      <c r="BC154" t="s">
        <v>2098</v>
      </c>
      <c r="BD154" t="s">
        <v>887</v>
      </c>
      <c r="BE154" t="s">
        <v>81</v>
      </c>
      <c r="BF154" t="s">
        <v>260</v>
      </c>
      <c r="BG154" t="s">
        <v>2099</v>
      </c>
      <c r="BH154" s="6" t="s">
        <v>83</v>
      </c>
      <c r="BK154">
        <v>1</v>
      </c>
      <c r="BL154">
        <v>1</v>
      </c>
      <c r="BM154" t="s">
        <v>101</v>
      </c>
      <c r="BN154" s="3" t="s">
        <v>2100</v>
      </c>
      <c r="BO154" s="5">
        <v>0</v>
      </c>
      <c r="BP154" s="5">
        <v>0</v>
      </c>
      <c r="BQ154" s="34">
        <v>0.33964297685852363</v>
      </c>
    </row>
    <row r="155" spans="1:69" x14ac:dyDescent="0.3">
      <c r="A155" s="3" t="s">
        <v>2154</v>
      </c>
      <c r="B155" t="s">
        <v>67</v>
      </c>
      <c r="C155" t="s">
        <v>189</v>
      </c>
      <c r="D155" t="s">
        <v>353</v>
      </c>
      <c r="E155" t="s">
        <v>354</v>
      </c>
      <c r="F155" t="s">
        <v>608</v>
      </c>
      <c r="G155" t="s">
        <v>609</v>
      </c>
      <c r="H155" t="s">
        <v>73</v>
      </c>
      <c r="I155" t="s">
        <v>2155</v>
      </c>
      <c r="J155" s="4">
        <v>45880</v>
      </c>
      <c r="K155" s="4">
        <v>46245</v>
      </c>
      <c r="L155" s="5">
        <v>30000</v>
      </c>
      <c r="M155" s="5">
        <v>31602.23</v>
      </c>
      <c r="N155">
        <v>0</v>
      </c>
      <c r="O155" t="s">
        <v>1656</v>
      </c>
      <c r="P155">
        <v>12</v>
      </c>
      <c r="Q155" t="s">
        <v>75</v>
      </c>
      <c r="R155">
        <v>4992.07</v>
      </c>
      <c r="S155">
        <v>696</v>
      </c>
      <c r="T155" s="5">
        <v>0</v>
      </c>
      <c r="U155" s="5">
        <v>0</v>
      </c>
      <c r="V155">
        <v>0</v>
      </c>
      <c r="W155" s="5">
        <v>21068.17</v>
      </c>
      <c r="X155" s="5">
        <v>1.67E-2</v>
      </c>
      <c r="Y155" s="5">
        <v>0.02</v>
      </c>
      <c r="Z155" s="5">
        <v>0</v>
      </c>
      <c r="AA155" s="5">
        <v>0</v>
      </c>
      <c r="AB155" s="5">
        <v>0</v>
      </c>
      <c r="AC155" s="5">
        <v>4992.07</v>
      </c>
      <c r="AD155" s="4">
        <v>46002</v>
      </c>
      <c r="AE155" t="s">
        <v>76</v>
      </c>
      <c r="AF155">
        <v>7225025161</v>
      </c>
      <c r="AG155" t="s">
        <v>2156</v>
      </c>
      <c r="AI155" t="s">
        <v>1767</v>
      </c>
      <c r="AJ155">
        <v>6326020</v>
      </c>
      <c r="AK155" t="s">
        <v>2157</v>
      </c>
      <c r="AM155" t="s">
        <v>2158</v>
      </c>
      <c r="AN155" t="s">
        <v>2159</v>
      </c>
      <c r="AO155" t="s">
        <v>2160</v>
      </c>
      <c r="AP155" t="s">
        <v>2161</v>
      </c>
      <c r="AQ155" t="s">
        <v>2162</v>
      </c>
      <c r="AR155" t="s">
        <v>2163</v>
      </c>
      <c r="AY155" s="5">
        <v>39472.6</v>
      </c>
      <c r="AZ155" s="5">
        <v>0</v>
      </c>
      <c r="BA155">
        <v>1</v>
      </c>
      <c r="BB155" t="s">
        <v>204</v>
      </c>
      <c r="BC155" t="s">
        <v>2164</v>
      </c>
      <c r="BD155" t="s">
        <v>2165</v>
      </c>
      <c r="BE155" t="s">
        <v>81</v>
      </c>
      <c r="BF155" t="s">
        <v>189</v>
      </c>
      <c r="BG155" t="s">
        <v>2166</v>
      </c>
      <c r="BH155" s="6" t="s">
        <v>83</v>
      </c>
      <c r="BK155">
        <v>0</v>
      </c>
      <c r="BL155">
        <v>0</v>
      </c>
      <c r="BM155" t="s">
        <v>101</v>
      </c>
      <c r="BN155" s="3" t="s">
        <v>2167</v>
      </c>
      <c r="BO155" s="5">
        <v>0</v>
      </c>
      <c r="BP155" s="5">
        <v>0</v>
      </c>
      <c r="BQ155" s="34">
        <v>4.2307828721695561E-7</v>
      </c>
    </row>
    <row r="156" spans="1:69" x14ac:dyDescent="0.3">
      <c r="A156" s="3" t="s">
        <v>1629</v>
      </c>
      <c r="B156" t="s">
        <v>67</v>
      </c>
      <c r="C156" t="s">
        <v>189</v>
      </c>
      <c r="D156" t="s">
        <v>276</v>
      </c>
      <c r="E156" t="s">
        <v>277</v>
      </c>
      <c r="F156" t="s">
        <v>608</v>
      </c>
      <c r="G156" t="s">
        <v>609</v>
      </c>
      <c r="H156" t="s">
        <v>73</v>
      </c>
      <c r="I156" t="s">
        <v>1630</v>
      </c>
      <c r="J156" s="4">
        <v>45849</v>
      </c>
      <c r="K156" s="4">
        <v>46214</v>
      </c>
      <c r="L156" s="5">
        <v>15000</v>
      </c>
      <c r="M156" s="5">
        <v>15801.12</v>
      </c>
      <c r="N156">
        <v>0</v>
      </c>
      <c r="O156" t="s">
        <v>1656</v>
      </c>
      <c r="P156">
        <v>12</v>
      </c>
      <c r="Q156" t="s">
        <v>75</v>
      </c>
      <c r="R156">
        <v>2525.04</v>
      </c>
      <c r="S156">
        <v>696</v>
      </c>
      <c r="T156" s="5">
        <v>0</v>
      </c>
      <c r="U156" s="5">
        <v>0</v>
      </c>
      <c r="V156">
        <v>0</v>
      </c>
      <c r="W156" s="5">
        <v>9217.32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3120</v>
      </c>
      <c r="AD156" s="4">
        <v>46008</v>
      </c>
      <c r="AE156" t="s">
        <v>76</v>
      </c>
      <c r="AF156">
        <v>7221757286</v>
      </c>
      <c r="AG156" t="s">
        <v>1631</v>
      </c>
      <c r="AI156" t="s">
        <v>158</v>
      </c>
      <c r="AJ156">
        <v>8711021</v>
      </c>
      <c r="AM156" t="s">
        <v>1632</v>
      </c>
      <c r="AN156" t="s">
        <v>1633</v>
      </c>
      <c r="AO156" t="s">
        <v>1634</v>
      </c>
      <c r="AP156" t="s">
        <v>1635</v>
      </c>
      <c r="AQ156" t="s">
        <v>1636</v>
      </c>
      <c r="AR156" t="s">
        <v>1637</v>
      </c>
      <c r="AY156" s="5">
        <v>17247.41</v>
      </c>
      <c r="AZ156" s="5">
        <v>21.851780000000002</v>
      </c>
      <c r="BA156">
        <v>1</v>
      </c>
      <c r="BB156" t="s">
        <v>204</v>
      </c>
      <c r="BC156" t="s">
        <v>1638</v>
      </c>
      <c r="BD156" t="s">
        <v>260</v>
      </c>
      <c r="BE156" t="s">
        <v>81</v>
      </c>
      <c r="BF156" t="s">
        <v>260</v>
      </c>
      <c r="BG156" t="s">
        <v>1639</v>
      </c>
      <c r="BH156" s="6" t="s">
        <v>83</v>
      </c>
      <c r="BK156">
        <v>4</v>
      </c>
      <c r="BL156">
        <v>4</v>
      </c>
      <c r="BM156" t="s">
        <v>101</v>
      </c>
      <c r="BN156" s="3" t="s">
        <v>1640</v>
      </c>
      <c r="BO156" s="5">
        <v>0</v>
      </c>
      <c r="BP156" s="5">
        <v>0</v>
      </c>
      <c r="BQ156" s="34">
        <v>0</v>
      </c>
    </row>
    <row r="157" spans="1:69" x14ac:dyDescent="0.3">
      <c r="A157" s="3" t="s">
        <v>2125</v>
      </c>
      <c r="B157" t="s">
        <v>67</v>
      </c>
      <c r="C157" t="s">
        <v>189</v>
      </c>
      <c r="D157" t="s">
        <v>353</v>
      </c>
      <c r="E157" t="s">
        <v>354</v>
      </c>
      <c r="F157" t="s">
        <v>608</v>
      </c>
      <c r="G157" t="s">
        <v>609</v>
      </c>
      <c r="H157" t="s">
        <v>73</v>
      </c>
      <c r="I157" t="s">
        <v>2126</v>
      </c>
      <c r="J157" s="4">
        <v>45873</v>
      </c>
      <c r="K157" s="4">
        <v>46057</v>
      </c>
      <c r="L157" s="5">
        <v>5000</v>
      </c>
      <c r="M157" s="5">
        <v>5267.04</v>
      </c>
      <c r="N157">
        <v>0</v>
      </c>
      <c r="O157" t="s">
        <v>1656</v>
      </c>
      <c r="P157">
        <v>6</v>
      </c>
      <c r="Q157" t="s">
        <v>75</v>
      </c>
      <c r="R157">
        <v>1322.42</v>
      </c>
      <c r="S157">
        <v>348</v>
      </c>
      <c r="T157" s="5">
        <v>0</v>
      </c>
      <c r="U157" s="5">
        <v>0</v>
      </c>
      <c r="V157">
        <v>0</v>
      </c>
      <c r="W157" s="5">
        <v>1755.68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1322.42</v>
      </c>
      <c r="AD157" s="4">
        <v>45995</v>
      </c>
      <c r="AE157" t="s">
        <v>76</v>
      </c>
      <c r="AF157">
        <v>7218891374</v>
      </c>
      <c r="AG157" t="s">
        <v>2127</v>
      </c>
      <c r="AI157" t="s">
        <v>2128</v>
      </c>
      <c r="AJ157">
        <v>9129017</v>
      </c>
      <c r="AK157" t="s">
        <v>2129</v>
      </c>
      <c r="AM157" t="s">
        <v>2130</v>
      </c>
      <c r="AN157" t="s">
        <v>2131</v>
      </c>
      <c r="AO157" t="s">
        <v>2132</v>
      </c>
      <c r="AP157" t="s">
        <v>2133</v>
      </c>
      <c r="AQ157" t="s">
        <v>2134</v>
      </c>
      <c r="AR157" t="s">
        <v>2135</v>
      </c>
      <c r="AY157" s="5">
        <v>2528.8200000000002</v>
      </c>
      <c r="AZ157" s="5">
        <v>1.0692266666667E-2</v>
      </c>
      <c r="BA157">
        <v>1</v>
      </c>
      <c r="BB157" t="s">
        <v>204</v>
      </c>
      <c r="BC157" t="s">
        <v>2136</v>
      </c>
      <c r="BD157" t="s">
        <v>2137</v>
      </c>
      <c r="BE157" t="s">
        <v>81</v>
      </c>
      <c r="BF157" t="s">
        <v>189</v>
      </c>
      <c r="BG157" t="s">
        <v>2138</v>
      </c>
      <c r="BH157" s="6" t="s">
        <v>83</v>
      </c>
      <c r="BK157">
        <v>0</v>
      </c>
      <c r="BL157">
        <v>0</v>
      </c>
      <c r="BM157" t="s">
        <v>101</v>
      </c>
      <c r="BN157" s="3" t="s">
        <v>2139</v>
      </c>
      <c r="BO157" s="5">
        <v>0</v>
      </c>
      <c r="BP157" s="5">
        <v>0</v>
      </c>
      <c r="BQ157" s="34">
        <v>0</v>
      </c>
    </row>
    <row r="158" spans="1:69" x14ac:dyDescent="0.3">
      <c r="A158" s="3" t="s">
        <v>1641</v>
      </c>
      <c r="B158" t="s">
        <v>67</v>
      </c>
      <c r="C158" t="s">
        <v>189</v>
      </c>
      <c r="D158" t="s">
        <v>276</v>
      </c>
      <c r="E158" t="s">
        <v>277</v>
      </c>
      <c r="F158" t="s">
        <v>608</v>
      </c>
      <c r="G158" t="s">
        <v>609</v>
      </c>
      <c r="H158" t="s">
        <v>73</v>
      </c>
      <c r="I158" t="s">
        <v>1642</v>
      </c>
      <c r="J158" s="4">
        <v>45849</v>
      </c>
      <c r="K158" s="4">
        <v>46214</v>
      </c>
      <c r="L158" s="5">
        <v>10000</v>
      </c>
      <c r="M158" s="5">
        <v>10534.08</v>
      </c>
      <c r="N158">
        <v>0</v>
      </c>
      <c r="O158" t="s">
        <v>1656</v>
      </c>
      <c r="P158">
        <v>12</v>
      </c>
      <c r="Q158" t="s">
        <v>75</v>
      </c>
      <c r="R158">
        <v>1702.69</v>
      </c>
      <c r="S158">
        <v>696</v>
      </c>
      <c r="T158" s="5">
        <v>0</v>
      </c>
      <c r="U158" s="5">
        <v>0</v>
      </c>
      <c r="V158">
        <v>0</v>
      </c>
      <c r="W158" s="5">
        <v>6144.88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1706</v>
      </c>
      <c r="AD158" s="4">
        <v>46002</v>
      </c>
      <c r="AE158" t="s">
        <v>76</v>
      </c>
      <c r="AF158">
        <v>6671806345</v>
      </c>
      <c r="AG158" t="s">
        <v>1643</v>
      </c>
      <c r="AI158" t="s">
        <v>158</v>
      </c>
      <c r="AJ158">
        <v>8711021</v>
      </c>
      <c r="AM158" t="s">
        <v>1644</v>
      </c>
      <c r="AN158" t="s">
        <v>1645</v>
      </c>
      <c r="AO158" t="s">
        <v>1646</v>
      </c>
      <c r="AP158" t="s">
        <v>1647</v>
      </c>
      <c r="AQ158" t="s">
        <v>1648</v>
      </c>
      <c r="AR158" t="s">
        <v>1649</v>
      </c>
      <c r="AY158" s="5">
        <v>11508.3</v>
      </c>
      <c r="AZ158" s="5">
        <v>4.5411866666666691</v>
      </c>
      <c r="BA158">
        <v>1</v>
      </c>
      <c r="BB158" t="s">
        <v>204</v>
      </c>
      <c r="BC158" t="s">
        <v>1650</v>
      </c>
      <c r="BD158" t="s">
        <v>1651</v>
      </c>
      <c r="BE158" t="s">
        <v>81</v>
      </c>
      <c r="BF158" t="s">
        <v>260</v>
      </c>
      <c r="BG158" t="s">
        <v>1652</v>
      </c>
      <c r="BH158" s="6" t="s">
        <v>83</v>
      </c>
      <c r="BK158">
        <v>3</v>
      </c>
      <c r="BL158">
        <v>3</v>
      </c>
      <c r="BM158" t="s">
        <v>101</v>
      </c>
      <c r="BN158" s="3" t="s">
        <v>1653</v>
      </c>
      <c r="BO158" s="5">
        <v>0</v>
      </c>
      <c r="BP158" s="5">
        <v>0</v>
      </c>
      <c r="BQ158" s="34">
        <v>0</v>
      </c>
    </row>
    <row r="159" spans="1:69" x14ac:dyDescent="0.3">
      <c r="A159" s="3" t="s">
        <v>2140</v>
      </c>
      <c r="B159" t="s">
        <v>67</v>
      </c>
      <c r="C159" t="s">
        <v>189</v>
      </c>
      <c r="D159" t="s">
        <v>276</v>
      </c>
      <c r="E159" t="s">
        <v>277</v>
      </c>
      <c r="F159" t="s">
        <v>608</v>
      </c>
      <c r="G159" t="s">
        <v>609</v>
      </c>
      <c r="H159" t="s">
        <v>73</v>
      </c>
      <c r="I159" t="s">
        <v>2141</v>
      </c>
      <c r="J159" s="4">
        <v>45874</v>
      </c>
      <c r="K159" s="4">
        <v>46239</v>
      </c>
      <c r="L159" s="5">
        <v>15000</v>
      </c>
      <c r="M159" s="5">
        <v>15801.12</v>
      </c>
      <c r="N159">
        <v>0</v>
      </c>
      <c r="O159" t="s">
        <v>1656</v>
      </c>
      <c r="P159">
        <v>12</v>
      </c>
      <c r="Q159" t="s">
        <v>75</v>
      </c>
      <c r="R159">
        <v>2525.04</v>
      </c>
      <c r="S159">
        <v>696</v>
      </c>
      <c r="T159" s="5">
        <v>0</v>
      </c>
      <c r="U159" s="5">
        <v>0</v>
      </c>
      <c r="V159">
        <v>0</v>
      </c>
      <c r="W159" s="5">
        <v>10534.08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2525.04</v>
      </c>
      <c r="AD159" s="4">
        <v>45996</v>
      </c>
      <c r="AE159" t="s">
        <v>76</v>
      </c>
      <c r="AF159">
        <v>7223963932</v>
      </c>
      <c r="AG159" t="s">
        <v>2142</v>
      </c>
      <c r="AI159" t="s">
        <v>251</v>
      </c>
      <c r="AJ159">
        <v>131011</v>
      </c>
      <c r="AK159" t="s">
        <v>2143</v>
      </c>
      <c r="AM159" t="s">
        <v>2144</v>
      </c>
      <c r="AN159" t="s">
        <v>2145</v>
      </c>
      <c r="AO159" t="s">
        <v>2146</v>
      </c>
      <c r="AP159" t="s">
        <v>2147</v>
      </c>
      <c r="AQ159" t="s">
        <v>2148</v>
      </c>
      <c r="AR159" t="s">
        <v>2149</v>
      </c>
      <c r="AY159" s="5">
        <v>19736.29</v>
      </c>
      <c r="AZ159" s="5">
        <v>0.01</v>
      </c>
      <c r="BA159">
        <v>1</v>
      </c>
      <c r="BB159" t="s">
        <v>204</v>
      </c>
      <c r="BC159" t="s">
        <v>2150</v>
      </c>
      <c r="BD159" t="s">
        <v>2151</v>
      </c>
      <c r="BE159" t="s">
        <v>81</v>
      </c>
      <c r="BF159" t="s">
        <v>260</v>
      </c>
      <c r="BG159" t="s">
        <v>2152</v>
      </c>
      <c r="BH159" s="6" t="s">
        <v>83</v>
      </c>
      <c r="BK159">
        <v>0</v>
      </c>
      <c r="BL159">
        <v>0</v>
      </c>
      <c r="BM159" t="s">
        <v>101</v>
      </c>
      <c r="BN159" s="3" t="s">
        <v>2153</v>
      </c>
      <c r="BO159" s="5">
        <v>0</v>
      </c>
      <c r="BP159" s="5">
        <v>0</v>
      </c>
      <c r="BQ159" s="34">
        <v>0</v>
      </c>
    </row>
    <row r="160" spans="1:69" x14ac:dyDescent="0.3">
      <c r="A160" s="3" t="s">
        <v>1857</v>
      </c>
      <c r="B160" t="s">
        <v>67</v>
      </c>
      <c r="C160" t="s">
        <v>189</v>
      </c>
      <c r="D160" t="s">
        <v>276</v>
      </c>
      <c r="E160" t="s">
        <v>277</v>
      </c>
      <c r="F160" t="s">
        <v>608</v>
      </c>
      <c r="G160" t="s">
        <v>609</v>
      </c>
      <c r="H160" t="s">
        <v>73</v>
      </c>
      <c r="I160" t="s">
        <v>1858</v>
      </c>
      <c r="J160" s="4">
        <v>45866</v>
      </c>
      <c r="K160" s="4">
        <v>46054</v>
      </c>
      <c r="L160" s="5">
        <v>10000</v>
      </c>
      <c r="M160" s="5">
        <v>10534.08</v>
      </c>
      <c r="N160">
        <v>0</v>
      </c>
      <c r="O160" t="s">
        <v>1656</v>
      </c>
      <c r="P160">
        <v>6</v>
      </c>
      <c r="Q160" t="s">
        <v>75</v>
      </c>
      <c r="R160">
        <v>2603.64</v>
      </c>
      <c r="S160">
        <v>348</v>
      </c>
      <c r="T160" s="5">
        <v>0</v>
      </c>
      <c r="U160" s="5">
        <v>0</v>
      </c>
      <c r="V160">
        <v>0</v>
      </c>
      <c r="W160" s="5">
        <v>3511.36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2604</v>
      </c>
      <c r="AD160" s="4">
        <v>45992</v>
      </c>
      <c r="AE160" t="s">
        <v>76</v>
      </c>
      <c r="AF160">
        <v>7225210497</v>
      </c>
      <c r="AG160" t="s">
        <v>1859</v>
      </c>
      <c r="AI160" t="s">
        <v>1860</v>
      </c>
      <c r="AJ160">
        <v>2829010</v>
      </c>
      <c r="AM160" t="s">
        <v>1861</v>
      </c>
      <c r="AN160" t="s">
        <v>1862</v>
      </c>
      <c r="AO160" t="s">
        <v>1863</v>
      </c>
      <c r="AP160" t="s">
        <v>1864</v>
      </c>
      <c r="AQ160" t="s">
        <v>1865</v>
      </c>
      <c r="AR160" t="s">
        <v>1866</v>
      </c>
      <c r="AY160" s="5">
        <v>5084.22</v>
      </c>
      <c r="AZ160" s="5">
        <v>7.07</v>
      </c>
      <c r="BA160">
        <v>1</v>
      </c>
      <c r="BB160" t="s">
        <v>204</v>
      </c>
      <c r="BC160" t="s">
        <v>1867</v>
      </c>
      <c r="BD160" t="s">
        <v>260</v>
      </c>
      <c r="BE160" t="s">
        <v>81</v>
      </c>
      <c r="BF160" t="s">
        <v>260</v>
      </c>
      <c r="BG160" t="s">
        <v>1868</v>
      </c>
      <c r="BH160" s="6" t="s">
        <v>83</v>
      </c>
      <c r="BK160">
        <v>0</v>
      </c>
      <c r="BL160">
        <v>0</v>
      </c>
      <c r="BM160" t="s">
        <v>101</v>
      </c>
      <c r="BN160" s="3" t="s">
        <v>1869</v>
      </c>
      <c r="BO160" s="5">
        <v>0</v>
      </c>
      <c r="BP160" s="5">
        <v>0</v>
      </c>
      <c r="BQ160" s="34">
        <v>0</v>
      </c>
    </row>
    <row r="161" spans="1:69" x14ac:dyDescent="0.3">
      <c r="A161" s="3" t="s">
        <v>2182</v>
      </c>
      <c r="B161" t="s">
        <v>67</v>
      </c>
      <c r="C161" t="s">
        <v>189</v>
      </c>
      <c r="D161" t="s">
        <v>276</v>
      </c>
      <c r="E161" t="s">
        <v>277</v>
      </c>
      <c r="F161" t="s">
        <v>608</v>
      </c>
      <c r="G161" t="s">
        <v>609</v>
      </c>
      <c r="H161" t="s">
        <v>175</v>
      </c>
      <c r="I161" t="s">
        <v>2183</v>
      </c>
      <c r="J161" s="4">
        <v>45817</v>
      </c>
      <c r="K161" s="4">
        <v>46182</v>
      </c>
      <c r="L161" s="5">
        <v>40000</v>
      </c>
      <c r="M161" s="5">
        <v>42136.31</v>
      </c>
      <c r="N161">
        <v>0</v>
      </c>
      <c r="O161" t="s">
        <v>1656</v>
      </c>
      <c r="P161">
        <v>12</v>
      </c>
      <c r="Q161" t="s">
        <v>75</v>
      </c>
      <c r="R161">
        <v>6636.77</v>
      </c>
      <c r="S161">
        <v>696</v>
      </c>
      <c r="T161" s="5">
        <v>0</v>
      </c>
      <c r="U161" s="5">
        <v>0</v>
      </c>
      <c r="V161">
        <v>0</v>
      </c>
      <c r="W161" s="5">
        <v>21068.15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6637</v>
      </c>
      <c r="AD161" s="4">
        <v>46000</v>
      </c>
      <c r="AE161" t="s">
        <v>76</v>
      </c>
      <c r="AF161">
        <v>7221604238</v>
      </c>
      <c r="AG161" t="s">
        <v>2184</v>
      </c>
      <c r="AI161" t="s">
        <v>2185</v>
      </c>
      <c r="AJ161">
        <v>111063</v>
      </c>
      <c r="AK161" t="s">
        <v>2186</v>
      </c>
      <c r="AM161" t="s">
        <v>2187</v>
      </c>
      <c r="AN161" t="s">
        <v>2188</v>
      </c>
      <c r="AO161" t="s">
        <v>2189</v>
      </c>
      <c r="AP161" t="s">
        <v>2190</v>
      </c>
      <c r="AQ161" t="s">
        <v>2191</v>
      </c>
      <c r="AR161" t="s">
        <v>2192</v>
      </c>
      <c r="AY161" s="5">
        <v>39471.19</v>
      </c>
      <c r="AZ161" s="5">
        <v>1.4070638333333301</v>
      </c>
      <c r="BA161">
        <v>1</v>
      </c>
      <c r="BB161" t="s">
        <v>204</v>
      </c>
      <c r="BC161" t="s">
        <v>2193</v>
      </c>
      <c r="BD161" t="s">
        <v>2194</v>
      </c>
      <c r="BE161" t="s">
        <v>81</v>
      </c>
      <c r="BF161" t="s">
        <v>2195</v>
      </c>
      <c r="BG161" t="s">
        <v>2196</v>
      </c>
      <c r="BH161" s="6" t="s">
        <v>83</v>
      </c>
      <c r="BK161">
        <v>1</v>
      </c>
      <c r="BL161">
        <v>1</v>
      </c>
      <c r="BM161" t="s">
        <v>101</v>
      </c>
      <c r="BN161" s="3" t="s">
        <v>2197</v>
      </c>
      <c r="BO161" s="5">
        <v>0</v>
      </c>
      <c r="BP161" s="5">
        <v>0</v>
      </c>
      <c r="BQ161" s="34">
        <v>0</v>
      </c>
    </row>
    <row r="162" spans="1:69" x14ac:dyDescent="0.3">
      <c r="A162" s="3" t="s">
        <v>1870</v>
      </c>
      <c r="B162" t="s">
        <v>67</v>
      </c>
      <c r="C162" t="s">
        <v>189</v>
      </c>
      <c r="D162" t="s">
        <v>353</v>
      </c>
      <c r="E162" t="s">
        <v>354</v>
      </c>
      <c r="F162" t="s">
        <v>608</v>
      </c>
      <c r="G162" t="s">
        <v>609</v>
      </c>
      <c r="H162" t="s">
        <v>73</v>
      </c>
      <c r="I162" t="s">
        <v>1871</v>
      </c>
      <c r="J162" s="4">
        <v>45861</v>
      </c>
      <c r="K162" s="4">
        <v>46226</v>
      </c>
      <c r="L162" s="5">
        <v>10000</v>
      </c>
      <c r="M162" s="5">
        <v>10534.08</v>
      </c>
      <c r="N162">
        <v>0</v>
      </c>
      <c r="O162" t="s">
        <v>1656</v>
      </c>
      <c r="P162">
        <v>12</v>
      </c>
      <c r="Q162" t="s">
        <v>75</v>
      </c>
      <c r="R162">
        <v>1702.69</v>
      </c>
      <c r="S162">
        <v>696</v>
      </c>
      <c r="T162" s="5">
        <v>0</v>
      </c>
      <c r="U162" s="5">
        <v>0</v>
      </c>
      <c r="V162">
        <v>0</v>
      </c>
      <c r="W162" s="5">
        <v>7022.72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1703</v>
      </c>
      <c r="AD162" s="4">
        <v>45985</v>
      </c>
      <c r="AE162" t="s">
        <v>76</v>
      </c>
      <c r="AF162">
        <v>7295938738</v>
      </c>
      <c r="AG162" t="s">
        <v>1872</v>
      </c>
      <c r="AI162" t="s">
        <v>158</v>
      </c>
      <c r="AJ162">
        <v>8711021</v>
      </c>
      <c r="AM162" t="s">
        <v>1873</v>
      </c>
      <c r="AN162" t="s">
        <v>1874</v>
      </c>
      <c r="AO162" t="s">
        <v>1875</v>
      </c>
      <c r="AP162" t="s">
        <v>1876</v>
      </c>
      <c r="AQ162" t="s">
        <v>1877</v>
      </c>
      <c r="AR162" t="s">
        <v>1878</v>
      </c>
      <c r="AY162" s="5">
        <v>13156.3</v>
      </c>
      <c r="AZ162" s="5">
        <v>1.2329493333333299</v>
      </c>
      <c r="BA162">
        <v>1</v>
      </c>
      <c r="BB162" t="s">
        <v>204</v>
      </c>
      <c r="BC162" t="s">
        <v>1879</v>
      </c>
      <c r="BD162" t="s">
        <v>972</v>
      </c>
      <c r="BE162" t="s">
        <v>81</v>
      </c>
      <c r="BF162" t="s">
        <v>189</v>
      </c>
      <c r="BG162" t="s">
        <v>1880</v>
      </c>
      <c r="BH162" s="6" t="s">
        <v>83</v>
      </c>
      <c r="BK162">
        <v>0</v>
      </c>
      <c r="BL162">
        <v>0</v>
      </c>
      <c r="BM162" t="s">
        <v>101</v>
      </c>
      <c r="BN162" s="3" t="s">
        <v>1881</v>
      </c>
      <c r="BO162" s="5">
        <v>0</v>
      </c>
      <c r="BP162" s="5">
        <v>0</v>
      </c>
      <c r="BQ162" s="34">
        <v>0</v>
      </c>
    </row>
    <row r="163" spans="1:69" x14ac:dyDescent="0.3">
      <c r="A163" s="3" t="s">
        <v>1937</v>
      </c>
      <c r="B163" t="s">
        <v>67</v>
      </c>
      <c r="C163" t="s">
        <v>189</v>
      </c>
      <c r="D163" t="s">
        <v>353</v>
      </c>
      <c r="E163" t="s">
        <v>354</v>
      </c>
      <c r="F163" t="s">
        <v>608</v>
      </c>
      <c r="G163" t="s">
        <v>609</v>
      </c>
      <c r="H163" t="s">
        <v>73</v>
      </c>
      <c r="I163" t="s">
        <v>1938</v>
      </c>
      <c r="J163" s="4">
        <v>45867</v>
      </c>
      <c r="K163" s="4">
        <v>46035</v>
      </c>
      <c r="L163" s="5">
        <v>7000</v>
      </c>
      <c r="M163" s="5">
        <v>7373.85</v>
      </c>
      <c r="N163">
        <v>0</v>
      </c>
      <c r="O163" t="s">
        <v>1656</v>
      </c>
      <c r="P163">
        <v>12</v>
      </c>
      <c r="Q163" t="s">
        <v>293</v>
      </c>
      <c r="R163">
        <v>919.56000000000006</v>
      </c>
      <c r="S163">
        <v>696</v>
      </c>
      <c r="T163" s="5">
        <v>0</v>
      </c>
      <c r="U163" s="5">
        <v>10</v>
      </c>
      <c r="V163">
        <v>0</v>
      </c>
      <c r="W163" s="5">
        <v>1228.97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920</v>
      </c>
      <c r="AD163" s="4">
        <v>46007</v>
      </c>
      <c r="AE163" t="s">
        <v>76</v>
      </c>
      <c r="AF163">
        <v>7208120013</v>
      </c>
      <c r="AG163" t="s">
        <v>1939</v>
      </c>
      <c r="AI163" t="s">
        <v>1940</v>
      </c>
      <c r="AJ163">
        <v>4111027</v>
      </c>
      <c r="AK163" t="s">
        <v>1941</v>
      </c>
      <c r="AM163" t="s">
        <v>1942</v>
      </c>
      <c r="AN163" t="s">
        <v>1943</v>
      </c>
      <c r="AO163" t="s">
        <v>1944</v>
      </c>
      <c r="AP163" t="s">
        <v>1945</v>
      </c>
      <c r="AQ163" t="s">
        <v>1946</v>
      </c>
      <c r="AR163" t="s">
        <v>1947</v>
      </c>
      <c r="AY163" s="5">
        <v>1720.55</v>
      </c>
      <c r="AZ163" s="5">
        <v>2.5750000000000002</v>
      </c>
      <c r="BA163">
        <v>1</v>
      </c>
      <c r="BB163" t="s">
        <v>204</v>
      </c>
      <c r="BC163" t="s">
        <v>1948</v>
      </c>
      <c r="BD163" t="s">
        <v>1949</v>
      </c>
      <c r="BE163" t="s">
        <v>81</v>
      </c>
      <c r="BF163" t="s">
        <v>189</v>
      </c>
      <c r="BG163" t="s">
        <v>1950</v>
      </c>
      <c r="BH163" s="6" t="s">
        <v>83</v>
      </c>
      <c r="BK163">
        <v>0</v>
      </c>
      <c r="BL163">
        <v>0</v>
      </c>
      <c r="BM163" t="s">
        <v>101</v>
      </c>
      <c r="BN163" s="3" t="s">
        <v>1951</v>
      </c>
      <c r="BO163" s="5">
        <v>0</v>
      </c>
      <c r="BP163" s="5">
        <v>0</v>
      </c>
      <c r="BQ163" s="34">
        <v>0</v>
      </c>
    </row>
    <row r="164" spans="1:69" x14ac:dyDescent="0.3">
      <c r="A164" s="3" t="s">
        <v>1895</v>
      </c>
      <c r="B164" t="s">
        <v>67</v>
      </c>
      <c r="C164" t="s">
        <v>189</v>
      </c>
      <c r="D164" t="s">
        <v>276</v>
      </c>
      <c r="E164" t="s">
        <v>277</v>
      </c>
      <c r="F164" t="s">
        <v>608</v>
      </c>
      <c r="G164" t="s">
        <v>609</v>
      </c>
      <c r="H164" t="s">
        <v>73</v>
      </c>
      <c r="I164" t="s">
        <v>1896</v>
      </c>
      <c r="J164" s="4">
        <v>45854</v>
      </c>
      <c r="K164" s="4">
        <v>46038</v>
      </c>
      <c r="L164" s="5">
        <v>5000.01</v>
      </c>
      <c r="M164" s="5">
        <v>5267.04</v>
      </c>
      <c r="N164">
        <v>0</v>
      </c>
      <c r="O164" t="s">
        <v>1656</v>
      </c>
      <c r="P164">
        <v>6</v>
      </c>
      <c r="Q164" t="s">
        <v>75</v>
      </c>
      <c r="R164">
        <v>1322.42</v>
      </c>
      <c r="S164">
        <v>348</v>
      </c>
      <c r="T164" s="5">
        <v>0</v>
      </c>
      <c r="U164" s="5">
        <v>0</v>
      </c>
      <c r="V164">
        <v>0</v>
      </c>
      <c r="W164" s="5">
        <v>877.84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1330</v>
      </c>
      <c r="AD164" s="4">
        <v>46007</v>
      </c>
      <c r="AE164" t="s">
        <v>76</v>
      </c>
      <c r="AF164">
        <v>7141002888</v>
      </c>
      <c r="AG164" t="s">
        <v>1897</v>
      </c>
      <c r="AI164" t="s">
        <v>1898</v>
      </c>
      <c r="AJ164">
        <v>2099043</v>
      </c>
      <c r="AM164" t="s">
        <v>1899</v>
      </c>
      <c r="AN164" t="s">
        <v>1900</v>
      </c>
      <c r="AO164" t="s">
        <v>1901</v>
      </c>
      <c r="AP164" t="s">
        <v>1902</v>
      </c>
      <c r="AQ164" t="s">
        <v>1903</v>
      </c>
      <c r="AR164" t="s">
        <v>1904</v>
      </c>
      <c r="AY164" s="5">
        <v>1220.5</v>
      </c>
      <c r="AZ164" s="5">
        <v>43.913365333333331</v>
      </c>
      <c r="BA164">
        <v>1</v>
      </c>
      <c r="BB164" t="s">
        <v>204</v>
      </c>
      <c r="BC164" t="s">
        <v>1905</v>
      </c>
      <c r="BD164" t="s">
        <v>1906</v>
      </c>
      <c r="BE164" t="s">
        <v>81</v>
      </c>
      <c r="BF164" t="s">
        <v>260</v>
      </c>
      <c r="BG164" t="s">
        <v>1907</v>
      </c>
      <c r="BH164" s="6" t="s">
        <v>83</v>
      </c>
      <c r="BK164">
        <v>3</v>
      </c>
      <c r="BL164">
        <v>3</v>
      </c>
      <c r="BM164" t="s">
        <v>101</v>
      </c>
      <c r="BN164" s="3" t="s">
        <v>1908</v>
      </c>
      <c r="BO164" s="5">
        <v>0</v>
      </c>
      <c r="BP164" s="5">
        <v>0</v>
      </c>
      <c r="BQ164" s="34">
        <v>0</v>
      </c>
    </row>
    <row r="165" spans="1:69" x14ac:dyDescent="0.3">
      <c r="A165" s="3" t="s">
        <v>1777</v>
      </c>
      <c r="B165" t="s">
        <v>67</v>
      </c>
      <c r="C165" t="s">
        <v>68</v>
      </c>
      <c r="D165" t="s">
        <v>335</v>
      </c>
      <c r="E165" t="s">
        <v>336</v>
      </c>
      <c r="F165" t="s">
        <v>608</v>
      </c>
      <c r="G165" t="s">
        <v>609</v>
      </c>
      <c r="H165" t="s">
        <v>73</v>
      </c>
      <c r="I165" t="s">
        <v>1778</v>
      </c>
      <c r="J165" s="4">
        <v>45866</v>
      </c>
      <c r="K165" s="4">
        <v>46235</v>
      </c>
      <c r="L165" s="5">
        <v>20000</v>
      </c>
      <c r="M165" s="5">
        <v>21068.16</v>
      </c>
      <c r="N165">
        <v>0</v>
      </c>
      <c r="O165" t="s">
        <v>1656</v>
      </c>
      <c r="P165">
        <v>12</v>
      </c>
      <c r="Q165" t="s">
        <v>75</v>
      </c>
      <c r="R165">
        <v>3364.19</v>
      </c>
      <c r="S165">
        <v>696</v>
      </c>
      <c r="T165" s="5">
        <v>0</v>
      </c>
      <c r="U165" s="5">
        <v>0</v>
      </c>
      <c r="V165">
        <v>0</v>
      </c>
      <c r="W165" s="5">
        <v>14045.44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3365</v>
      </c>
      <c r="AD165" s="4">
        <v>45992</v>
      </c>
      <c r="AE165" t="s">
        <v>76</v>
      </c>
      <c r="AF165">
        <v>7226129557</v>
      </c>
      <c r="AG165" t="s">
        <v>1779</v>
      </c>
      <c r="AI165" t="s">
        <v>1167</v>
      </c>
      <c r="AJ165">
        <v>8611015</v>
      </c>
      <c r="AK165" t="s">
        <v>1780</v>
      </c>
      <c r="AL165" t="s">
        <v>1781</v>
      </c>
      <c r="AM165" t="s">
        <v>1782</v>
      </c>
      <c r="AN165" t="s">
        <v>1783</v>
      </c>
      <c r="AO165" t="s">
        <v>1784</v>
      </c>
      <c r="AP165" t="s">
        <v>1785</v>
      </c>
      <c r="AQ165" t="s">
        <v>1786</v>
      </c>
      <c r="AR165" t="s">
        <v>1787</v>
      </c>
      <c r="AY165" s="5">
        <v>26447.1</v>
      </c>
      <c r="AZ165" s="5">
        <v>2.4300000000000002</v>
      </c>
      <c r="BA165">
        <v>1</v>
      </c>
      <c r="BB165" t="s">
        <v>204</v>
      </c>
      <c r="BC165" t="s">
        <v>1788</v>
      </c>
      <c r="BD165" t="s">
        <v>1761</v>
      </c>
      <c r="BE165" t="s">
        <v>81</v>
      </c>
      <c r="BF165" t="s">
        <v>82</v>
      </c>
      <c r="BG165" t="s">
        <v>1789</v>
      </c>
      <c r="BH165" s="6" t="s">
        <v>83</v>
      </c>
      <c r="BK165">
        <v>0</v>
      </c>
      <c r="BL165">
        <v>0</v>
      </c>
      <c r="BM165" t="s">
        <v>101</v>
      </c>
      <c r="BN165" s="3" t="s">
        <v>1790</v>
      </c>
      <c r="BO165" s="5">
        <v>0</v>
      </c>
      <c r="BP165" s="5">
        <v>0</v>
      </c>
      <c r="BQ165" s="34">
        <v>0</v>
      </c>
    </row>
    <row r="166" spans="1:69" x14ac:dyDescent="0.3">
      <c r="A166" s="3" t="s">
        <v>2295</v>
      </c>
      <c r="B166" t="s">
        <v>67</v>
      </c>
      <c r="C166" t="s">
        <v>132</v>
      </c>
      <c r="D166" t="s">
        <v>190</v>
      </c>
      <c r="E166" t="s">
        <v>191</v>
      </c>
      <c r="F166" t="s">
        <v>608</v>
      </c>
      <c r="G166" t="s">
        <v>609</v>
      </c>
      <c r="H166" t="s">
        <v>73</v>
      </c>
      <c r="I166" t="s">
        <v>2296</v>
      </c>
      <c r="J166" s="4">
        <v>45775</v>
      </c>
      <c r="K166" s="4">
        <v>46140</v>
      </c>
      <c r="L166" s="5">
        <v>10000</v>
      </c>
      <c r="M166" s="5">
        <v>10534.08</v>
      </c>
      <c r="N166">
        <v>0</v>
      </c>
      <c r="O166" t="s">
        <v>1656</v>
      </c>
      <c r="P166">
        <v>12</v>
      </c>
      <c r="Q166" t="s">
        <v>75</v>
      </c>
      <c r="R166">
        <v>1702.69</v>
      </c>
      <c r="S166">
        <v>696</v>
      </c>
      <c r="T166" s="5">
        <v>0</v>
      </c>
      <c r="U166" s="5">
        <v>0</v>
      </c>
      <c r="V166">
        <v>0</v>
      </c>
      <c r="W166" s="5">
        <v>4389.2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1702.69</v>
      </c>
      <c r="AD166" s="4">
        <v>45989</v>
      </c>
      <c r="AE166" t="s">
        <v>76</v>
      </c>
      <c r="AF166">
        <v>4431747146</v>
      </c>
      <c r="AG166" t="s">
        <v>2297</v>
      </c>
      <c r="AI166" t="s">
        <v>1031</v>
      </c>
      <c r="AJ166">
        <v>9800000</v>
      </c>
      <c r="AK166" t="s">
        <v>2298</v>
      </c>
      <c r="AL166" t="s">
        <v>2299</v>
      </c>
      <c r="AM166" t="s">
        <v>2300</v>
      </c>
      <c r="AN166" t="s">
        <v>2301</v>
      </c>
      <c r="AO166" t="s">
        <v>2302</v>
      </c>
      <c r="AP166" t="s">
        <v>2303</v>
      </c>
      <c r="AQ166" t="s">
        <v>2304</v>
      </c>
      <c r="AR166" t="s">
        <v>2305</v>
      </c>
      <c r="AY166" s="5">
        <v>8223.2000000000007</v>
      </c>
      <c r="AZ166" s="5">
        <v>0.26</v>
      </c>
      <c r="BA166">
        <v>1</v>
      </c>
      <c r="BB166" t="s">
        <v>204</v>
      </c>
      <c r="BC166" t="s">
        <v>2306</v>
      </c>
      <c r="BD166" t="s">
        <v>2307</v>
      </c>
      <c r="BE166" t="s">
        <v>149</v>
      </c>
      <c r="BF166" t="s">
        <v>132</v>
      </c>
      <c r="BH166" s="6" t="s">
        <v>83</v>
      </c>
      <c r="BK166">
        <v>1</v>
      </c>
      <c r="BL166">
        <v>1</v>
      </c>
      <c r="BM166" t="s">
        <v>101</v>
      </c>
      <c r="BN166" s="3" t="s">
        <v>2308</v>
      </c>
      <c r="BO166" s="5">
        <v>0</v>
      </c>
      <c r="BP166" s="5">
        <v>0</v>
      </c>
      <c r="BQ166" s="34">
        <v>0</v>
      </c>
    </row>
    <row r="167" spans="1:69" x14ac:dyDescent="0.3">
      <c r="A167" s="3" t="s">
        <v>1205</v>
      </c>
      <c r="B167" t="s">
        <v>67</v>
      </c>
      <c r="C167" t="s">
        <v>132</v>
      </c>
      <c r="D167" t="s">
        <v>1206</v>
      </c>
      <c r="E167" t="s">
        <v>1207</v>
      </c>
      <c r="F167" t="s">
        <v>154</v>
      </c>
      <c r="G167" t="s">
        <v>155</v>
      </c>
      <c r="H167" t="s">
        <v>175</v>
      </c>
      <c r="I167" t="s">
        <v>1208</v>
      </c>
      <c r="J167" s="4">
        <v>45737</v>
      </c>
      <c r="K167" s="4">
        <v>46102</v>
      </c>
      <c r="L167" s="5">
        <v>64000.01</v>
      </c>
      <c r="M167" s="5">
        <v>67418.100000000006</v>
      </c>
      <c r="N167">
        <v>0</v>
      </c>
      <c r="O167" t="s">
        <v>1656</v>
      </c>
      <c r="P167">
        <v>12</v>
      </c>
      <c r="Q167" t="s">
        <v>75</v>
      </c>
      <c r="R167">
        <v>9346.81</v>
      </c>
      <c r="S167">
        <v>696</v>
      </c>
      <c r="T167" s="5">
        <v>0</v>
      </c>
      <c r="U167" s="5">
        <v>0</v>
      </c>
      <c r="V167">
        <v>1</v>
      </c>
      <c r="W167" s="5">
        <v>22472.7</v>
      </c>
      <c r="X167" s="5">
        <v>9346.2867262500004</v>
      </c>
      <c r="Y167" s="5">
        <v>5618.18</v>
      </c>
      <c r="Z167" s="5">
        <v>3670.63</v>
      </c>
      <c r="AA167" s="5">
        <v>57.48</v>
      </c>
      <c r="AB167" s="5">
        <v>0</v>
      </c>
      <c r="AC167" s="5">
        <v>9347</v>
      </c>
      <c r="AD167" s="4">
        <v>45982</v>
      </c>
      <c r="AE167" t="s">
        <v>76</v>
      </c>
      <c r="AF167">
        <v>4471537025</v>
      </c>
      <c r="AG167" t="s">
        <v>1209</v>
      </c>
      <c r="AI167" t="s">
        <v>1210</v>
      </c>
      <c r="AJ167">
        <v>9213018</v>
      </c>
      <c r="AK167" t="s">
        <v>1211</v>
      </c>
      <c r="AM167" t="s">
        <v>1212</v>
      </c>
      <c r="AN167" t="s">
        <v>1213</v>
      </c>
      <c r="AO167" t="s">
        <v>1214</v>
      </c>
      <c r="AP167" t="s">
        <v>1215</v>
      </c>
      <c r="AQ167" t="s">
        <v>1216</v>
      </c>
      <c r="AR167" t="s">
        <v>1217</v>
      </c>
      <c r="AS167" t="s">
        <v>144</v>
      </c>
      <c r="AT167" t="s">
        <v>1218</v>
      </c>
      <c r="AU167" t="s">
        <v>1219</v>
      </c>
      <c r="AY167" s="5">
        <v>37212.720000000001</v>
      </c>
      <c r="AZ167" s="5">
        <v>0</v>
      </c>
      <c r="BA167">
        <v>1</v>
      </c>
      <c r="BB167" t="s">
        <v>204</v>
      </c>
      <c r="BC167" t="s">
        <v>1220</v>
      </c>
      <c r="BD167" t="s">
        <v>132</v>
      </c>
      <c r="BE167" t="s">
        <v>149</v>
      </c>
      <c r="BF167" t="s">
        <v>132</v>
      </c>
      <c r="BH167" s="6" t="s">
        <v>83</v>
      </c>
      <c r="BK167">
        <v>7</v>
      </c>
      <c r="BL167">
        <v>4</v>
      </c>
      <c r="BM167" t="s">
        <v>101</v>
      </c>
      <c r="BN167" s="3" t="s">
        <v>1221</v>
      </c>
      <c r="BO167" s="5">
        <v>0</v>
      </c>
      <c r="BP167" s="5">
        <v>0</v>
      </c>
      <c r="BQ167" s="34">
        <v>0.25115838687013481</v>
      </c>
    </row>
    <row r="168" spans="1:69" x14ac:dyDescent="0.3">
      <c r="A168" s="3" t="s">
        <v>2309</v>
      </c>
      <c r="B168" t="s">
        <v>67</v>
      </c>
      <c r="C168" t="s">
        <v>132</v>
      </c>
      <c r="D168" t="s">
        <v>190</v>
      </c>
      <c r="E168" t="s">
        <v>191</v>
      </c>
      <c r="F168" t="s">
        <v>608</v>
      </c>
      <c r="G168" t="s">
        <v>609</v>
      </c>
      <c r="H168" t="s">
        <v>73</v>
      </c>
      <c r="I168" t="s">
        <v>2310</v>
      </c>
      <c r="J168" s="4">
        <v>45791</v>
      </c>
      <c r="K168" s="4">
        <v>46158</v>
      </c>
      <c r="L168" s="5">
        <v>10000</v>
      </c>
      <c r="M168" s="5">
        <v>10534.08</v>
      </c>
      <c r="N168">
        <v>0</v>
      </c>
      <c r="O168" t="s">
        <v>1656</v>
      </c>
      <c r="P168">
        <v>12</v>
      </c>
      <c r="Q168" t="s">
        <v>75</v>
      </c>
      <c r="R168">
        <v>1702.69</v>
      </c>
      <c r="S168">
        <v>696</v>
      </c>
      <c r="T168" s="5">
        <v>0</v>
      </c>
      <c r="U168" s="5">
        <v>0</v>
      </c>
      <c r="V168">
        <v>0</v>
      </c>
      <c r="W168" s="5">
        <v>4389.46</v>
      </c>
      <c r="X168" s="5">
        <v>0.262338666666667</v>
      </c>
      <c r="Y168" s="5">
        <v>0.26</v>
      </c>
      <c r="Z168" s="5">
        <v>0</v>
      </c>
      <c r="AA168" s="5">
        <v>0</v>
      </c>
      <c r="AB168" s="5">
        <v>0</v>
      </c>
      <c r="AC168" s="5">
        <v>1702.62</v>
      </c>
      <c r="AD168" s="4">
        <v>46007</v>
      </c>
      <c r="AE168" t="s">
        <v>76</v>
      </c>
      <c r="AF168">
        <v>4432133914</v>
      </c>
      <c r="AG168" t="s">
        <v>2311</v>
      </c>
      <c r="AI168" t="s">
        <v>2312</v>
      </c>
      <c r="AJ168">
        <v>6693015</v>
      </c>
      <c r="AM168" t="s">
        <v>2313</v>
      </c>
      <c r="AN168" t="s">
        <v>2314</v>
      </c>
      <c r="AO168" t="s">
        <v>2315</v>
      </c>
      <c r="AP168" t="s">
        <v>2316</v>
      </c>
      <c r="AQ168" t="s">
        <v>2317</v>
      </c>
      <c r="AR168" t="s">
        <v>2318</v>
      </c>
      <c r="AY168" s="5">
        <v>8223.7199999999993</v>
      </c>
      <c r="AZ168" s="5">
        <v>0</v>
      </c>
      <c r="BA168">
        <v>1</v>
      </c>
      <c r="BB168" t="s">
        <v>204</v>
      </c>
      <c r="BC168" t="s">
        <v>2319</v>
      </c>
      <c r="BD168" t="s">
        <v>2320</v>
      </c>
      <c r="BE168" t="s">
        <v>149</v>
      </c>
      <c r="BF168" t="s">
        <v>2321</v>
      </c>
      <c r="BH168" s="6" t="s">
        <v>83</v>
      </c>
      <c r="BK168">
        <v>0</v>
      </c>
      <c r="BL168">
        <v>0</v>
      </c>
      <c r="BM168" t="s">
        <v>101</v>
      </c>
      <c r="BN168" s="3" t="s">
        <v>2322</v>
      </c>
      <c r="BO168" s="5">
        <v>0</v>
      </c>
      <c r="BP168" s="5">
        <v>0</v>
      </c>
      <c r="BQ168" s="34">
        <v>3.190024303680901E-5</v>
      </c>
    </row>
    <row r="169" spans="1:69" x14ac:dyDescent="0.3">
      <c r="A169" s="3" t="s">
        <v>2281</v>
      </c>
      <c r="B169" t="s">
        <v>67</v>
      </c>
      <c r="C169" t="s">
        <v>132</v>
      </c>
      <c r="D169" t="s">
        <v>152</v>
      </c>
      <c r="E169" t="s">
        <v>153</v>
      </c>
      <c r="F169" t="s">
        <v>608</v>
      </c>
      <c r="G169" t="s">
        <v>609</v>
      </c>
      <c r="H169" t="s">
        <v>73</v>
      </c>
      <c r="I169" t="s">
        <v>2282</v>
      </c>
      <c r="J169" s="4">
        <v>45684</v>
      </c>
      <c r="K169" s="4">
        <v>46414</v>
      </c>
      <c r="L169" s="5">
        <v>200000</v>
      </c>
      <c r="M169" s="5">
        <v>210681.55</v>
      </c>
      <c r="N169">
        <v>0</v>
      </c>
      <c r="O169" t="s">
        <v>1656</v>
      </c>
      <c r="P169">
        <v>24</v>
      </c>
      <c r="Q169" t="s">
        <v>75</v>
      </c>
      <c r="R169">
        <v>21935.21</v>
      </c>
      <c r="S169">
        <v>1392</v>
      </c>
      <c r="T169" s="5">
        <v>0</v>
      </c>
      <c r="U169" s="5">
        <v>0</v>
      </c>
      <c r="V169">
        <v>0</v>
      </c>
      <c r="W169" s="5">
        <v>169385.12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21936</v>
      </c>
      <c r="AD169" s="4">
        <v>45987</v>
      </c>
      <c r="AE169" t="s">
        <v>76</v>
      </c>
      <c r="AF169">
        <v>4471036280</v>
      </c>
      <c r="AG169" t="s">
        <v>2283</v>
      </c>
      <c r="AI169" t="s">
        <v>2284</v>
      </c>
      <c r="AJ169">
        <v>2529074</v>
      </c>
      <c r="AM169" t="s">
        <v>2285</v>
      </c>
      <c r="AN169" t="s">
        <v>2286</v>
      </c>
      <c r="AO169" t="s">
        <v>2287</v>
      </c>
      <c r="AP169" t="s">
        <v>2288</v>
      </c>
      <c r="AQ169" t="s">
        <v>2289</v>
      </c>
      <c r="AR169" t="s">
        <v>2290</v>
      </c>
      <c r="AS169" t="s">
        <v>144</v>
      </c>
      <c r="AT169" t="s">
        <v>2291</v>
      </c>
      <c r="AU169" t="s">
        <v>2292</v>
      </c>
      <c r="AY169" s="5">
        <v>169379.6</v>
      </c>
      <c r="AZ169" s="5">
        <v>5.52</v>
      </c>
      <c r="BA169">
        <v>4</v>
      </c>
      <c r="BB169" t="s">
        <v>1130</v>
      </c>
      <c r="BC169" t="s">
        <v>2293</v>
      </c>
      <c r="BD169" t="s">
        <v>168</v>
      </c>
      <c r="BE169" t="s">
        <v>149</v>
      </c>
      <c r="BF169" t="s">
        <v>132</v>
      </c>
      <c r="BH169" s="6" t="s">
        <v>83</v>
      </c>
      <c r="BK169">
        <v>0</v>
      </c>
      <c r="BL169">
        <v>0</v>
      </c>
      <c r="BM169" t="s">
        <v>101</v>
      </c>
      <c r="BN169" s="3" t="s">
        <v>2294</v>
      </c>
      <c r="BO169" s="5">
        <v>0</v>
      </c>
      <c r="BP169" s="5">
        <v>0</v>
      </c>
      <c r="BQ169" s="34">
        <v>0</v>
      </c>
    </row>
    <row r="170" spans="1:69" x14ac:dyDescent="0.3">
      <c r="A170" s="3" t="s">
        <v>1495</v>
      </c>
      <c r="B170" t="s">
        <v>67</v>
      </c>
      <c r="C170" t="s">
        <v>189</v>
      </c>
      <c r="D170" t="s">
        <v>276</v>
      </c>
      <c r="E170" t="s">
        <v>277</v>
      </c>
      <c r="F170" t="s">
        <v>192</v>
      </c>
      <c r="G170" t="s">
        <v>193</v>
      </c>
      <c r="H170" t="s">
        <v>73</v>
      </c>
      <c r="I170" t="s">
        <v>1496</v>
      </c>
      <c r="J170" s="4">
        <v>45873</v>
      </c>
      <c r="K170" s="4">
        <v>46238</v>
      </c>
      <c r="L170" s="5">
        <v>100000</v>
      </c>
      <c r="M170" s="5">
        <v>105340.78</v>
      </c>
      <c r="N170">
        <v>0</v>
      </c>
      <c r="O170" t="s">
        <v>1656</v>
      </c>
      <c r="P170">
        <v>12</v>
      </c>
      <c r="Q170" t="s">
        <v>75</v>
      </c>
      <c r="R170">
        <v>16504.91</v>
      </c>
      <c r="S170">
        <v>696</v>
      </c>
      <c r="T170" s="5">
        <v>0</v>
      </c>
      <c r="U170" s="5">
        <v>0</v>
      </c>
      <c r="V170">
        <v>0</v>
      </c>
      <c r="W170" s="5">
        <v>70227.19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17100</v>
      </c>
      <c r="AD170" s="4">
        <v>46007</v>
      </c>
      <c r="AE170" t="s">
        <v>76</v>
      </c>
      <c r="AF170">
        <v>7226830718</v>
      </c>
      <c r="AG170" t="s">
        <v>1497</v>
      </c>
      <c r="AI170" t="s">
        <v>91</v>
      </c>
      <c r="AJ170">
        <v>6122014</v>
      </c>
      <c r="AK170" t="s">
        <v>1498</v>
      </c>
      <c r="AM170" t="s">
        <v>1499</v>
      </c>
      <c r="AN170" t="s">
        <v>1500</v>
      </c>
      <c r="AO170" t="s">
        <v>1501</v>
      </c>
      <c r="AP170" t="s">
        <v>1502</v>
      </c>
      <c r="AQ170" t="s">
        <v>1503</v>
      </c>
      <c r="AR170" t="s">
        <v>1504</v>
      </c>
      <c r="AS170" t="s">
        <v>144</v>
      </c>
      <c r="AT170" t="s">
        <v>1505</v>
      </c>
      <c r="AU170" t="s">
        <v>1506</v>
      </c>
      <c r="AY170" s="5">
        <v>131529.97</v>
      </c>
      <c r="AZ170" s="5">
        <v>45.346700000000013</v>
      </c>
      <c r="BA170">
        <v>2</v>
      </c>
      <c r="BB170" t="s">
        <v>1507</v>
      </c>
      <c r="BC170" t="s">
        <v>1508</v>
      </c>
      <c r="BD170" t="s">
        <v>317</v>
      </c>
      <c r="BE170" t="s">
        <v>81</v>
      </c>
      <c r="BF170" t="s">
        <v>304</v>
      </c>
      <c r="BG170" t="s">
        <v>1509</v>
      </c>
      <c r="BH170" s="6" t="s">
        <v>83</v>
      </c>
      <c r="BK170">
        <v>4</v>
      </c>
      <c r="BL170">
        <v>4</v>
      </c>
      <c r="BM170" t="s">
        <v>101</v>
      </c>
      <c r="BN170" s="3" t="s">
        <v>1510</v>
      </c>
      <c r="BO170" s="5">
        <v>0</v>
      </c>
      <c r="BP170" s="5">
        <v>0</v>
      </c>
      <c r="BQ170" s="34">
        <v>0</v>
      </c>
    </row>
    <row r="171" spans="1:69" x14ac:dyDescent="0.3">
      <c r="A171" s="3" t="s">
        <v>2224</v>
      </c>
      <c r="B171" t="s">
        <v>67</v>
      </c>
      <c r="C171" t="s">
        <v>189</v>
      </c>
      <c r="D171" t="s">
        <v>2225</v>
      </c>
      <c r="E171" t="s">
        <v>2226</v>
      </c>
      <c r="F171" t="s">
        <v>192</v>
      </c>
      <c r="G171" t="s">
        <v>193</v>
      </c>
      <c r="H171" t="s">
        <v>175</v>
      </c>
      <c r="I171" t="s">
        <v>2227</v>
      </c>
      <c r="J171" s="4">
        <v>45953</v>
      </c>
      <c r="K171" s="4">
        <v>46318</v>
      </c>
      <c r="L171" s="5">
        <v>25000</v>
      </c>
      <c r="M171" s="5">
        <v>26335.19</v>
      </c>
      <c r="N171">
        <v>0</v>
      </c>
      <c r="O171" t="s">
        <v>1656</v>
      </c>
      <c r="P171">
        <v>12</v>
      </c>
      <c r="Q171" t="s">
        <v>75</v>
      </c>
      <c r="R171">
        <v>4169.7299999999996</v>
      </c>
      <c r="S171">
        <v>696</v>
      </c>
      <c r="T171" s="5">
        <v>0</v>
      </c>
      <c r="U171" s="5">
        <v>0</v>
      </c>
      <c r="V171">
        <v>0</v>
      </c>
      <c r="W171" s="5">
        <v>24140.59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580</v>
      </c>
      <c r="AD171" s="4">
        <v>46008</v>
      </c>
      <c r="AE171" t="s">
        <v>76</v>
      </c>
      <c r="AF171">
        <v>7225459451</v>
      </c>
      <c r="AG171" t="s">
        <v>2228</v>
      </c>
      <c r="AI171" t="s">
        <v>251</v>
      </c>
      <c r="AJ171">
        <v>131011</v>
      </c>
      <c r="AM171" t="s">
        <v>2229</v>
      </c>
      <c r="AN171" t="s">
        <v>2230</v>
      </c>
      <c r="AO171" t="s">
        <v>2231</v>
      </c>
      <c r="AP171" t="s">
        <v>2232</v>
      </c>
      <c r="AQ171" t="s">
        <v>2233</v>
      </c>
      <c r="AR171" t="s">
        <v>2234</v>
      </c>
      <c r="AY171" s="5">
        <v>45198.73</v>
      </c>
      <c r="AZ171" s="5">
        <v>30.272154638888878</v>
      </c>
      <c r="BA171">
        <v>1</v>
      </c>
      <c r="BB171" t="s">
        <v>204</v>
      </c>
      <c r="BC171" t="s">
        <v>2235</v>
      </c>
      <c r="BD171" t="s">
        <v>2236</v>
      </c>
      <c r="BE171" t="s">
        <v>81</v>
      </c>
      <c r="BF171" t="s">
        <v>189</v>
      </c>
      <c r="BH171" s="6" t="s">
        <v>83</v>
      </c>
      <c r="BK171">
        <v>1</v>
      </c>
      <c r="BL171">
        <v>1</v>
      </c>
      <c r="BM171" t="s">
        <v>101</v>
      </c>
      <c r="BN171" s="3" t="s">
        <v>2237</v>
      </c>
      <c r="BO171" s="5">
        <v>0</v>
      </c>
      <c r="BP171" s="5">
        <v>0</v>
      </c>
      <c r="BQ171" s="34">
        <v>0</v>
      </c>
    </row>
    <row r="172" spans="1:69" x14ac:dyDescent="0.3">
      <c r="A172" s="3" t="s">
        <v>1602</v>
      </c>
      <c r="B172" t="s">
        <v>67</v>
      </c>
      <c r="C172" t="s">
        <v>189</v>
      </c>
      <c r="D172" t="s">
        <v>1277</v>
      </c>
      <c r="E172" t="s">
        <v>1278</v>
      </c>
      <c r="F172" t="s">
        <v>192</v>
      </c>
      <c r="G172" t="s">
        <v>193</v>
      </c>
      <c r="H172" t="s">
        <v>175</v>
      </c>
      <c r="I172" t="s">
        <v>1603</v>
      </c>
      <c r="J172" s="4">
        <v>45957</v>
      </c>
      <c r="K172" s="4">
        <v>46125</v>
      </c>
      <c r="L172" s="5">
        <v>12000</v>
      </c>
      <c r="M172" s="5">
        <v>12640.89</v>
      </c>
      <c r="N172">
        <v>0</v>
      </c>
      <c r="O172" t="s">
        <v>1656</v>
      </c>
      <c r="P172">
        <v>12</v>
      </c>
      <c r="Q172" t="s">
        <v>293</v>
      </c>
      <c r="R172">
        <v>1534.96</v>
      </c>
      <c r="S172">
        <v>696</v>
      </c>
      <c r="T172" s="5">
        <v>0</v>
      </c>
      <c r="U172" s="5">
        <v>4</v>
      </c>
      <c r="V172">
        <v>1</v>
      </c>
      <c r="W172" s="5">
        <v>9480.67</v>
      </c>
      <c r="X172" s="5">
        <v>1534.89</v>
      </c>
      <c r="Y172" s="5">
        <v>1053.4100000000001</v>
      </c>
      <c r="Z172" s="5">
        <v>423.56</v>
      </c>
      <c r="AA172" s="5">
        <v>57.92</v>
      </c>
      <c r="AB172" s="5">
        <v>0</v>
      </c>
      <c r="AC172" s="5">
        <v>1534.96</v>
      </c>
      <c r="AD172" s="4">
        <v>45999</v>
      </c>
      <c r="AE172" t="s">
        <v>76</v>
      </c>
      <c r="AF172">
        <v>7297604453</v>
      </c>
      <c r="AG172" t="s">
        <v>1604</v>
      </c>
      <c r="AI172" t="s">
        <v>1180</v>
      </c>
      <c r="AJ172">
        <v>6225024</v>
      </c>
      <c r="AK172" t="s">
        <v>1605</v>
      </c>
      <c r="AM172" t="s">
        <v>1606</v>
      </c>
      <c r="AN172" t="s">
        <v>1607</v>
      </c>
      <c r="AO172" t="s">
        <v>1608</v>
      </c>
      <c r="AP172" t="s">
        <v>1609</v>
      </c>
      <c r="AQ172" t="s">
        <v>1610</v>
      </c>
      <c r="AR172" t="s">
        <v>1611</v>
      </c>
      <c r="AY172" s="5">
        <v>13350.58</v>
      </c>
      <c r="AZ172" s="5">
        <v>0</v>
      </c>
      <c r="BA172">
        <v>1</v>
      </c>
      <c r="BB172" t="s">
        <v>204</v>
      </c>
      <c r="BC172" t="s">
        <v>1612</v>
      </c>
      <c r="BD172" t="s">
        <v>206</v>
      </c>
      <c r="BE172" t="s">
        <v>81</v>
      </c>
      <c r="BF172" t="s">
        <v>189</v>
      </c>
      <c r="BH172" s="6" t="s">
        <v>83</v>
      </c>
      <c r="BK172">
        <v>3</v>
      </c>
      <c r="BL172">
        <v>2</v>
      </c>
      <c r="BM172" t="s">
        <v>101</v>
      </c>
      <c r="BN172" s="3" t="s">
        <v>1613</v>
      </c>
      <c r="BO172" s="5">
        <v>0</v>
      </c>
      <c r="BP172" s="5">
        <v>0</v>
      </c>
      <c r="BQ172" s="34">
        <v>0.1149680388417582</v>
      </c>
    </row>
    <row r="173" spans="1:69" x14ac:dyDescent="0.3">
      <c r="A173" s="3" t="s">
        <v>2057</v>
      </c>
      <c r="B173" t="s">
        <v>67</v>
      </c>
      <c r="C173" t="s">
        <v>189</v>
      </c>
      <c r="D173" t="s">
        <v>276</v>
      </c>
      <c r="E173" t="s">
        <v>277</v>
      </c>
      <c r="F173" t="s">
        <v>192</v>
      </c>
      <c r="G173" t="s">
        <v>193</v>
      </c>
      <c r="H173" t="s">
        <v>73</v>
      </c>
      <c r="I173" t="s">
        <v>2058</v>
      </c>
      <c r="J173" s="4">
        <v>45883</v>
      </c>
      <c r="K173" s="4">
        <v>46248</v>
      </c>
      <c r="L173" s="5">
        <v>20000</v>
      </c>
      <c r="M173" s="5">
        <v>21068.16</v>
      </c>
      <c r="N173">
        <v>0</v>
      </c>
      <c r="O173" t="s">
        <v>1656</v>
      </c>
      <c r="P173">
        <v>12</v>
      </c>
      <c r="Q173" t="s">
        <v>75</v>
      </c>
      <c r="R173">
        <v>3347.38</v>
      </c>
      <c r="S173">
        <v>696</v>
      </c>
      <c r="T173" s="5">
        <v>57.53</v>
      </c>
      <c r="U173" s="5">
        <v>0</v>
      </c>
      <c r="V173">
        <v>0</v>
      </c>
      <c r="W173" s="5">
        <v>14045.44</v>
      </c>
      <c r="X173" s="5">
        <v>0</v>
      </c>
      <c r="Y173" s="5">
        <v>0</v>
      </c>
      <c r="Z173" s="5">
        <v>0</v>
      </c>
      <c r="AA173" s="5">
        <v>0</v>
      </c>
      <c r="AB173" s="5">
        <v>57.53</v>
      </c>
      <c r="AC173" s="5">
        <v>40</v>
      </c>
      <c r="AD173" s="4">
        <v>46010</v>
      </c>
      <c r="AE173" t="s">
        <v>76</v>
      </c>
      <c r="AF173">
        <v>7226031899</v>
      </c>
      <c r="AG173" t="s">
        <v>2059</v>
      </c>
      <c r="AI173" t="s">
        <v>251</v>
      </c>
      <c r="AJ173">
        <v>131011</v>
      </c>
      <c r="AK173" t="s">
        <v>2060</v>
      </c>
      <c r="AM173" t="s">
        <v>2061</v>
      </c>
      <c r="AN173" t="s">
        <v>2062</v>
      </c>
      <c r="AO173" t="s">
        <v>2063</v>
      </c>
      <c r="AP173" t="s">
        <v>2064</v>
      </c>
      <c r="AQ173" t="s">
        <v>2065</v>
      </c>
      <c r="AR173" t="s">
        <v>2066</v>
      </c>
      <c r="AY173" s="5">
        <v>26314.6</v>
      </c>
      <c r="AZ173" s="5">
        <v>0.47</v>
      </c>
      <c r="BA173">
        <v>1</v>
      </c>
      <c r="BB173" t="s">
        <v>204</v>
      </c>
      <c r="BC173" t="s">
        <v>2067</v>
      </c>
      <c r="BD173" t="s">
        <v>2068</v>
      </c>
      <c r="BE173" t="s">
        <v>81</v>
      </c>
      <c r="BF173" t="s">
        <v>260</v>
      </c>
      <c r="BG173" t="s">
        <v>2069</v>
      </c>
      <c r="BH173" s="6" t="s">
        <v>83</v>
      </c>
      <c r="BK173">
        <v>4</v>
      </c>
      <c r="BL173">
        <v>4</v>
      </c>
      <c r="BM173" t="s">
        <v>101</v>
      </c>
      <c r="BN173" s="3" t="s">
        <v>2070</v>
      </c>
      <c r="BO173" s="5">
        <v>0</v>
      </c>
      <c r="BP173" s="5">
        <v>0</v>
      </c>
      <c r="BQ173" s="34">
        <v>0</v>
      </c>
    </row>
    <row r="174" spans="1:69" x14ac:dyDescent="0.3">
      <c r="A174" s="3" t="s">
        <v>2878</v>
      </c>
      <c r="B174" t="s">
        <v>67</v>
      </c>
      <c r="C174" t="s">
        <v>189</v>
      </c>
      <c r="D174" t="s">
        <v>1277</v>
      </c>
      <c r="E174" t="s">
        <v>1278</v>
      </c>
      <c r="F174" t="s">
        <v>1277</v>
      </c>
      <c r="G174" t="s">
        <v>1278</v>
      </c>
      <c r="H174" t="s">
        <v>73</v>
      </c>
      <c r="I174" t="s">
        <v>2879</v>
      </c>
      <c r="J174" s="4">
        <v>45979</v>
      </c>
      <c r="K174" s="4">
        <v>46344</v>
      </c>
      <c r="L174" s="5">
        <v>12000</v>
      </c>
      <c r="M174" s="5">
        <v>12640.89</v>
      </c>
      <c r="N174">
        <v>0</v>
      </c>
      <c r="O174" t="s">
        <v>1656</v>
      </c>
      <c r="P174">
        <v>12</v>
      </c>
      <c r="Q174" t="s">
        <v>75</v>
      </c>
      <c r="R174">
        <v>2031.63</v>
      </c>
      <c r="S174">
        <v>696</v>
      </c>
      <c r="T174" s="5">
        <v>0</v>
      </c>
      <c r="U174" s="5">
        <v>0</v>
      </c>
      <c r="V174">
        <v>0</v>
      </c>
      <c r="W174" s="5">
        <v>11587.48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2032</v>
      </c>
      <c r="AD174" s="4">
        <v>46009</v>
      </c>
      <c r="AE174" t="s">
        <v>76</v>
      </c>
      <c r="AF174">
        <v>7222392673</v>
      </c>
      <c r="AG174" t="s">
        <v>2880</v>
      </c>
      <c r="AI174" t="s">
        <v>251</v>
      </c>
      <c r="AJ174">
        <v>131011</v>
      </c>
      <c r="AM174" t="s">
        <v>828</v>
      </c>
      <c r="AN174" t="s">
        <v>2881</v>
      </c>
      <c r="AO174" t="s">
        <v>830</v>
      </c>
      <c r="AP174" t="s">
        <v>2882</v>
      </c>
      <c r="AQ174" t="s">
        <v>2883</v>
      </c>
      <c r="AR174" t="s">
        <v>2884</v>
      </c>
      <c r="AY174" s="5">
        <v>21709.55</v>
      </c>
      <c r="AZ174" s="5">
        <v>0.3725</v>
      </c>
      <c r="BA174">
        <v>1</v>
      </c>
      <c r="BB174" t="s">
        <v>204</v>
      </c>
      <c r="BC174" t="s">
        <v>2885</v>
      </c>
      <c r="BD174" t="s">
        <v>260</v>
      </c>
      <c r="BE174" t="s">
        <v>81</v>
      </c>
      <c r="BF174" t="s">
        <v>260</v>
      </c>
      <c r="BG174" t="s">
        <v>2886</v>
      </c>
      <c r="BH174" s="6" t="s">
        <v>83</v>
      </c>
      <c r="BK174">
        <v>0</v>
      </c>
      <c r="BL174">
        <v>0</v>
      </c>
      <c r="BM174" t="s">
        <v>101</v>
      </c>
      <c r="BN174" s="3" t="s">
        <v>2887</v>
      </c>
      <c r="BO174" s="5">
        <v>0</v>
      </c>
      <c r="BP174" s="5">
        <v>0</v>
      </c>
      <c r="BQ174" s="34">
        <v>0</v>
      </c>
    </row>
    <row r="175" spans="1:69" x14ac:dyDescent="0.3">
      <c r="A175" s="3" t="s">
        <v>2258</v>
      </c>
      <c r="B175" t="s">
        <v>67</v>
      </c>
      <c r="C175" t="s">
        <v>132</v>
      </c>
      <c r="D175" t="s">
        <v>1293</v>
      </c>
      <c r="E175" t="s">
        <v>1294</v>
      </c>
      <c r="F175" t="s">
        <v>608</v>
      </c>
      <c r="G175" t="s">
        <v>609</v>
      </c>
      <c r="H175" t="s">
        <v>73</v>
      </c>
      <c r="I175" t="s">
        <v>2259</v>
      </c>
      <c r="J175" s="4">
        <v>45863</v>
      </c>
      <c r="K175" s="4">
        <v>46228</v>
      </c>
      <c r="L175" s="5">
        <v>10000</v>
      </c>
      <c r="M175" s="5">
        <v>10534.08</v>
      </c>
      <c r="N175">
        <v>0</v>
      </c>
      <c r="O175" t="s">
        <v>1656</v>
      </c>
      <c r="P175">
        <v>12</v>
      </c>
      <c r="Q175" t="s">
        <v>75</v>
      </c>
      <c r="R175">
        <v>1702.69</v>
      </c>
      <c r="S175">
        <v>696</v>
      </c>
      <c r="T175" s="5">
        <v>0</v>
      </c>
      <c r="U175" s="5">
        <v>0</v>
      </c>
      <c r="V175">
        <v>0</v>
      </c>
      <c r="W175" s="5">
        <v>7023.8</v>
      </c>
      <c r="X175" s="5">
        <v>1.08</v>
      </c>
      <c r="Y175" s="5">
        <v>1.08</v>
      </c>
      <c r="Z175" s="5">
        <v>0</v>
      </c>
      <c r="AA175" s="5">
        <v>0</v>
      </c>
      <c r="AB175" s="5">
        <v>0</v>
      </c>
      <c r="AC175" s="5">
        <v>1702</v>
      </c>
      <c r="AD175" s="4">
        <v>45986</v>
      </c>
      <c r="AE175" t="s">
        <v>76</v>
      </c>
      <c r="AF175">
        <v>4437928856</v>
      </c>
      <c r="AG175" t="s">
        <v>2260</v>
      </c>
      <c r="AI175" t="s">
        <v>126</v>
      </c>
      <c r="AJ175">
        <v>9501009</v>
      </c>
      <c r="AK175" t="s">
        <v>2261</v>
      </c>
      <c r="AM175" t="s">
        <v>1298</v>
      </c>
      <c r="AN175" t="s">
        <v>2262</v>
      </c>
      <c r="AO175" t="s">
        <v>1300</v>
      </c>
      <c r="AP175" t="s">
        <v>1301</v>
      </c>
      <c r="AQ175" t="s">
        <v>1302</v>
      </c>
      <c r="AR175" t="s">
        <v>2263</v>
      </c>
      <c r="AY175" s="5">
        <v>13158.61</v>
      </c>
      <c r="AZ175" s="5">
        <v>0</v>
      </c>
      <c r="BA175">
        <v>1</v>
      </c>
      <c r="BB175" t="s">
        <v>204</v>
      </c>
      <c r="BC175" t="s">
        <v>2264</v>
      </c>
      <c r="BD175" t="s">
        <v>2265</v>
      </c>
      <c r="BE175" t="s">
        <v>149</v>
      </c>
      <c r="BF175" t="s">
        <v>132</v>
      </c>
      <c r="BG175" t="s">
        <v>2266</v>
      </c>
      <c r="BH175" s="6" t="s">
        <v>83</v>
      </c>
      <c r="BK175">
        <v>0</v>
      </c>
      <c r="BL175">
        <v>0</v>
      </c>
      <c r="BM175" t="s">
        <v>101</v>
      </c>
      <c r="BN175" s="3" t="s">
        <v>2267</v>
      </c>
      <c r="BO175" s="5">
        <v>0</v>
      </c>
      <c r="BP175" s="5">
        <v>0</v>
      </c>
      <c r="BQ175" s="34">
        <v>8.2075538373734011E-5</v>
      </c>
    </row>
    <row r="176" spans="1:69" x14ac:dyDescent="0.3">
      <c r="A176" s="3" t="s">
        <v>2545</v>
      </c>
      <c r="B176" t="s">
        <v>67</v>
      </c>
      <c r="C176" t="s">
        <v>104</v>
      </c>
      <c r="D176" t="s">
        <v>190</v>
      </c>
      <c r="E176" t="s">
        <v>191</v>
      </c>
      <c r="F176" t="s">
        <v>190</v>
      </c>
      <c r="G176" t="s">
        <v>191</v>
      </c>
      <c r="H176" t="s">
        <v>73</v>
      </c>
      <c r="I176" t="s">
        <v>2546</v>
      </c>
      <c r="J176" s="4">
        <v>45904</v>
      </c>
      <c r="K176" s="4">
        <v>46096</v>
      </c>
      <c r="L176" s="5">
        <v>30000</v>
      </c>
      <c r="M176" s="5">
        <v>30000</v>
      </c>
      <c r="N176">
        <v>0</v>
      </c>
      <c r="O176" t="s">
        <v>1656</v>
      </c>
      <c r="P176">
        <v>12</v>
      </c>
      <c r="Q176" t="s">
        <v>1017</v>
      </c>
      <c r="R176">
        <v>2935</v>
      </c>
      <c r="S176">
        <v>492</v>
      </c>
      <c r="T176" s="5">
        <v>0</v>
      </c>
      <c r="U176" s="5">
        <v>0</v>
      </c>
      <c r="V176">
        <v>0</v>
      </c>
      <c r="W176" s="5">
        <v>16165.03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2935</v>
      </c>
      <c r="AD176" s="4">
        <v>46006</v>
      </c>
      <c r="AE176" t="s">
        <v>76</v>
      </c>
      <c r="AF176">
        <v>5579074408</v>
      </c>
      <c r="AG176" t="s">
        <v>2547</v>
      </c>
      <c r="AI176" t="s">
        <v>370</v>
      </c>
      <c r="AJ176">
        <v>8944098</v>
      </c>
      <c r="AY176" s="5">
        <v>16165.03</v>
      </c>
      <c r="AZ176" s="5">
        <v>0</v>
      </c>
      <c r="BA176">
        <v>1</v>
      </c>
      <c r="BB176" t="s">
        <v>127</v>
      </c>
      <c r="BC176" t="s">
        <v>2548</v>
      </c>
      <c r="BD176" t="s">
        <v>2549</v>
      </c>
      <c r="BE176" t="s">
        <v>2403</v>
      </c>
      <c r="BF176" t="s">
        <v>2550</v>
      </c>
      <c r="BH176" s="6" t="s">
        <v>83</v>
      </c>
      <c r="BK176">
        <v>0</v>
      </c>
      <c r="BL176">
        <v>0</v>
      </c>
      <c r="BM176" t="s">
        <v>101</v>
      </c>
      <c r="BN176" s="3" t="s">
        <v>2551</v>
      </c>
      <c r="BO176" s="5">
        <v>0</v>
      </c>
      <c r="BP176" s="5">
        <v>0</v>
      </c>
      <c r="BQ176" s="34">
        <v>0</v>
      </c>
    </row>
    <row r="177" spans="1:69" x14ac:dyDescent="0.3">
      <c r="A177" s="3" t="s">
        <v>2238</v>
      </c>
      <c r="B177" t="s">
        <v>67</v>
      </c>
      <c r="C177" t="s">
        <v>104</v>
      </c>
      <c r="D177" t="s">
        <v>190</v>
      </c>
      <c r="E177" t="s">
        <v>191</v>
      </c>
      <c r="F177" t="s">
        <v>190</v>
      </c>
      <c r="G177" t="s">
        <v>191</v>
      </c>
      <c r="H177" t="s">
        <v>2239</v>
      </c>
      <c r="I177" t="s">
        <v>2240</v>
      </c>
      <c r="J177" s="4">
        <v>45945</v>
      </c>
      <c r="K177" s="4">
        <v>46127</v>
      </c>
      <c r="L177" s="5">
        <v>12000</v>
      </c>
      <c r="M177" s="5">
        <v>12000</v>
      </c>
      <c r="N177">
        <v>0</v>
      </c>
      <c r="O177" t="s">
        <v>1656</v>
      </c>
      <c r="P177">
        <v>6</v>
      </c>
      <c r="Q177" t="s">
        <v>75</v>
      </c>
      <c r="R177">
        <v>2364.58</v>
      </c>
      <c r="S177">
        <v>378</v>
      </c>
      <c r="T177" s="5">
        <v>0</v>
      </c>
      <c r="U177" s="5">
        <v>0</v>
      </c>
      <c r="V177">
        <v>0</v>
      </c>
      <c r="W177" s="5">
        <v>8321.77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2365</v>
      </c>
      <c r="AD177" s="4">
        <v>46006</v>
      </c>
      <c r="AE177" t="s">
        <v>76</v>
      </c>
      <c r="AF177">
        <v>7226823285</v>
      </c>
      <c r="AG177" t="s">
        <v>2241</v>
      </c>
      <c r="AI177" t="s">
        <v>2242</v>
      </c>
      <c r="AJ177">
        <v>9900908</v>
      </c>
      <c r="AM177" t="s">
        <v>2243</v>
      </c>
      <c r="AN177" t="s">
        <v>2244</v>
      </c>
      <c r="AO177" t="s">
        <v>2245</v>
      </c>
      <c r="AP177" t="s">
        <v>2246</v>
      </c>
      <c r="AQ177" t="s">
        <v>2247</v>
      </c>
      <c r="AR177" t="s">
        <v>2248</v>
      </c>
      <c r="AY177" s="5">
        <v>8320.93</v>
      </c>
      <c r="AZ177" s="5">
        <v>0.84</v>
      </c>
      <c r="BA177">
        <v>1</v>
      </c>
      <c r="BB177" t="s">
        <v>127</v>
      </c>
      <c r="BC177" t="s">
        <v>2249</v>
      </c>
      <c r="BD177" t="s">
        <v>2250</v>
      </c>
      <c r="BE177" t="s">
        <v>81</v>
      </c>
      <c r="BF177" t="s">
        <v>648</v>
      </c>
      <c r="BH177" s="6" t="s">
        <v>83</v>
      </c>
      <c r="BK177">
        <v>0</v>
      </c>
      <c r="BL177">
        <v>0</v>
      </c>
      <c r="BM177" t="s">
        <v>84</v>
      </c>
      <c r="BN177" s="3" t="s">
        <v>2251</v>
      </c>
      <c r="BO177" s="5">
        <v>0</v>
      </c>
      <c r="BP177" s="5">
        <v>0</v>
      </c>
      <c r="BQ177" s="34">
        <v>0</v>
      </c>
    </row>
    <row r="178" spans="1:69" x14ac:dyDescent="0.3">
      <c r="A178" s="3" t="s">
        <v>2365</v>
      </c>
      <c r="B178" t="s">
        <v>67</v>
      </c>
      <c r="C178" t="s">
        <v>104</v>
      </c>
      <c r="D178" t="s">
        <v>190</v>
      </c>
      <c r="E178" t="s">
        <v>191</v>
      </c>
      <c r="F178" t="s">
        <v>190</v>
      </c>
      <c r="G178" t="s">
        <v>191</v>
      </c>
      <c r="H178" t="s">
        <v>73</v>
      </c>
      <c r="I178" t="s">
        <v>2366</v>
      </c>
      <c r="J178" s="4">
        <v>45884</v>
      </c>
      <c r="K178" s="4">
        <v>46068</v>
      </c>
      <c r="L178" s="5">
        <v>7000</v>
      </c>
      <c r="M178" s="5">
        <v>7000</v>
      </c>
      <c r="N178">
        <v>0</v>
      </c>
      <c r="O178" t="s">
        <v>1656</v>
      </c>
      <c r="P178">
        <v>12</v>
      </c>
      <c r="Q178" t="s">
        <v>1017</v>
      </c>
      <c r="R178">
        <v>733.31000000000006</v>
      </c>
      <c r="S178">
        <v>816</v>
      </c>
      <c r="T178" s="5">
        <v>0</v>
      </c>
      <c r="U178" s="5">
        <v>0</v>
      </c>
      <c r="V178">
        <v>0</v>
      </c>
      <c r="W178" s="5">
        <v>2528.1799999999998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733.31000000000006</v>
      </c>
      <c r="AD178" s="4">
        <v>46006</v>
      </c>
      <c r="AE178" t="s">
        <v>76</v>
      </c>
      <c r="AF178">
        <v>2225315368</v>
      </c>
      <c r="AG178" t="s">
        <v>2367</v>
      </c>
      <c r="AH178">
        <v>2225315368</v>
      </c>
      <c r="AI178" t="s">
        <v>370</v>
      </c>
      <c r="AJ178">
        <v>8944098</v>
      </c>
      <c r="AY178" s="5">
        <v>2528.1799999999998</v>
      </c>
      <c r="AZ178" s="5">
        <v>0</v>
      </c>
      <c r="BA178">
        <v>1</v>
      </c>
      <c r="BB178" t="s">
        <v>127</v>
      </c>
      <c r="BC178" t="s">
        <v>2368</v>
      </c>
      <c r="BD178" t="s">
        <v>2369</v>
      </c>
      <c r="BE178" t="s">
        <v>2364</v>
      </c>
      <c r="BF178" t="s">
        <v>2364</v>
      </c>
      <c r="BH178" s="6" t="s">
        <v>83</v>
      </c>
      <c r="BK178">
        <v>0</v>
      </c>
      <c r="BL178">
        <v>0</v>
      </c>
      <c r="BM178" t="s">
        <v>101</v>
      </c>
      <c r="BN178" s="3" t="s">
        <v>2370</v>
      </c>
      <c r="BO178" s="5">
        <v>0</v>
      </c>
      <c r="BP178" s="5">
        <v>0</v>
      </c>
      <c r="BQ178" s="34">
        <v>0</v>
      </c>
    </row>
    <row r="179" spans="1:69" x14ac:dyDescent="0.3">
      <c r="A179" s="3" t="s">
        <v>2419</v>
      </c>
      <c r="B179" t="s">
        <v>67</v>
      </c>
      <c r="C179" t="s">
        <v>104</v>
      </c>
      <c r="D179" t="s">
        <v>190</v>
      </c>
      <c r="E179" t="s">
        <v>191</v>
      </c>
      <c r="F179" t="s">
        <v>608</v>
      </c>
      <c r="G179" t="s">
        <v>609</v>
      </c>
      <c r="H179" t="s">
        <v>73</v>
      </c>
      <c r="I179" t="s">
        <v>2420</v>
      </c>
      <c r="J179" s="4">
        <v>45770</v>
      </c>
      <c r="K179" s="4">
        <v>46135</v>
      </c>
      <c r="L179" s="5">
        <v>25000</v>
      </c>
      <c r="M179" s="5">
        <v>26335.19</v>
      </c>
      <c r="N179">
        <v>0</v>
      </c>
      <c r="O179" t="s">
        <v>1656</v>
      </c>
      <c r="P179">
        <v>12</v>
      </c>
      <c r="Q179" t="s">
        <v>75</v>
      </c>
      <c r="R179">
        <v>3686.44</v>
      </c>
      <c r="S179">
        <v>696</v>
      </c>
      <c r="T179" s="5">
        <v>0</v>
      </c>
      <c r="U179" s="5">
        <v>0</v>
      </c>
      <c r="V179">
        <v>0</v>
      </c>
      <c r="W179" s="5">
        <v>10973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3700</v>
      </c>
      <c r="AD179" s="4">
        <v>45985</v>
      </c>
      <c r="AE179" t="s">
        <v>76</v>
      </c>
      <c r="AF179">
        <v>7223601170</v>
      </c>
      <c r="AG179" t="s">
        <v>2421</v>
      </c>
      <c r="AI179" t="s">
        <v>158</v>
      </c>
      <c r="AJ179">
        <v>8711021</v>
      </c>
      <c r="AK179" t="s">
        <v>2422</v>
      </c>
      <c r="AM179" t="s">
        <v>2423</v>
      </c>
      <c r="AN179" t="s">
        <v>2424</v>
      </c>
      <c r="AO179" t="s">
        <v>2425</v>
      </c>
      <c r="AP179" t="s">
        <v>2426</v>
      </c>
      <c r="AQ179" t="s">
        <v>2427</v>
      </c>
      <c r="AR179" t="s">
        <v>2428</v>
      </c>
      <c r="AS179" t="s">
        <v>144</v>
      </c>
      <c r="AT179" t="s">
        <v>2429</v>
      </c>
      <c r="AU179" t="s">
        <v>2430</v>
      </c>
      <c r="AY179" s="5">
        <v>18130.29</v>
      </c>
      <c r="AZ179" s="5">
        <v>11.91627454166666</v>
      </c>
      <c r="BA179">
        <v>1</v>
      </c>
      <c r="BB179" t="s">
        <v>204</v>
      </c>
      <c r="BC179" t="s">
        <v>2431</v>
      </c>
      <c r="BD179" t="s">
        <v>2432</v>
      </c>
      <c r="BE179" t="s">
        <v>81</v>
      </c>
      <c r="BF179" t="s">
        <v>2432</v>
      </c>
      <c r="BH179" s="6" t="s">
        <v>83</v>
      </c>
      <c r="BK179">
        <v>0</v>
      </c>
      <c r="BL179">
        <v>0</v>
      </c>
      <c r="BM179" t="s">
        <v>101</v>
      </c>
      <c r="BN179" s="3" t="s">
        <v>2433</v>
      </c>
      <c r="BO179" s="5">
        <v>0</v>
      </c>
      <c r="BP179" s="5">
        <v>0</v>
      </c>
      <c r="BQ179" s="34">
        <v>0</v>
      </c>
    </row>
    <row r="180" spans="1:69" x14ac:dyDescent="0.3">
      <c r="A180" s="3" t="s">
        <v>2434</v>
      </c>
      <c r="B180" t="s">
        <v>67</v>
      </c>
      <c r="C180" t="s">
        <v>104</v>
      </c>
      <c r="D180" t="s">
        <v>190</v>
      </c>
      <c r="E180" t="s">
        <v>191</v>
      </c>
      <c r="F180" t="s">
        <v>608</v>
      </c>
      <c r="G180" t="s">
        <v>609</v>
      </c>
      <c r="H180" t="s">
        <v>73</v>
      </c>
      <c r="I180" t="s">
        <v>2435</v>
      </c>
      <c r="J180" s="4">
        <v>45762</v>
      </c>
      <c r="K180" s="4">
        <v>46127</v>
      </c>
      <c r="L180" s="5">
        <v>7000</v>
      </c>
      <c r="M180" s="5">
        <v>7373.85</v>
      </c>
      <c r="N180">
        <v>0</v>
      </c>
      <c r="O180" t="s">
        <v>1656</v>
      </c>
      <c r="P180">
        <v>12</v>
      </c>
      <c r="Q180" t="s">
        <v>75</v>
      </c>
      <c r="R180">
        <v>1209.28</v>
      </c>
      <c r="S180">
        <v>696</v>
      </c>
      <c r="T180" s="5">
        <v>0</v>
      </c>
      <c r="U180" s="5">
        <v>0</v>
      </c>
      <c r="V180">
        <v>0</v>
      </c>
      <c r="W180" s="5">
        <v>2457.9499999999998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1220</v>
      </c>
      <c r="AD180" s="4">
        <v>46006</v>
      </c>
      <c r="AE180" t="s">
        <v>76</v>
      </c>
      <c r="AF180">
        <v>7225950568</v>
      </c>
      <c r="AG180" t="s">
        <v>2436</v>
      </c>
      <c r="AI180" t="s">
        <v>680</v>
      </c>
      <c r="AJ180">
        <v>7114010</v>
      </c>
      <c r="AK180" t="s">
        <v>2437</v>
      </c>
      <c r="AM180" t="s">
        <v>2438</v>
      </c>
      <c r="AN180" t="s">
        <v>2439</v>
      </c>
      <c r="AO180" t="s">
        <v>2440</v>
      </c>
      <c r="AP180" t="s">
        <v>2441</v>
      </c>
      <c r="AQ180" t="s">
        <v>2442</v>
      </c>
      <c r="AR180" t="s">
        <v>2443</v>
      </c>
      <c r="AY180" s="5">
        <v>4569.4000000000005</v>
      </c>
      <c r="AZ180" s="5">
        <v>35.733623333333327</v>
      </c>
      <c r="BA180">
        <v>1</v>
      </c>
      <c r="BB180" t="s">
        <v>204</v>
      </c>
      <c r="BC180" t="s">
        <v>2444</v>
      </c>
      <c r="BD180" t="s">
        <v>659</v>
      </c>
      <c r="BE180" t="s">
        <v>81</v>
      </c>
      <c r="BF180" t="s">
        <v>112</v>
      </c>
      <c r="BH180" s="6" t="s">
        <v>83</v>
      </c>
      <c r="BK180">
        <v>4</v>
      </c>
      <c r="BL180">
        <v>3</v>
      </c>
      <c r="BM180" t="s">
        <v>101</v>
      </c>
      <c r="BN180" s="3" t="s">
        <v>2445</v>
      </c>
      <c r="BO180" s="5">
        <v>0</v>
      </c>
      <c r="BP180" s="5">
        <v>0</v>
      </c>
      <c r="BQ180" s="34">
        <v>0</v>
      </c>
    </row>
    <row r="181" spans="1:69" x14ac:dyDescent="0.3">
      <c r="A181" s="3" t="s">
        <v>2570</v>
      </c>
      <c r="B181" t="s">
        <v>67</v>
      </c>
      <c r="C181" t="s">
        <v>104</v>
      </c>
      <c r="D181" t="s">
        <v>1672</v>
      </c>
      <c r="E181" t="s">
        <v>1673</v>
      </c>
      <c r="F181" t="s">
        <v>608</v>
      </c>
      <c r="G181" t="s">
        <v>609</v>
      </c>
      <c r="H181" t="s">
        <v>175</v>
      </c>
      <c r="I181" t="s">
        <v>2571</v>
      </c>
      <c r="J181" s="4">
        <v>45995</v>
      </c>
      <c r="K181" s="4">
        <v>46177</v>
      </c>
      <c r="L181" s="5">
        <v>7000</v>
      </c>
      <c r="M181" s="5">
        <v>7373.85</v>
      </c>
      <c r="N181">
        <v>0</v>
      </c>
      <c r="O181" t="s">
        <v>1656</v>
      </c>
      <c r="P181">
        <v>6</v>
      </c>
      <c r="Q181" t="s">
        <v>75</v>
      </c>
      <c r="R181">
        <v>1822.3</v>
      </c>
      <c r="S181">
        <v>348</v>
      </c>
      <c r="T181" s="5">
        <v>0</v>
      </c>
      <c r="U181" s="5">
        <v>0</v>
      </c>
      <c r="V181">
        <v>0</v>
      </c>
      <c r="W181" s="5">
        <v>7373.85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/>
      <c r="AD181" s="4"/>
      <c r="AE181" t="s">
        <v>76</v>
      </c>
      <c r="AF181">
        <v>7224743639</v>
      </c>
      <c r="AG181" t="s">
        <v>2572</v>
      </c>
      <c r="AI181" t="s">
        <v>158</v>
      </c>
      <c r="AJ181">
        <v>8711021</v>
      </c>
      <c r="AK181" t="s">
        <v>2573</v>
      </c>
      <c r="AM181" t="s">
        <v>2574</v>
      </c>
      <c r="AN181" t="s">
        <v>2575</v>
      </c>
      <c r="AO181" t="s">
        <v>2576</v>
      </c>
      <c r="AP181" t="s">
        <v>2577</v>
      </c>
      <c r="AQ181" t="s">
        <v>2578</v>
      </c>
      <c r="AR181" t="s">
        <v>2579</v>
      </c>
      <c r="AY181" s="5">
        <v>10585.8</v>
      </c>
      <c r="AZ181" s="5">
        <v>0</v>
      </c>
      <c r="BA181">
        <v>1</v>
      </c>
      <c r="BB181" t="s">
        <v>204</v>
      </c>
      <c r="BC181" t="s">
        <v>2580</v>
      </c>
      <c r="BD181" t="s">
        <v>847</v>
      </c>
      <c r="BE181" t="s">
        <v>81</v>
      </c>
      <c r="BF181" t="s">
        <v>848</v>
      </c>
      <c r="BG181" t="s">
        <v>2581</v>
      </c>
      <c r="BH181" s="6" t="s">
        <v>83</v>
      </c>
      <c r="BK181">
        <v>0</v>
      </c>
      <c r="BL181">
        <v>0</v>
      </c>
      <c r="BM181" t="s">
        <v>101</v>
      </c>
      <c r="BN181" s="3" t="s">
        <v>2925</v>
      </c>
      <c r="BO181" s="5">
        <v>0</v>
      </c>
      <c r="BP181" s="5">
        <v>0</v>
      </c>
      <c r="BQ181" s="34">
        <v>0</v>
      </c>
    </row>
    <row r="182" spans="1:69" x14ac:dyDescent="0.3">
      <c r="A182" s="3" t="s">
        <v>2594</v>
      </c>
      <c r="B182" t="s">
        <v>67</v>
      </c>
      <c r="C182" t="s">
        <v>104</v>
      </c>
      <c r="D182" t="s">
        <v>1277</v>
      </c>
      <c r="E182" t="s">
        <v>1278</v>
      </c>
      <c r="F182" t="s">
        <v>608</v>
      </c>
      <c r="G182" t="s">
        <v>609</v>
      </c>
      <c r="H182" t="s">
        <v>175</v>
      </c>
      <c r="I182" t="s">
        <v>2595</v>
      </c>
      <c r="J182" s="4">
        <v>45995</v>
      </c>
      <c r="K182" s="4">
        <v>46163</v>
      </c>
      <c r="L182" s="5">
        <v>7000</v>
      </c>
      <c r="M182" s="5">
        <v>7373.85</v>
      </c>
      <c r="N182">
        <v>0</v>
      </c>
      <c r="O182" t="s">
        <v>1656</v>
      </c>
      <c r="P182">
        <v>12</v>
      </c>
      <c r="Q182" t="s">
        <v>293</v>
      </c>
      <c r="R182">
        <v>919.56000000000006</v>
      </c>
      <c r="S182">
        <v>696</v>
      </c>
      <c r="T182" s="5">
        <v>0</v>
      </c>
      <c r="U182" s="5">
        <v>1</v>
      </c>
      <c r="V182">
        <v>0</v>
      </c>
      <c r="W182" s="5">
        <v>6759.3600000000006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920</v>
      </c>
      <c r="AD182" s="4">
        <v>46009</v>
      </c>
      <c r="AE182" t="s">
        <v>76</v>
      </c>
      <c r="AF182">
        <v>7228968921</v>
      </c>
      <c r="AG182" t="s">
        <v>2596</v>
      </c>
      <c r="AI182" t="s">
        <v>370</v>
      </c>
      <c r="AJ182">
        <v>8944098</v>
      </c>
      <c r="AK182" t="s">
        <v>2597</v>
      </c>
      <c r="AL182" t="s">
        <v>2598</v>
      </c>
      <c r="AM182" t="s">
        <v>2599</v>
      </c>
      <c r="AN182" t="s">
        <v>2600</v>
      </c>
      <c r="AO182" t="s">
        <v>2601</v>
      </c>
      <c r="AP182" t="s">
        <v>2602</v>
      </c>
      <c r="AQ182" t="s">
        <v>2603</v>
      </c>
      <c r="AR182" t="s">
        <v>2604</v>
      </c>
      <c r="AY182" s="5">
        <v>9476.73</v>
      </c>
      <c r="AZ182" s="5">
        <v>0.4425</v>
      </c>
      <c r="BA182">
        <v>1</v>
      </c>
      <c r="BB182" t="s">
        <v>204</v>
      </c>
      <c r="BC182" t="s">
        <v>2605</v>
      </c>
      <c r="BD182" t="s">
        <v>2606</v>
      </c>
      <c r="BE182" t="s">
        <v>81</v>
      </c>
      <c r="BF182" t="s">
        <v>112</v>
      </c>
      <c r="BG182" t="s">
        <v>2607</v>
      </c>
      <c r="BH182" s="6" t="s">
        <v>83</v>
      </c>
      <c r="BK182">
        <v>0</v>
      </c>
      <c r="BL182">
        <v>0</v>
      </c>
      <c r="BM182" t="s">
        <v>101</v>
      </c>
      <c r="BN182" s="3" t="s">
        <v>2926</v>
      </c>
      <c r="BO182" s="5">
        <v>0</v>
      </c>
      <c r="BP182" s="5">
        <v>0</v>
      </c>
      <c r="BQ182" s="34">
        <v>0</v>
      </c>
    </row>
    <row r="183" spans="1:69" x14ac:dyDescent="0.3">
      <c r="A183" s="3" t="s">
        <v>2446</v>
      </c>
      <c r="B183" t="s">
        <v>67</v>
      </c>
      <c r="C183" t="s">
        <v>104</v>
      </c>
      <c r="D183" t="s">
        <v>795</v>
      </c>
      <c r="E183" t="s">
        <v>796</v>
      </c>
      <c r="F183" t="s">
        <v>608</v>
      </c>
      <c r="G183" t="s">
        <v>609</v>
      </c>
      <c r="H183" t="s">
        <v>73</v>
      </c>
      <c r="I183" t="s">
        <v>2447</v>
      </c>
      <c r="J183" s="4">
        <v>45792</v>
      </c>
      <c r="K183" s="4">
        <v>46037</v>
      </c>
      <c r="L183" s="5">
        <v>10000</v>
      </c>
      <c r="M183" s="5">
        <v>10534.08</v>
      </c>
      <c r="N183">
        <v>0</v>
      </c>
      <c r="O183" t="s">
        <v>1656</v>
      </c>
      <c r="P183">
        <v>8</v>
      </c>
      <c r="Q183" t="s">
        <v>75</v>
      </c>
      <c r="R183">
        <v>2146.86</v>
      </c>
      <c r="S183">
        <v>464</v>
      </c>
      <c r="T183" s="5">
        <v>0</v>
      </c>
      <c r="U183" s="5">
        <v>0</v>
      </c>
      <c r="V183">
        <v>0</v>
      </c>
      <c r="W183" s="5">
        <v>1316.76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2150</v>
      </c>
      <c r="AD183" s="4">
        <v>46006</v>
      </c>
      <c r="AE183" t="s">
        <v>76</v>
      </c>
      <c r="AF183">
        <v>7294023563</v>
      </c>
      <c r="AG183" t="s">
        <v>2448</v>
      </c>
      <c r="AI183" t="s">
        <v>126</v>
      </c>
      <c r="AJ183">
        <v>9501009</v>
      </c>
      <c r="AK183" t="s">
        <v>2449</v>
      </c>
      <c r="AM183" t="s">
        <v>2450</v>
      </c>
      <c r="AN183" t="s">
        <v>2451</v>
      </c>
      <c r="AO183" t="s">
        <v>2452</v>
      </c>
      <c r="AP183" t="s">
        <v>2453</v>
      </c>
      <c r="AQ183" t="s">
        <v>2454</v>
      </c>
      <c r="AR183" t="s">
        <v>2455</v>
      </c>
      <c r="AY183" s="5">
        <v>2085.81</v>
      </c>
      <c r="AZ183" s="5">
        <v>3.0507960000000001</v>
      </c>
      <c r="BA183">
        <v>1</v>
      </c>
      <c r="BB183" t="s">
        <v>204</v>
      </c>
      <c r="BC183" t="s">
        <v>2456</v>
      </c>
      <c r="BD183" t="s">
        <v>148</v>
      </c>
      <c r="BE183" t="s">
        <v>81</v>
      </c>
      <c r="BF183" t="s">
        <v>112</v>
      </c>
      <c r="BH183" s="6" t="s">
        <v>83</v>
      </c>
      <c r="BK183">
        <v>1</v>
      </c>
      <c r="BL183">
        <v>1</v>
      </c>
      <c r="BM183" t="s">
        <v>101</v>
      </c>
      <c r="BN183" s="3" t="s">
        <v>2457</v>
      </c>
      <c r="BO183" s="5">
        <v>0</v>
      </c>
      <c r="BP183" s="5">
        <v>0</v>
      </c>
      <c r="BQ183" s="34">
        <v>0</v>
      </c>
    </row>
    <row r="184" spans="1:69" x14ac:dyDescent="0.3">
      <c r="A184" s="3" t="s">
        <v>1358</v>
      </c>
      <c r="B184" t="s">
        <v>67</v>
      </c>
      <c r="C184" t="s">
        <v>104</v>
      </c>
      <c r="D184" t="s">
        <v>190</v>
      </c>
      <c r="E184" t="s">
        <v>191</v>
      </c>
      <c r="F184" t="s">
        <v>608</v>
      </c>
      <c r="G184" t="s">
        <v>609</v>
      </c>
      <c r="H184" t="s">
        <v>73</v>
      </c>
      <c r="I184" t="s">
        <v>1359</v>
      </c>
      <c r="J184" s="4">
        <v>45777</v>
      </c>
      <c r="K184" s="4">
        <v>46142</v>
      </c>
      <c r="L184" s="5">
        <v>20000</v>
      </c>
      <c r="M184" s="5">
        <v>21068.16</v>
      </c>
      <c r="N184">
        <v>0</v>
      </c>
      <c r="O184" t="s">
        <v>1656</v>
      </c>
      <c r="P184">
        <v>12</v>
      </c>
      <c r="Q184" t="s">
        <v>75</v>
      </c>
      <c r="R184">
        <v>3347.38</v>
      </c>
      <c r="S184">
        <v>696</v>
      </c>
      <c r="T184" s="5">
        <v>0</v>
      </c>
      <c r="U184" s="5">
        <v>0</v>
      </c>
      <c r="V184">
        <v>0</v>
      </c>
      <c r="W184" s="5">
        <v>8778.4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20</v>
      </c>
      <c r="AD184" s="4">
        <v>45996</v>
      </c>
      <c r="AE184" t="s">
        <v>76</v>
      </c>
      <c r="AF184">
        <v>7297349018</v>
      </c>
      <c r="AG184" t="s">
        <v>1360</v>
      </c>
      <c r="AI184" t="s">
        <v>370</v>
      </c>
      <c r="AJ184">
        <v>8944098</v>
      </c>
      <c r="AK184" t="s">
        <v>1361</v>
      </c>
      <c r="AM184" t="s">
        <v>1362</v>
      </c>
      <c r="AN184" t="s">
        <v>1363</v>
      </c>
      <c r="AO184" t="s">
        <v>1364</v>
      </c>
      <c r="AP184" t="s">
        <v>1365</v>
      </c>
      <c r="AQ184" t="s">
        <v>1366</v>
      </c>
      <c r="AR184" t="s">
        <v>1367</v>
      </c>
      <c r="AY184" s="5">
        <v>16429.599999999999</v>
      </c>
      <c r="AZ184" s="5">
        <v>17.32</v>
      </c>
      <c r="BA184">
        <v>1</v>
      </c>
      <c r="BB184" t="s">
        <v>204</v>
      </c>
      <c r="BC184" t="s">
        <v>1368</v>
      </c>
      <c r="BD184" t="s">
        <v>1369</v>
      </c>
      <c r="BE184" t="s">
        <v>81</v>
      </c>
      <c r="BF184" t="s">
        <v>104</v>
      </c>
      <c r="BH184" s="6" t="s">
        <v>83</v>
      </c>
      <c r="BK184">
        <v>3</v>
      </c>
      <c r="BL184">
        <v>2</v>
      </c>
      <c r="BM184" t="s">
        <v>101</v>
      </c>
      <c r="BN184" s="3" t="s">
        <v>1370</v>
      </c>
      <c r="BO184" s="5">
        <v>0</v>
      </c>
      <c r="BP184" s="5">
        <v>0</v>
      </c>
      <c r="BQ184" s="34">
        <v>0</v>
      </c>
    </row>
    <row r="185" spans="1:69" x14ac:dyDescent="0.3">
      <c r="A185" s="3" t="s">
        <v>1557</v>
      </c>
      <c r="B185" t="s">
        <v>67</v>
      </c>
      <c r="C185" t="s">
        <v>104</v>
      </c>
      <c r="D185" t="s">
        <v>190</v>
      </c>
      <c r="E185" t="s">
        <v>191</v>
      </c>
      <c r="F185" t="s">
        <v>608</v>
      </c>
      <c r="G185" t="s">
        <v>609</v>
      </c>
      <c r="H185" t="s">
        <v>73</v>
      </c>
      <c r="I185" t="s">
        <v>1558</v>
      </c>
      <c r="J185" s="4">
        <v>45817</v>
      </c>
      <c r="K185" s="4">
        <v>46182</v>
      </c>
      <c r="L185" s="5">
        <v>300000</v>
      </c>
      <c r="M185" s="5">
        <v>300000</v>
      </c>
      <c r="N185">
        <v>0</v>
      </c>
      <c r="O185" t="s">
        <v>1656</v>
      </c>
      <c r="P185">
        <v>12</v>
      </c>
      <c r="Q185" t="s">
        <v>75</v>
      </c>
      <c r="R185">
        <v>18000</v>
      </c>
      <c r="S185">
        <v>0</v>
      </c>
      <c r="T185" s="5">
        <v>0</v>
      </c>
      <c r="U185" s="5">
        <v>0</v>
      </c>
      <c r="V185">
        <v>0</v>
      </c>
      <c r="W185" s="5">
        <v>300000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18000</v>
      </c>
      <c r="AD185" s="4">
        <v>46008</v>
      </c>
      <c r="AE185" t="s">
        <v>76</v>
      </c>
      <c r="AF185">
        <v>7223946314</v>
      </c>
      <c r="AG185" t="s">
        <v>1559</v>
      </c>
      <c r="AI185" t="s">
        <v>1560</v>
      </c>
      <c r="AJ185">
        <v>4111944</v>
      </c>
      <c r="AK185" t="s">
        <v>1561</v>
      </c>
      <c r="AL185" t="s">
        <v>1562</v>
      </c>
      <c r="AM185" t="s">
        <v>1563</v>
      </c>
      <c r="AN185" t="s">
        <v>1564</v>
      </c>
      <c r="AO185" t="s">
        <v>1565</v>
      </c>
      <c r="AP185" t="s">
        <v>1566</v>
      </c>
      <c r="AQ185" t="s">
        <v>1567</v>
      </c>
      <c r="AR185" t="s">
        <v>1568</v>
      </c>
      <c r="AY185" s="5">
        <v>300000</v>
      </c>
      <c r="AZ185" s="5">
        <v>0</v>
      </c>
      <c r="BA185">
        <v>2</v>
      </c>
      <c r="BB185" t="s">
        <v>617</v>
      </c>
      <c r="BC185" t="s">
        <v>1569</v>
      </c>
      <c r="BD185" t="s">
        <v>1570</v>
      </c>
      <c r="BE185" t="s">
        <v>81</v>
      </c>
      <c r="BF185" t="s">
        <v>1571</v>
      </c>
      <c r="BH185" s="6" t="s">
        <v>83</v>
      </c>
      <c r="BK185">
        <v>6</v>
      </c>
      <c r="BL185">
        <v>6</v>
      </c>
      <c r="BM185" t="s">
        <v>101</v>
      </c>
      <c r="BN185" s="3" t="s">
        <v>1572</v>
      </c>
      <c r="BO185" s="5">
        <v>0</v>
      </c>
      <c r="BP185" s="5">
        <v>0</v>
      </c>
      <c r="BQ185" s="34">
        <v>0</v>
      </c>
    </row>
    <row r="186" spans="1:69" x14ac:dyDescent="0.3">
      <c r="A186" s="3" t="s">
        <v>2471</v>
      </c>
      <c r="B186" t="s">
        <v>67</v>
      </c>
      <c r="C186" t="s">
        <v>104</v>
      </c>
      <c r="D186" t="s">
        <v>190</v>
      </c>
      <c r="E186" t="s">
        <v>191</v>
      </c>
      <c r="F186" t="s">
        <v>608</v>
      </c>
      <c r="G186" t="s">
        <v>609</v>
      </c>
      <c r="H186" t="s">
        <v>73</v>
      </c>
      <c r="I186" t="s">
        <v>2472</v>
      </c>
      <c r="J186" s="4">
        <v>45761</v>
      </c>
      <c r="K186" s="4">
        <v>46126</v>
      </c>
      <c r="L186" s="5">
        <v>250000</v>
      </c>
      <c r="M186" s="5">
        <v>250000</v>
      </c>
      <c r="N186">
        <v>0</v>
      </c>
      <c r="O186" t="s">
        <v>1656</v>
      </c>
      <c r="P186">
        <v>12</v>
      </c>
      <c r="Q186" t="s">
        <v>75</v>
      </c>
      <c r="R186">
        <v>26896.28</v>
      </c>
      <c r="S186">
        <v>0</v>
      </c>
      <c r="T186" s="5">
        <v>0</v>
      </c>
      <c r="U186" s="5">
        <v>0</v>
      </c>
      <c r="V186">
        <v>0</v>
      </c>
      <c r="W186" s="5">
        <v>97248.39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25735.82</v>
      </c>
      <c r="AD186" s="4">
        <v>46008</v>
      </c>
      <c r="AE186" t="s">
        <v>76</v>
      </c>
      <c r="AF186">
        <v>5529680097</v>
      </c>
      <c r="AG186" t="s">
        <v>2473</v>
      </c>
      <c r="AI186" t="s">
        <v>2474</v>
      </c>
      <c r="AJ186">
        <v>8400002</v>
      </c>
      <c r="AK186" t="s">
        <v>2475</v>
      </c>
      <c r="AY186" s="5">
        <v>97248.39</v>
      </c>
      <c r="AZ186" s="5">
        <v>0</v>
      </c>
      <c r="BA186">
        <v>1</v>
      </c>
      <c r="BB186" t="s">
        <v>127</v>
      </c>
      <c r="BC186" t="s">
        <v>2476</v>
      </c>
      <c r="BD186" t="s">
        <v>2477</v>
      </c>
      <c r="BE186" t="s">
        <v>81</v>
      </c>
      <c r="BF186" t="s">
        <v>620</v>
      </c>
      <c r="BH186" s="6" t="s">
        <v>83</v>
      </c>
      <c r="BK186">
        <v>4</v>
      </c>
      <c r="BL186">
        <v>4</v>
      </c>
      <c r="BM186" t="s">
        <v>101</v>
      </c>
      <c r="BN186" s="3" t="s">
        <v>2478</v>
      </c>
      <c r="BO186" s="5">
        <v>0</v>
      </c>
      <c r="BP186" s="5">
        <v>0</v>
      </c>
      <c r="BQ186" s="34">
        <v>0</v>
      </c>
    </row>
    <row r="187" spans="1:69" x14ac:dyDescent="0.3">
      <c r="A187" s="3" t="s">
        <v>2533</v>
      </c>
      <c r="B187" t="s">
        <v>67</v>
      </c>
      <c r="C187" t="s">
        <v>104</v>
      </c>
      <c r="D187" t="s">
        <v>1672</v>
      </c>
      <c r="E187" t="s">
        <v>1673</v>
      </c>
      <c r="F187" t="s">
        <v>608</v>
      </c>
      <c r="G187" t="s">
        <v>609</v>
      </c>
      <c r="H187" t="s">
        <v>175</v>
      </c>
      <c r="I187" t="s">
        <v>2534</v>
      </c>
      <c r="J187" s="4">
        <v>45987</v>
      </c>
      <c r="K187" s="4">
        <v>46174</v>
      </c>
      <c r="L187" s="5">
        <v>10000</v>
      </c>
      <c r="M187" s="5">
        <v>10534.08</v>
      </c>
      <c r="N187">
        <v>0</v>
      </c>
      <c r="O187" t="s">
        <v>1656</v>
      </c>
      <c r="P187">
        <v>6</v>
      </c>
      <c r="Q187" t="s">
        <v>75</v>
      </c>
      <c r="R187">
        <v>2599.44</v>
      </c>
      <c r="S187">
        <v>348</v>
      </c>
      <c r="T187" s="5">
        <v>0</v>
      </c>
      <c r="U187" s="5">
        <v>0</v>
      </c>
      <c r="V187">
        <v>0</v>
      </c>
      <c r="W187" s="5">
        <v>10534.08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/>
      <c r="AD187" s="4"/>
      <c r="AE187" t="s">
        <v>76</v>
      </c>
      <c r="AF187">
        <v>7205753825</v>
      </c>
      <c r="AG187" t="s">
        <v>2535</v>
      </c>
      <c r="AI187" t="s">
        <v>158</v>
      </c>
      <c r="AJ187">
        <v>8711021</v>
      </c>
      <c r="AK187" t="s">
        <v>2536</v>
      </c>
      <c r="AM187" t="s">
        <v>2537</v>
      </c>
      <c r="AN187" t="s">
        <v>2538</v>
      </c>
      <c r="AO187" t="s">
        <v>2539</v>
      </c>
      <c r="AP187" t="s">
        <v>2540</v>
      </c>
      <c r="AQ187" t="s">
        <v>2929</v>
      </c>
      <c r="AR187" t="s">
        <v>2541</v>
      </c>
      <c r="AY187" s="5">
        <v>15248.64</v>
      </c>
      <c r="AZ187" s="5">
        <v>0</v>
      </c>
      <c r="BA187">
        <v>1</v>
      </c>
      <c r="BB187" t="s">
        <v>204</v>
      </c>
      <c r="BC187" t="s">
        <v>2542</v>
      </c>
      <c r="BD187" t="s">
        <v>2543</v>
      </c>
      <c r="BE187" t="s">
        <v>81</v>
      </c>
      <c r="BF187" t="s">
        <v>2432</v>
      </c>
      <c r="BG187" t="s">
        <v>2544</v>
      </c>
      <c r="BH187" s="6" t="s">
        <v>83</v>
      </c>
      <c r="BK187">
        <v>0</v>
      </c>
      <c r="BL187">
        <v>0</v>
      </c>
      <c r="BM187" t="s">
        <v>101</v>
      </c>
      <c r="BN187" s="3" t="s">
        <v>2930</v>
      </c>
      <c r="BO187" s="5">
        <v>0</v>
      </c>
      <c r="BP187" s="5">
        <v>0</v>
      </c>
      <c r="BQ187" s="34">
        <v>0</v>
      </c>
    </row>
    <row r="188" spans="1:69" x14ac:dyDescent="0.3">
      <c r="A188" s="3" t="s">
        <v>2489</v>
      </c>
      <c r="B188" t="s">
        <v>67</v>
      </c>
      <c r="C188" t="s">
        <v>104</v>
      </c>
      <c r="D188" t="s">
        <v>1277</v>
      </c>
      <c r="E188" t="s">
        <v>1278</v>
      </c>
      <c r="F188" t="s">
        <v>608</v>
      </c>
      <c r="G188" t="s">
        <v>609</v>
      </c>
      <c r="H188" t="s">
        <v>175</v>
      </c>
      <c r="I188" t="s">
        <v>2490</v>
      </c>
      <c r="J188" s="4">
        <v>45986</v>
      </c>
      <c r="K188" s="4">
        <v>46351</v>
      </c>
      <c r="L188" s="5">
        <v>10000</v>
      </c>
      <c r="M188" s="5">
        <v>10534.08</v>
      </c>
      <c r="N188">
        <v>0</v>
      </c>
      <c r="O188" t="s">
        <v>1656</v>
      </c>
      <c r="P188">
        <v>12</v>
      </c>
      <c r="Q188" t="s">
        <v>75</v>
      </c>
      <c r="R188">
        <v>1702.69</v>
      </c>
      <c r="S188">
        <v>696</v>
      </c>
      <c r="T188" s="5">
        <v>0</v>
      </c>
      <c r="U188" s="5">
        <v>0</v>
      </c>
      <c r="V188">
        <v>0</v>
      </c>
      <c r="W188" s="5">
        <v>10534.08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/>
      <c r="AD188" s="4"/>
      <c r="AE188" t="s">
        <v>76</v>
      </c>
      <c r="AF188">
        <v>7291158321</v>
      </c>
      <c r="AG188" t="s">
        <v>2491</v>
      </c>
      <c r="AI188" t="s">
        <v>1080</v>
      </c>
      <c r="AJ188">
        <v>6233019</v>
      </c>
      <c r="AM188" t="s">
        <v>2927</v>
      </c>
      <c r="AN188" t="s">
        <v>2492</v>
      </c>
      <c r="AO188" t="s">
        <v>2493</v>
      </c>
      <c r="AP188" t="s">
        <v>2494</v>
      </c>
      <c r="AQ188" t="s">
        <v>2495</v>
      </c>
      <c r="AR188" t="s">
        <v>2496</v>
      </c>
      <c r="AY188" s="5">
        <v>19736.3</v>
      </c>
      <c r="AZ188" s="5">
        <v>0</v>
      </c>
      <c r="BA188">
        <v>1</v>
      </c>
      <c r="BB188" t="s">
        <v>204</v>
      </c>
      <c r="BC188" t="s">
        <v>2497</v>
      </c>
      <c r="BD188" t="s">
        <v>1056</v>
      </c>
      <c r="BE188" t="s">
        <v>81</v>
      </c>
      <c r="BF188" t="s">
        <v>112</v>
      </c>
      <c r="BH188" s="6" t="s">
        <v>83</v>
      </c>
      <c r="BK188">
        <v>0</v>
      </c>
      <c r="BL188">
        <v>0</v>
      </c>
      <c r="BM188" t="s">
        <v>101</v>
      </c>
      <c r="BN188" s="3" t="s">
        <v>2928</v>
      </c>
      <c r="BO188" s="5">
        <v>0</v>
      </c>
      <c r="BP188" s="5">
        <v>0</v>
      </c>
      <c r="BQ188" s="34">
        <v>0</v>
      </c>
    </row>
    <row r="189" spans="1:69" x14ac:dyDescent="0.3">
      <c r="A189" s="3" t="s">
        <v>2479</v>
      </c>
      <c r="B189" t="s">
        <v>67</v>
      </c>
      <c r="C189" t="s">
        <v>104</v>
      </c>
      <c r="D189" t="s">
        <v>1672</v>
      </c>
      <c r="E189" t="s">
        <v>1673</v>
      </c>
      <c r="F189" t="s">
        <v>608</v>
      </c>
      <c r="G189" t="s">
        <v>609</v>
      </c>
      <c r="H189" t="s">
        <v>175</v>
      </c>
      <c r="I189" t="s">
        <v>2480</v>
      </c>
      <c r="J189" s="4">
        <v>46006</v>
      </c>
      <c r="K189" s="4">
        <v>46188</v>
      </c>
      <c r="L189" s="5">
        <v>7000</v>
      </c>
      <c r="M189" s="5">
        <v>7373.85</v>
      </c>
      <c r="N189">
        <v>0</v>
      </c>
      <c r="O189" t="s">
        <v>1656</v>
      </c>
      <c r="P189">
        <v>6</v>
      </c>
      <c r="Q189" t="s">
        <v>75</v>
      </c>
      <c r="R189">
        <v>1822.3</v>
      </c>
      <c r="S189">
        <v>348</v>
      </c>
      <c r="T189" s="5">
        <v>0</v>
      </c>
      <c r="U189" s="5">
        <v>0</v>
      </c>
      <c r="V189">
        <v>0</v>
      </c>
      <c r="W189" s="5">
        <v>7373.85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/>
      <c r="AD189" s="4"/>
      <c r="AE189" t="s">
        <v>76</v>
      </c>
      <c r="AF189">
        <v>7131151162</v>
      </c>
      <c r="AG189" t="s">
        <v>2481</v>
      </c>
      <c r="AI189" t="s">
        <v>126</v>
      </c>
      <c r="AJ189">
        <v>9501009</v>
      </c>
      <c r="AM189" t="s">
        <v>2482</v>
      </c>
      <c r="AN189" t="s">
        <v>2483</v>
      </c>
      <c r="AO189" t="s">
        <v>2484</v>
      </c>
      <c r="AP189" t="s">
        <v>2485</v>
      </c>
      <c r="AQ189" t="s">
        <v>2486</v>
      </c>
      <c r="AR189" t="s">
        <v>2487</v>
      </c>
      <c r="AY189" s="5">
        <v>10585.8</v>
      </c>
      <c r="AZ189" s="5">
        <v>0</v>
      </c>
      <c r="BA189">
        <v>1</v>
      </c>
      <c r="BB189" t="s">
        <v>204</v>
      </c>
      <c r="BC189" t="s">
        <v>2488</v>
      </c>
      <c r="BD189" t="s">
        <v>2194</v>
      </c>
      <c r="BE189" t="s">
        <v>81</v>
      </c>
      <c r="BF189" t="s">
        <v>2195</v>
      </c>
      <c r="BH189" s="6" t="s">
        <v>83</v>
      </c>
      <c r="BK189">
        <v>0</v>
      </c>
      <c r="BL189">
        <v>0</v>
      </c>
      <c r="BM189" t="s">
        <v>101</v>
      </c>
      <c r="BN189" s="3" t="s">
        <v>2956</v>
      </c>
      <c r="BO189" s="5">
        <v>0</v>
      </c>
      <c r="BP189" s="5">
        <v>0</v>
      </c>
      <c r="BQ189" s="34">
        <v>0</v>
      </c>
    </row>
    <row r="190" spans="1:69" x14ac:dyDescent="0.3">
      <c r="A190" s="3" t="s">
        <v>2523</v>
      </c>
      <c r="B190" t="s">
        <v>67</v>
      </c>
      <c r="C190" t="s">
        <v>104</v>
      </c>
      <c r="D190" t="s">
        <v>1672</v>
      </c>
      <c r="E190" t="s">
        <v>1673</v>
      </c>
      <c r="F190" t="s">
        <v>608</v>
      </c>
      <c r="G190" t="s">
        <v>609</v>
      </c>
      <c r="H190" t="s">
        <v>175</v>
      </c>
      <c r="I190" t="s">
        <v>2524</v>
      </c>
      <c r="J190" s="4">
        <v>46000</v>
      </c>
      <c r="K190" s="4">
        <v>46365</v>
      </c>
      <c r="L190" s="5">
        <v>10000</v>
      </c>
      <c r="M190" s="5">
        <v>10534.08</v>
      </c>
      <c r="N190">
        <v>0</v>
      </c>
      <c r="O190" t="s">
        <v>1656</v>
      </c>
      <c r="P190">
        <v>12</v>
      </c>
      <c r="Q190" t="s">
        <v>75</v>
      </c>
      <c r="R190">
        <v>1702.69</v>
      </c>
      <c r="S190">
        <v>696</v>
      </c>
      <c r="T190" s="5">
        <v>0</v>
      </c>
      <c r="U190" s="5">
        <v>0</v>
      </c>
      <c r="V190">
        <v>0</v>
      </c>
      <c r="W190" s="5">
        <v>10534.08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/>
      <c r="AD190" s="4"/>
      <c r="AE190" t="s">
        <v>76</v>
      </c>
      <c r="AF190">
        <v>7202108671</v>
      </c>
      <c r="AG190" t="s">
        <v>2931</v>
      </c>
      <c r="AI190" t="s">
        <v>281</v>
      </c>
      <c r="AJ190">
        <v>2093011</v>
      </c>
      <c r="AK190" t="s">
        <v>2525</v>
      </c>
      <c r="AM190" t="s">
        <v>2526</v>
      </c>
      <c r="AN190" t="s">
        <v>2527</v>
      </c>
      <c r="AO190" t="s">
        <v>2932</v>
      </c>
      <c r="AP190" t="s">
        <v>2933</v>
      </c>
      <c r="AQ190" t="s">
        <v>2528</v>
      </c>
      <c r="AR190" t="s">
        <v>2529</v>
      </c>
      <c r="AY190" s="5">
        <v>19736.3</v>
      </c>
      <c r="AZ190" s="5">
        <v>0</v>
      </c>
      <c r="BA190">
        <v>1</v>
      </c>
      <c r="BB190" t="s">
        <v>204</v>
      </c>
      <c r="BC190" t="s">
        <v>2530</v>
      </c>
      <c r="BD190" t="s">
        <v>647</v>
      </c>
      <c r="BE190" t="s">
        <v>81</v>
      </c>
      <c r="BF190" t="s">
        <v>648</v>
      </c>
      <c r="BG190" t="s">
        <v>2531</v>
      </c>
      <c r="BH190" s="6" t="s">
        <v>83</v>
      </c>
      <c r="BK190">
        <v>0</v>
      </c>
      <c r="BL190">
        <v>0</v>
      </c>
      <c r="BM190" t="s">
        <v>101</v>
      </c>
      <c r="BN190" s="3" t="s">
        <v>2934</v>
      </c>
      <c r="BO190" s="5">
        <v>0</v>
      </c>
      <c r="BP190" s="5">
        <v>0</v>
      </c>
      <c r="BQ190" s="34">
        <v>0</v>
      </c>
    </row>
    <row r="191" spans="1:69" x14ac:dyDescent="0.3">
      <c r="A191" s="3" t="s">
        <v>2498</v>
      </c>
      <c r="B191" t="s">
        <v>67</v>
      </c>
      <c r="C191" t="s">
        <v>104</v>
      </c>
      <c r="D191" t="s">
        <v>795</v>
      </c>
      <c r="E191" t="s">
        <v>796</v>
      </c>
      <c r="F191" t="s">
        <v>608</v>
      </c>
      <c r="G191" t="s">
        <v>609</v>
      </c>
      <c r="H191" t="s">
        <v>73</v>
      </c>
      <c r="I191" t="s">
        <v>2499</v>
      </c>
      <c r="J191" s="4">
        <v>45862</v>
      </c>
      <c r="K191" s="4">
        <v>46046</v>
      </c>
      <c r="L191" s="5">
        <v>10000</v>
      </c>
      <c r="M191" s="5">
        <v>10534.08</v>
      </c>
      <c r="N191">
        <v>0</v>
      </c>
      <c r="O191" t="s">
        <v>1656</v>
      </c>
      <c r="P191">
        <v>6</v>
      </c>
      <c r="Q191" t="s">
        <v>75</v>
      </c>
      <c r="R191">
        <v>2586.83</v>
      </c>
      <c r="S191">
        <v>348</v>
      </c>
      <c r="T191" s="5">
        <v>0</v>
      </c>
      <c r="U191" s="5">
        <v>0</v>
      </c>
      <c r="V191">
        <v>0</v>
      </c>
      <c r="W191" s="5">
        <v>3511.36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3150</v>
      </c>
      <c r="AD191" s="4">
        <v>45995</v>
      </c>
      <c r="AE191" t="s">
        <v>76</v>
      </c>
      <c r="AF191">
        <v>7225884698</v>
      </c>
      <c r="AG191" t="s">
        <v>2500</v>
      </c>
      <c r="AI191" t="s">
        <v>158</v>
      </c>
      <c r="AJ191">
        <v>8711021</v>
      </c>
      <c r="AM191" t="s">
        <v>2501</v>
      </c>
      <c r="AN191" t="s">
        <v>2502</v>
      </c>
      <c r="AO191" t="s">
        <v>2503</v>
      </c>
      <c r="AP191" t="s">
        <v>2504</v>
      </c>
      <c r="AQ191" t="s">
        <v>2505</v>
      </c>
      <c r="AR191" t="s">
        <v>2506</v>
      </c>
      <c r="AY191" s="5">
        <v>5055.01</v>
      </c>
      <c r="AZ191" s="5">
        <v>2.6613845333333299</v>
      </c>
      <c r="BA191">
        <v>1</v>
      </c>
      <c r="BB191" t="s">
        <v>204</v>
      </c>
      <c r="BC191" t="s">
        <v>2507</v>
      </c>
      <c r="BD191" t="s">
        <v>632</v>
      </c>
      <c r="BE191" t="s">
        <v>81</v>
      </c>
      <c r="BF191" t="s">
        <v>112</v>
      </c>
      <c r="BG191" t="s">
        <v>2508</v>
      </c>
      <c r="BH191" s="6" t="s">
        <v>83</v>
      </c>
      <c r="BK191">
        <v>4</v>
      </c>
      <c r="BL191">
        <v>4</v>
      </c>
      <c r="BM191" t="s">
        <v>101</v>
      </c>
      <c r="BN191" s="3" t="s">
        <v>2509</v>
      </c>
      <c r="BO191" s="5">
        <v>0</v>
      </c>
      <c r="BP191" s="5">
        <v>0</v>
      </c>
      <c r="BQ191" s="34">
        <v>0</v>
      </c>
    </row>
    <row r="192" spans="1:69" x14ac:dyDescent="0.3">
      <c r="A192" s="3" t="s">
        <v>2458</v>
      </c>
      <c r="B192" t="s">
        <v>67</v>
      </c>
      <c r="C192" t="s">
        <v>104</v>
      </c>
      <c r="D192" t="s">
        <v>795</v>
      </c>
      <c r="E192" t="s">
        <v>796</v>
      </c>
      <c r="F192" t="s">
        <v>608</v>
      </c>
      <c r="G192" t="s">
        <v>609</v>
      </c>
      <c r="H192" t="s">
        <v>73</v>
      </c>
      <c r="I192" t="s">
        <v>2459</v>
      </c>
      <c r="J192" s="4">
        <v>45860</v>
      </c>
      <c r="K192" s="4">
        <v>46044</v>
      </c>
      <c r="L192" s="5">
        <v>5000</v>
      </c>
      <c r="M192" s="5">
        <v>5267.04</v>
      </c>
      <c r="N192">
        <v>0</v>
      </c>
      <c r="O192" t="s">
        <v>1656</v>
      </c>
      <c r="P192">
        <v>6</v>
      </c>
      <c r="Q192" t="s">
        <v>75</v>
      </c>
      <c r="R192">
        <v>1322.42</v>
      </c>
      <c r="S192">
        <v>348</v>
      </c>
      <c r="T192" s="5">
        <v>0</v>
      </c>
      <c r="U192" s="5">
        <v>0</v>
      </c>
      <c r="V192">
        <v>1</v>
      </c>
      <c r="W192" s="5">
        <v>1755.68</v>
      </c>
      <c r="X192" s="5">
        <v>1321.83</v>
      </c>
      <c r="Y192" s="5">
        <v>877.84</v>
      </c>
      <c r="Z192" s="5">
        <v>386.58</v>
      </c>
      <c r="AA192" s="5">
        <v>57.41</v>
      </c>
      <c r="AB192" s="5">
        <v>0</v>
      </c>
      <c r="AC192" s="5">
        <v>580</v>
      </c>
      <c r="AD192" s="4">
        <v>45999</v>
      </c>
      <c r="AE192" t="s">
        <v>76</v>
      </c>
      <c r="AF192">
        <v>7294569713</v>
      </c>
      <c r="AG192" t="s">
        <v>2460</v>
      </c>
      <c r="AI192" t="s">
        <v>2461</v>
      </c>
      <c r="AJ192">
        <v>2921056</v>
      </c>
      <c r="AM192" t="s">
        <v>2462</v>
      </c>
      <c r="AN192" t="s">
        <v>2463</v>
      </c>
      <c r="AO192" t="s">
        <v>2464</v>
      </c>
      <c r="AP192" t="s">
        <v>2465</v>
      </c>
      <c r="AQ192" t="s">
        <v>2466</v>
      </c>
      <c r="AR192" t="s">
        <v>2467</v>
      </c>
      <c r="AY192" s="5">
        <v>2586.2399999999998</v>
      </c>
      <c r="AZ192" s="5">
        <v>0</v>
      </c>
      <c r="BA192">
        <v>1</v>
      </c>
      <c r="BB192" t="s">
        <v>204</v>
      </c>
      <c r="BC192" t="s">
        <v>2468</v>
      </c>
      <c r="BD192" t="s">
        <v>647</v>
      </c>
      <c r="BE192" t="s">
        <v>81</v>
      </c>
      <c r="BF192" t="s">
        <v>648</v>
      </c>
      <c r="BG192" t="s">
        <v>2469</v>
      </c>
      <c r="BH192" s="6" t="s">
        <v>83</v>
      </c>
      <c r="BK192">
        <v>2</v>
      </c>
      <c r="BL192">
        <v>2</v>
      </c>
      <c r="BM192" t="s">
        <v>101</v>
      </c>
      <c r="BN192" s="3" t="s">
        <v>2470</v>
      </c>
      <c r="BO192" s="5">
        <v>0</v>
      </c>
      <c r="BP192" s="5">
        <v>0</v>
      </c>
      <c r="BQ192" s="34">
        <v>0.51110105790645877</v>
      </c>
    </row>
    <row r="193" spans="1:69" x14ac:dyDescent="0.3">
      <c r="A193" s="3" t="s">
        <v>2888</v>
      </c>
      <c r="B193" t="s">
        <v>67</v>
      </c>
      <c r="C193" t="s">
        <v>104</v>
      </c>
      <c r="D193" t="s">
        <v>1277</v>
      </c>
      <c r="E193" t="s">
        <v>1278</v>
      </c>
      <c r="F193" t="s">
        <v>608</v>
      </c>
      <c r="G193" t="s">
        <v>609</v>
      </c>
      <c r="H193" t="s">
        <v>175</v>
      </c>
      <c r="I193" t="s">
        <v>2889</v>
      </c>
      <c r="J193" s="4">
        <v>45974</v>
      </c>
      <c r="K193" s="4">
        <v>46142</v>
      </c>
      <c r="L193" s="5">
        <v>9000</v>
      </c>
      <c r="M193" s="5">
        <v>9480.67</v>
      </c>
      <c r="N193">
        <v>0</v>
      </c>
      <c r="O193" t="s">
        <v>1656</v>
      </c>
      <c r="P193">
        <v>12</v>
      </c>
      <c r="Q193" t="s">
        <v>293</v>
      </c>
      <c r="R193">
        <v>1165.72</v>
      </c>
      <c r="S193">
        <v>696</v>
      </c>
      <c r="T193" s="5">
        <v>0</v>
      </c>
      <c r="U193" s="5">
        <v>2</v>
      </c>
      <c r="V193">
        <v>0</v>
      </c>
      <c r="W193" s="5">
        <v>7900.56</v>
      </c>
      <c r="X193" s="5">
        <v>2.9656000000000001E-3</v>
      </c>
      <c r="Y193" s="5">
        <v>0</v>
      </c>
      <c r="Z193" s="5">
        <v>0</v>
      </c>
      <c r="AA193" s="5">
        <v>0</v>
      </c>
      <c r="AB193" s="5">
        <v>0</v>
      </c>
      <c r="AC193" s="5">
        <v>1745.72</v>
      </c>
      <c r="AD193" s="4">
        <v>45999</v>
      </c>
      <c r="AE193" t="s">
        <v>76</v>
      </c>
      <c r="AF193">
        <v>7207943134</v>
      </c>
      <c r="AG193" t="s">
        <v>2890</v>
      </c>
      <c r="AI193" t="s">
        <v>126</v>
      </c>
      <c r="AJ193">
        <v>9501009</v>
      </c>
      <c r="AM193" t="s">
        <v>2891</v>
      </c>
      <c r="AN193" t="s">
        <v>2892</v>
      </c>
      <c r="AO193" t="s">
        <v>2893</v>
      </c>
      <c r="AP193" t="s">
        <v>2894</v>
      </c>
      <c r="AQ193" t="s">
        <v>2895</v>
      </c>
      <c r="AR193" t="s">
        <v>2896</v>
      </c>
      <c r="AY193" s="5">
        <v>11077.22</v>
      </c>
      <c r="AZ193" s="5">
        <v>0</v>
      </c>
      <c r="BA193">
        <v>1</v>
      </c>
      <c r="BB193" t="s">
        <v>204</v>
      </c>
      <c r="BC193" t="s">
        <v>2897</v>
      </c>
      <c r="BD193" t="s">
        <v>467</v>
      </c>
      <c r="BE193" t="s">
        <v>81</v>
      </c>
      <c r="BF193" t="s">
        <v>104</v>
      </c>
      <c r="BH193" s="6" t="s">
        <v>83</v>
      </c>
      <c r="BK193">
        <v>1</v>
      </c>
      <c r="BL193">
        <v>1</v>
      </c>
      <c r="BM193" t="s">
        <v>101</v>
      </c>
      <c r="BN193" s="3" t="s">
        <v>2898</v>
      </c>
      <c r="BO193" s="5">
        <v>0</v>
      </c>
      <c r="BP193" s="5">
        <v>0</v>
      </c>
      <c r="BQ193" s="34">
        <v>2.6772060137832422E-7</v>
      </c>
    </row>
    <row r="194" spans="1:69" x14ac:dyDescent="0.3">
      <c r="A194" s="3" t="s">
        <v>2510</v>
      </c>
      <c r="B194" t="s">
        <v>67</v>
      </c>
      <c r="C194" t="s">
        <v>104</v>
      </c>
      <c r="D194" t="s">
        <v>1672</v>
      </c>
      <c r="E194" t="s">
        <v>1673</v>
      </c>
      <c r="F194" t="s">
        <v>608</v>
      </c>
      <c r="G194" t="s">
        <v>609</v>
      </c>
      <c r="H194" t="s">
        <v>73</v>
      </c>
      <c r="I194" t="s">
        <v>2511</v>
      </c>
      <c r="J194" s="4">
        <v>45968</v>
      </c>
      <c r="K194" s="4">
        <v>46149</v>
      </c>
      <c r="L194" s="5">
        <v>5000</v>
      </c>
      <c r="M194" s="5">
        <v>5267.04</v>
      </c>
      <c r="N194">
        <v>0</v>
      </c>
      <c r="O194" t="s">
        <v>1656</v>
      </c>
      <c r="P194">
        <v>6</v>
      </c>
      <c r="Q194" t="s">
        <v>75</v>
      </c>
      <c r="R194">
        <v>1316.11</v>
      </c>
      <c r="S194">
        <v>348</v>
      </c>
      <c r="T194" s="5">
        <v>0</v>
      </c>
      <c r="U194" s="5">
        <v>0</v>
      </c>
      <c r="V194">
        <v>0</v>
      </c>
      <c r="W194" s="5">
        <v>4389.2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1317</v>
      </c>
      <c r="AD194" s="4">
        <v>45999</v>
      </c>
      <c r="AE194" t="s">
        <v>76</v>
      </c>
      <c r="AF194">
        <v>7225951286</v>
      </c>
      <c r="AG194" t="s">
        <v>2512</v>
      </c>
      <c r="AI194" t="s">
        <v>126</v>
      </c>
      <c r="AJ194">
        <v>9501009</v>
      </c>
      <c r="AM194" t="s">
        <v>2513</v>
      </c>
      <c r="AN194" t="s">
        <v>2514</v>
      </c>
      <c r="AO194" t="s">
        <v>2515</v>
      </c>
      <c r="AP194" t="s">
        <v>2516</v>
      </c>
      <c r="AQ194" t="s">
        <v>2517</v>
      </c>
      <c r="AR194" t="s">
        <v>2518</v>
      </c>
      <c r="AY194" s="5">
        <v>6289.6900000000014</v>
      </c>
      <c r="AZ194" s="5">
        <v>0.89</v>
      </c>
      <c r="BA194">
        <v>1</v>
      </c>
      <c r="BB194" t="s">
        <v>204</v>
      </c>
      <c r="BC194" t="s">
        <v>2519</v>
      </c>
      <c r="BD194" t="s">
        <v>2520</v>
      </c>
      <c r="BE194" t="s">
        <v>81</v>
      </c>
      <c r="BF194" t="s">
        <v>2432</v>
      </c>
      <c r="BG194" t="s">
        <v>2521</v>
      </c>
      <c r="BH194" s="6" t="s">
        <v>83</v>
      </c>
      <c r="BK194">
        <v>0</v>
      </c>
      <c r="BL194">
        <v>0</v>
      </c>
      <c r="BM194" t="s">
        <v>101</v>
      </c>
      <c r="BN194" s="3" t="s">
        <v>2522</v>
      </c>
      <c r="BO194" s="5">
        <v>0</v>
      </c>
      <c r="BP194" s="5">
        <v>0</v>
      </c>
      <c r="BQ194" s="34">
        <v>0</v>
      </c>
    </row>
    <row r="195" spans="1:69" x14ac:dyDescent="0.3">
      <c r="A195" s="3" t="s">
        <v>2252</v>
      </c>
      <c r="B195" t="s">
        <v>67</v>
      </c>
      <c r="C195" t="s">
        <v>104</v>
      </c>
      <c r="D195" t="s">
        <v>190</v>
      </c>
      <c r="E195" t="s">
        <v>191</v>
      </c>
      <c r="F195" t="s">
        <v>190</v>
      </c>
      <c r="G195" t="s">
        <v>191</v>
      </c>
      <c r="H195" t="s">
        <v>2239</v>
      </c>
      <c r="I195" t="s">
        <v>2253</v>
      </c>
      <c r="J195" s="4">
        <v>45939</v>
      </c>
      <c r="K195" s="4">
        <v>46096</v>
      </c>
      <c r="L195" s="5">
        <v>5846.95</v>
      </c>
      <c r="M195" s="5">
        <v>5846.95</v>
      </c>
      <c r="N195">
        <v>0</v>
      </c>
      <c r="O195" t="s">
        <v>1656</v>
      </c>
      <c r="P195">
        <v>5</v>
      </c>
      <c r="Q195" t="s">
        <v>75</v>
      </c>
      <c r="R195">
        <v>5846.95</v>
      </c>
      <c r="S195">
        <v>0</v>
      </c>
      <c r="T195" s="5">
        <v>0</v>
      </c>
      <c r="U195" s="5">
        <v>0</v>
      </c>
      <c r="V195">
        <v>0</v>
      </c>
      <c r="W195" s="5">
        <v>5846.95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/>
      <c r="AD195" s="4"/>
      <c r="AE195" t="s">
        <v>76</v>
      </c>
      <c r="AF195">
        <v>7227803366</v>
      </c>
      <c r="AG195" t="s">
        <v>2254</v>
      </c>
      <c r="AI195" t="s">
        <v>2255</v>
      </c>
      <c r="AJ195">
        <v>6811013</v>
      </c>
      <c r="AY195" s="5">
        <v>5846.95</v>
      </c>
      <c r="AZ195" s="5">
        <v>0</v>
      </c>
      <c r="BA195">
        <v>1</v>
      </c>
      <c r="BB195" t="s">
        <v>127</v>
      </c>
      <c r="BC195" t="s">
        <v>2256</v>
      </c>
      <c r="BD195" t="s">
        <v>2250</v>
      </c>
      <c r="BE195" t="s">
        <v>81</v>
      </c>
      <c r="BF195" t="s">
        <v>648</v>
      </c>
      <c r="BH195" s="6" t="s">
        <v>83</v>
      </c>
      <c r="BK195">
        <v>0</v>
      </c>
      <c r="BL195">
        <v>0</v>
      </c>
      <c r="BM195" t="s">
        <v>101</v>
      </c>
      <c r="BN195" s="3" t="s">
        <v>2257</v>
      </c>
      <c r="BO195" s="5">
        <v>0</v>
      </c>
      <c r="BP195" s="5">
        <v>0</v>
      </c>
      <c r="BQ195" s="34">
        <v>0</v>
      </c>
    </row>
    <row r="196" spans="1:69" x14ac:dyDescent="0.3">
      <c r="A196" s="3" t="s">
        <v>2559</v>
      </c>
      <c r="B196" t="s">
        <v>67</v>
      </c>
      <c r="C196" t="s">
        <v>104</v>
      </c>
      <c r="D196" t="s">
        <v>608</v>
      </c>
      <c r="E196" t="s">
        <v>609</v>
      </c>
      <c r="F196" t="s">
        <v>608</v>
      </c>
      <c r="G196" t="s">
        <v>609</v>
      </c>
      <c r="H196" t="s">
        <v>175</v>
      </c>
      <c r="I196" t="s">
        <v>2560</v>
      </c>
      <c r="J196" s="4">
        <v>45960</v>
      </c>
      <c r="K196" s="4">
        <v>46143</v>
      </c>
      <c r="L196" s="5">
        <v>8000</v>
      </c>
      <c r="M196" s="5">
        <v>8427.26</v>
      </c>
      <c r="N196">
        <v>0</v>
      </c>
      <c r="O196" t="s">
        <v>1656</v>
      </c>
      <c r="P196">
        <v>6</v>
      </c>
      <c r="Q196" t="s">
        <v>75</v>
      </c>
      <c r="R196">
        <v>2077.71</v>
      </c>
      <c r="S196">
        <v>348</v>
      </c>
      <c r="T196" s="5">
        <v>0</v>
      </c>
      <c r="U196" s="5">
        <v>0</v>
      </c>
      <c r="V196">
        <v>0</v>
      </c>
      <c r="W196" s="5">
        <v>7022.72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2077.71</v>
      </c>
      <c r="AD196" s="4">
        <v>45992</v>
      </c>
      <c r="AE196" t="s">
        <v>76</v>
      </c>
      <c r="AF196">
        <v>7221289605</v>
      </c>
      <c r="AG196" t="s">
        <v>2561</v>
      </c>
      <c r="AI196" t="s">
        <v>126</v>
      </c>
      <c r="AJ196">
        <v>9501009</v>
      </c>
      <c r="AM196" t="s">
        <v>2562</v>
      </c>
      <c r="AN196" t="s">
        <v>2563</v>
      </c>
      <c r="AO196" t="s">
        <v>2564</v>
      </c>
      <c r="AP196" t="s">
        <v>2565</v>
      </c>
      <c r="AQ196" t="s">
        <v>2566</v>
      </c>
      <c r="AR196" t="s">
        <v>2567</v>
      </c>
      <c r="AY196" s="5">
        <v>10098.52</v>
      </c>
      <c r="AZ196" s="5">
        <v>6.7000000000000002E-3</v>
      </c>
      <c r="BA196">
        <v>1</v>
      </c>
      <c r="BB196" t="s">
        <v>204</v>
      </c>
      <c r="BC196" t="s">
        <v>2568</v>
      </c>
      <c r="BD196" t="s">
        <v>1369</v>
      </c>
      <c r="BE196" t="s">
        <v>81</v>
      </c>
      <c r="BF196" t="s">
        <v>104</v>
      </c>
      <c r="BH196" s="6" t="s">
        <v>83</v>
      </c>
      <c r="BK196">
        <v>0</v>
      </c>
      <c r="BL196">
        <v>0</v>
      </c>
      <c r="BM196" t="s">
        <v>101</v>
      </c>
      <c r="BN196" s="3" t="s">
        <v>2569</v>
      </c>
      <c r="BO196" s="5">
        <v>0</v>
      </c>
      <c r="BP196" s="5">
        <v>0</v>
      </c>
      <c r="BQ196" s="34">
        <v>0</v>
      </c>
    </row>
    <row r="197" spans="1:69" x14ac:dyDescent="0.3">
      <c r="A197" s="3" t="s">
        <v>2582</v>
      </c>
      <c r="B197" t="s">
        <v>67</v>
      </c>
      <c r="C197" t="s">
        <v>104</v>
      </c>
      <c r="D197" t="s">
        <v>494</v>
      </c>
      <c r="E197" t="s">
        <v>495</v>
      </c>
      <c r="F197" t="s">
        <v>608</v>
      </c>
      <c r="G197" t="s">
        <v>609</v>
      </c>
      <c r="H197" t="s">
        <v>73</v>
      </c>
      <c r="I197" t="s">
        <v>2583</v>
      </c>
      <c r="J197" s="4">
        <v>45798</v>
      </c>
      <c r="K197" s="4">
        <v>46163</v>
      </c>
      <c r="L197" s="5">
        <v>15000</v>
      </c>
      <c r="M197" s="5">
        <v>15801.12</v>
      </c>
      <c r="N197">
        <v>0</v>
      </c>
      <c r="O197" t="s">
        <v>1656</v>
      </c>
      <c r="P197">
        <v>12</v>
      </c>
      <c r="Q197" t="s">
        <v>75</v>
      </c>
      <c r="R197">
        <v>2525.04</v>
      </c>
      <c r="S197">
        <v>696</v>
      </c>
      <c r="T197" s="5">
        <v>0</v>
      </c>
      <c r="U197" s="5">
        <v>0</v>
      </c>
      <c r="V197">
        <v>1</v>
      </c>
      <c r="W197" s="5">
        <v>7900.56</v>
      </c>
      <c r="X197" s="5">
        <v>2519.1835080000001</v>
      </c>
      <c r="Y197" s="5">
        <v>1316.76</v>
      </c>
      <c r="Z197" s="5">
        <v>1150.27</v>
      </c>
      <c r="AA197" s="5">
        <v>52.15</v>
      </c>
      <c r="AB197" s="5">
        <v>0</v>
      </c>
      <c r="AC197" s="5">
        <v>3100</v>
      </c>
      <c r="AD197" s="4">
        <v>45989</v>
      </c>
      <c r="AE197" t="s">
        <v>76</v>
      </c>
      <c r="AF197">
        <v>7225330152</v>
      </c>
      <c r="AG197" t="s">
        <v>2584</v>
      </c>
      <c r="AI197" t="s">
        <v>126</v>
      </c>
      <c r="AJ197">
        <v>9501009</v>
      </c>
      <c r="AM197" t="s">
        <v>2585</v>
      </c>
      <c r="AN197" t="s">
        <v>2586</v>
      </c>
      <c r="AO197" t="s">
        <v>2587</v>
      </c>
      <c r="AP197" t="s">
        <v>2588</v>
      </c>
      <c r="AQ197" t="s">
        <v>2589</v>
      </c>
      <c r="AR197" t="s">
        <v>2590</v>
      </c>
      <c r="AY197" s="5">
        <v>14854.37</v>
      </c>
      <c r="AZ197" s="5">
        <v>0</v>
      </c>
      <c r="BA197">
        <v>1</v>
      </c>
      <c r="BB197" t="s">
        <v>204</v>
      </c>
      <c r="BC197" t="s">
        <v>2591</v>
      </c>
      <c r="BD197" t="s">
        <v>2592</v>
      </c>
      <c r="BE197" t="s">
        <v>81</v>
      </c>
      <c r="BF197" t="s">
        <v>660</v>
      </c>
      <c r="BH197" s="6" t="s">
        <v>83</v>
      </c>
      <c r="BK197">
        <v>4</v>
      </c>
      <c r="BL197">
        <v>2</v>
      </c>
      <c r="BM197" t="s">
        <v>101</v>
      </c>
      <c r="BN197" s="3" t="s">
        <v>2593</v>
      </c>
      <c r="BO197" s="5">
        <v>0</v>
      </c>
      <c r="BP197" s="5">
        <v>0</v>
      </c>
      <c r="BQ197" s="34">
        <v>0.1695920801757328</v>
      </c>
    </row>
    <row r="198" spans="1:69" x14ac:dyDescent="0.3">
      <c r="A198" s="3" t="s">
        <v>2353</v>
      </c>
      <c r="B198" t="s">
        <v>67</v>
      </c>
      <c r="C198" t="s">
        <v>104</v>
      </c>
      <c r="D198" t="s">
        <v>190</v>
      </c>
      <c r="E198" t="s">
        <v>191</v>
      </c>
      <c r="F198" t="s">
        <v>608</v>
      </c>
      <c r="G198" t="s">
        <v>609</v>
      </c>
      <c r="H198" t="s">
        <v>175</v>
      </c>
      <c r="I198" t="s">
        <v>2354</v>
      </c>
      <c r="J198" s="4">
        <v>45947</v>
      </c>
      <c r="K198" s="4">
        <v>46142</v>
      </c>
      <c r="L198" s="5">
        <v>50000</v>
      </c>
      <c r="M198" s="5">
        <v>50000</v>
      </c>
      <c r="N198">
        <v>0</v>
      </c>
      <c r="O198" t="s">
        <v>1656</v>
      </c>
      <c r="P198">
        <v>12</v>
      </c>
      <c r="Q198" t="s">
        <v>1017</v>
      </c>
      <c r="R198">
        <v>4803.71</v>
      </c>
      <c r="S198">
        <v>618</v>
      </c>
      <c r="T198" s="5">
        <v>0</v>
      </c>
      <c r="U198" s="5">
        <v>0</v>
      </c>
      <c r="V198">
        <v>0</v>
      </c>
      <c r="W198" s="5">
        <v>38634.85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4803.71</v>
      </c>
      <c r="AD198" s="4">
        <v>46006</v>
      </c>
      <c r="AE198" t="s">
        <v>76</v>
      </c>
      <c r="AF198">
        <v>5544790066</v>
      </c>
      <c r="AG198" t="s">
        <v>2355</v>
      </c>
      <c r="AI198" t="s">
        <v>370</v>
      </c>
      <c r="AJ198">
        <v>8944098</v>
      </c>
      <c r="AY198" s="5">
        <v>38634.85</v>
      </c>
      <c r="AZ198" s="5">
        <v>0</v>
      </c>
      <c r="BA198">
        <v>1</v>
      </c>
      <c r="BB198" t="s">
        <v>127</v>
      </c>
      <c r="BC198" t="s">
        <v>2356</v>
      </c>
      <c r="BD198" t="s">
        <v>619</v>
      </c>
      <c r="BE198" t="s">
        <v>81</v>
      </c>
      <c r="BF198" t="s">
        <v>620</v>
      </c>
      <c r="BH198" s="6" t="s">
        <v>83</v>
      </c>
      <c r="BK198">
        <v>0</v>
      </c>
      <c r="BL198">
        <v>0</v>
      </c>
      <c r="BM198" t="s">
        <v>84</v>
      </c>
      <c r="BN198" s="3" t="s">
        <v>2357</v>
      </c>
      <c r="BO198" s="5">
        <v>0</v>
      </c>
      <c r="BP198" s="5">
        <v>0</v>
      </c>
      <c r="BQ198" s="34">
        <v>0</v>
      </c>
    </row>
    <row r="199" spans="1:69" x14ac:dyDescent="0.3">
      <c r="A199" s="3" t="s">
        <v>2406</v>
      </c>
      <c r="B199" t="s">
        <v>67</v>
      </c>
      <c r="C199" t="s">
        <v>104</v>
      </c>
      <c r="D199" t="s">
        <v>1277</v>
      </c>
      <c r="E199" t="s">
        <v>1278</v>
      </c>
      <c r="F199" t="s">
        <v>608</v>
      </c>
      <c r="G199" t="s">
        <v>609</v>
      </c>
      <c r="H199" t="s">
        <v>175</v>
      </c>
      <c r="I199" t="s">
        <v>2407</v>
      </c>
      <c r="J199" s="4">
        <v>45995</v>
      </c>
      <c r="K199" s="4">
        <v>46360</v>
      </c>
      <c r="L199" s="5">
        <v>12000</v>
      </c>
      <c r="M199" s="5">
        <v>12640.89</v>
      </c>
      <c r="N199">
        <v>0</v>
      </c>
      <c r="O199" t="s">
        <v>1656</v>
      </c>
      <c r="P199">
        <v>12</v>
      </c>
      <c r="Q199" t="s">
        <v>75</v>
      </c>
      <c r="R199">
        <v>2031.63</v>
      </c>
      <c r="S199">
        <v>696</v>
      </c>
      <c r="T199" s="5">
        <v>0</v>
      </c>
      <c r="U199" s="5">
        <v>0</v>
      </c>
      <c r="V199">
        <v>0</v>
      </c>
      <c r="W199" s="5">
        <v>12640.89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/>
      <c r="AD199" s="4"/>
      <c r="AE199" t="s">
        <v>76</v>
      </c>
      <c r="AF199">
        <v>7293774847</v>
      </c>
      <c r="AG199" t="s">
        <v>2408</v>
      </c>
      <c r="AH199">
        <v>7293774847</v>
      </c>
      <c r="AI199" t="s">
        <v>2409</v>
      </c>
      <c r="AJ199">
        <v>3212024</v>
      </c>
      <c r="AK199" t="s">
        <v>2410</v>
      </c>
      <c r="AM199" t="s">
        <v>2411</v>
      </c>
      <c r="AN199" t="s">
        <v>2412</v>
      </c>
      <c r="AO199" t="s">
        <v>2413</v>
      </c>
      <c r="AP199" t="s">
        <v>2414</v>
      </c>
      <c r="AQ199" t="s">
        <v>2415</v>
      </c>
      <c r="AR199" t="s">
        <v>2416</v>
      </c>
      <c r="AY199" s="5">
        <v>23683.55</v>
      </c>
      <c r="AZ199" s="5">
        <v>0</v>
      </c>
      <c r="BA199">
        <v>1</v>
      </c>
      <c r="BB199" t="s">
        <v>204</v>
      </c>
      <c r="BC199" t="s">
        <v>2417</v>
      </c>
      <c r="BD199" t="s">
        <v>2418</v>
      </c>
      <c r="BE199" t="s">
        <v>81</v>
      </c>
      <c r="BF199" t="s">
        <v>431</v>
      </c>
      <c r="BH199" s="6" t="s">
        <v>83</v>
      </c>
      <c r="BK199">
        <v>0</v>
      </c>
      <c r="BL199">
        <v>0</v>
      </c>
      <c r="BM199" t="s">
        <v>101</v>
      </c>
      <c r="BN199" s="3" t="s">
        <v>2935</v>
      </c>
      <c r="BO199" s="5">
        <v>0</v>
      </c>
      <c r="BP199" s="5">
        <v>0</v>
      </c>
      <c r="BQ199" s="34">
        <v>0</v>
      </c>
    </row>
    <row r="200" spans="1:69" x14ac:dyDescent="0.3">
      <c r="A200" s="3" t="s">
        <v>2936</v>
      </c>
      <c r="B200" t="s">
        <v>67</v>
      </c>
      <c r="C200" t="s">
        <v>104</v>
      </c>
      <c r="D200" t="s">
        <v>1277</v>
      </c>
      <c r="E200" t="s">
        <v>1278</v>
      </c>
      <c r="F200" t="s">
        <v>608</v>
      </c>
      <c r="G200" t="s">
        <v>609</v>
      </c>
      <c r="H200" t="s">
        <v>73</v>
      </c>
      <c r="I200" t="s">
        <v>2937</v>
      </c>
      <c r="J200" s="4">
        <v>45987</v>
      </c>
      <c r="K200" s="4">
        <v>46168</v>
      </c>
      <c r="L200" s="5">
        <v>30000</v>
      </c>
      <c r="M200" s="5">
        <v>30000</v>
      </c>
      <c r="N200">
        <v>0</v>
      </c>
      <c r="O200" t="s">
        <v>1656</v>
      </c>
      <c r="P200">
        <v>6</v>
      </c>
      <c r="Q200" t="s">
        <v>75</v>
      </c>
      <c r="R200">
        <v>6309.6100000000006</v>
      </c>
      <c r="S200">
        <v>366</v>
      </c>
      <c r="T200" s="5">
        <v>0</v>
      </c>
      <c r="U200" s="5">
        <v>0</v>
      </c>
      <c r="V200">
        <v>0</v>
      </c>
      <c r="W200" s="5">
        <v>30000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/>
      <c r="AD200" s="4"/>
      <c r="AE200" t="s">
        <v>76</v>
      </c>
      <c r="AF200">
        <v>7712197133</v>
      </c>
      <c r="AG200" t="s">
        <v>2938</v>
      </c>
      <c r="AI200" t="s">
        <v>370</v>
      </c>
      <c r="AJ200">
        <v>8944098</v>
      </c>
      <c r="AY200" s="5">
        <v>30000</v>
      </c>
      <c r="AZ200" s="5">
        <v>0</v>
      </c>
      <c r="BA200">
        <v>1</v>
      </c>
      <c r="BB200" t="s">
        <v>127</v>
      </c>
      <c r="BC200" t="s">
        <v>2939</v>
      </c>
      <c r="BD200" t="s">
        <v>2940</v>
      </c>
      <c r="BE200" t="s">
        <v>1131</v>
      </c>
      <c r="BF200" t="s">
        <v>2941</v>
      </c>
      <c r="BH200" s="6" t="s">
        <v>83</v>
      </c>
      <c r="BK200">
        <v>0</v>
      </c>
      <c r="BL200">
        <v>0</v>
      </c>
      <c r="BM200" t="s">
        <v>101</v>
      </c>
      <c r="BN200" s="3" t="s">
        <v>2942</v>
      </c>
      <c r="BO200" s="5">
        <v>0</v>
      </c>
      <c r="BP200" s="5">
        <v>0</v>
      </c>
      <c r="BQ200" s="34">
        <v>0</v>
      </c>
    </row>
    <row r="201" spans="1:69" x14ac:dyDescent="0.3">
      <c r="A201" s="3" t="s">
        <v>2252</v>
      </c>
      <c r="B201" t="s">
        <v>67</v>
      </c>
      <c r="C201" t="s">
        <v>104</v>
      </c>
      <c r="D201" t="s">
        <v>190</v>
      </c>
      <c r="E201" t="s">
        <v>191</v>
      </c>
      <c r="F201" t="s">
        <v>190</v>
      </c>
      <c r="G201" t="s">
        <v>191</v>
      </c>
      <c r="H201" t="s">
        <v>175</v>
      </c>
      <c r="I201" t="s">
        <v>2253</v>
      </c>
      <c r="J201" s="4">
        <v>45888</v>
      </c>
      <c r="K201" s="4">
        <v>46072</v>
      </c>
      <c r="L201" s="5">
        <v>30000</v>
      </c>
      <c r="M201" s="5">
        <v>30000</v>
      </c>
      <c r="N201">
        <v>0</v>
      </c>
      <c r="O201" t="s">
        <v>1656</v>
      </c>
      <c r="P201">
        <v>6</v>
      </c>
      <c r="Q201" t="s">
        <v>75</v>
      </c>
      <c r="R201">
        <v>5846.95</v>
      </c>
      <c r="S201">
        <v>558</v>
      </c>
      <c r="T201" s="5">
        <v>0</v>
      </c>
      <c r="U201" s="5">
        <v>0</v>
      </c>
      <c r="V201">
        <v>0</v>
      </c>
      <c r="W201" s="5">
        <v>10826.61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5846.95</v>
      </c>
      <c r="AD201" s="4">
        <v>46006</v>
      </c>
      <c r="AE201" t="s">
        <v>76</v>
      </c>
      <c r="AF201">
        <v>7227803366</v>
      </c>
      <c r="AG201" t="s">
        <v>2254</v>
      </c>
      <c r="AI201" t="s">
        <v>2255</v>
      </c>
      <c r="AJ201">
        <v>6811013</v>
      </c>
      <c r="AM201" t="s">
        <v>2358</v>
      </c>
      <c r="AN201" t="s">
        <v>2359</v>
      </c>
      <c r="AO201" t="s">
        <v>2360</v>
      </c>
      <c r="AP201" t="s">
        <v>2361</v>
      </c>
      <c r="AQ201" t="s">
        <v>2362</v>
      </c>
      <c r="AR201" t="s">
        <v>2363</v>
      </c>
      <c r="AY201" s="5">
        <v>10826.61</v>
      </c>
      <c r="AZ201" s="5">
        <v>0</v>
      </c>
      <c r="BA201">
        <v>1</v>
      </c>
      <c r="BB201" t="s">
        <v>127</v>
      </c>
      <c r="BC201" t="s">
        <v>2256</v>
      </c>
      <c r="BD201" t="s">
        <v>2250</v>
      </c>
      <c r="BE201" t="s">
        <v>81</v>
      </c>
      <c r="BF201" t="s">
        <v>648</v>
      </c>
      <c r="BH201" s="6" t="s">
        <v>83</v>
      </c>
      <c r="BK201">
        <v>0</v>
      </c>
      <c r="BL201">
        <v>0</v>
      </c>
      <c r="BM201" t="s">
        <v>101</v>
      </c>
      <c r="BN201" s="3"/>
      <c r="BO201" s="5">
        <v>0</v>
      </c>
      <c r="BP201" s="5">
        <v>0</v>
      </c>
      <c r="BQ201" s="34">
        <v>0</v>
      </c>
    </row>
    <row r="202" spans="1:69" x14ac:dyDescent="0.3">
      <c r="A202" s="3" t="s">
        <v>2622</v>
      </c>
      <c r="B202" t="s">
        <v>67</v>
      </c>
      <c r="C202" t="s">
        <v>104</v>
      </c>
      <c r="D202" t="s">
        <v>795</v>
      </c>
      <c r="E202" t="s">
        <v>796</v>
      </c>
      <c r="F202" t="s">
        <v>608</v>
      </c>
      <c r="G202" t="s">
        <v>609</v>
      </c>
      <c r="H202" t="s">
        <v>73</v>
      </c>
      <c r="I202" t="s">
        <v>2623</v>
      </c>
      <c r="J202" s="4">
        <v>45877</v>
      </c>
      <c r="K202" s="4">
        <v>46242</v>
      </c>
      <c r="L202" s="5">
        <v>10000</v>
      </c>
      <c r="M202" s="5">
        <v>10534.08</v>
      </c>
      <c r="N202">
        <v>0</v>
      </c>
      <c r="O202" t="s">
        <v>1656</v>
      </c>
      <c r="P202">
        <v>12</v>
      </c>
      <c r="Q202" t="s">
        <v>75</v>
      </c>
      <c r="R202">
        <v>1702.69</v>
      </c>
      <c r="S202">
        <v>696</v>
      </c>
      <c r="T202" s="5">
        <v>0</v>
      </c>
      <c r="U202" s="5">
        <v>0</v>
      </c>
      <c r="V202">
        <v>0</v>
      </c>
      <c r="W202" s="5">
        <v>7022.72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1703</v>
      </c>
      <c r="AD202" s="4">
        <v>45998</v>
      </c>
      <c r="AE202" t="s">
        <v>76</v>
      </c>
      <c r="AF202">
        <v>7207884541</v>
      </c>
      <c r="AG202" t="s">
        <v>2624</v>
      </c>
      <c r="AI202" t="s">
        <v>370</v>
      </c>
      <c r="AJ202">
        <v>8944098</v>
      </c>
      <c r="AM202" t="s">
        <v>2625</v>
      </c>
      <c r="AN202" t="s">
        <v>2626</v>
      </c>
      <c r="AO202" t="s">
        <v>2627</v>
      </c>
      <c r="AP202" t="s">
        <v>2628</v>
      </c>
      <c r="AQ202" t="s">
        <v>2629</v>
      </c>
      <c r="AR202" t="s">
        <v>2630</v>
      </c>
      <c r="AY202" s="5">
        <v>13156.3</v>
      </c>
      <c r="AZ202" s="5">
        <v>1.2329493333333299</v>
      </c>
      <c r="BA202">
        <v>1</v>
      </c>
      <c r="BB202" t="s">
        <v>204</v>
      </c>
      <c r="BC202" t="s">
        <v>2631</v>
      </c>
      <c r="BD202" t="s">
        <v>2632</v>
      </c>
      <c r="BE202" t="s">
        <v>81</v>
      </c>
      <c r="BF202" t="s">
        <v>648</v>
      </c>
      <c r="BG202" t="s">
        <v>2633</v>
      </c>
      <c r="BH202" s="6" t="s">
        <v>83</v>
      </c>
      <c r="BK202">
        <v>0</v>
      </c>
      <c r="BL202">
        <v>0</v>
      </c>
      <c r="BM202" t="s">
        <v>101</v>
      </c>
      <c r="BN202" s="3" t="s">
        <v>2634</v>
      </c>
      <c r="BO202" s="5">
        <v>0</v>
      </c>
      <c r="BP202" s="5">
        <v>0</v>
      </c>
      <c r="BQ202" s="34">
        <v>0</v>
      </c>
    </row>
    <row r="203" spans="1:69" x14ac:dyDescent="0.3">
      <c r="A203" s="3" t="s">
        <v>1335</v>
      </c>
      <c r="B203" t="s">
        <v>67</v>
      </c>
      <c r="C203" t="s">
        <v>104</v>
      </c>
      <c r="D203" t="s">
        <v>190</v>
      </c>
      <c r="E203" t="s">
        <v>191</v>
      </c>
      <c r="F203" t="s">
        <v>424</v>
      </c>
      <c r="G203" t="s">
        <v>425</v>
      </c>
      <c r="H203" t="s">
        <v>73</v>
      </c>
      <c r="I203" t="s">
        <v>1336</v>
      </c>
      <c r="J203" s="4">
        <v>45775</v>
      </c>
      <c r="K203" s="4">
        <v>46140</v>
      </c>
      <c r="L203" s="5">
        <v>20000</v>
      </c>
      <c r="M203" s="5">
        <v>21068.16</v>
      </c>
      <c r="N203">
        <v>0</v>
      </c>
      <c r="O203" t="s">
        <v>1656</v>
      </c>
      <c r="P203">
        <v>12</v>
      </c>
      <c r="Q203" t="s">
        <v>75</v>
      </c>
      <c r="R203">
        <v>3347.38</v>
      </c>
      <c r="S203">
        <v>696</v>
      </c>
      <c r="T203" s="5">
        <v>0</v>
      </c>
      <c r="U203" s="5">
        <v>0</v>
      </c>
      <c r="V203">
        <v>0</v>
      </c>
      <c r="W203" s="5">
        <v>8778.4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3926</v>
      </c>
      <c r="AD203" s="4">
        <v>46000</v>
      </c>
      <c r="AE203" t="s">
        <v>76</v>
      </c>
      <c r="AF203">
        <v>7223944200</v>
      </c>
      <c r="AG203" t="s">
        <v>1337</v>
      </c>
      <c r="AI203" t="s">
        <v>1338</v>
      </c>
      <c r="AJ203">
        <v>6325030</v>
      </c>
      <c r="AM203" t="s">
        <v>1339</v>
      </c>
      <c r="AN203" t="s">
        <v>1340</v>
      </c>
      <c r="AO203" t="s">
        <v>1341</v>
      </c>
      <c r="AP203" t="s">
        <v>1342</v>
      </c>
      <c r="AQ203" t="s">
        <v>1343</v>
      </c>
      <c r="AR203" t="s">
        <v>1344</v>
      </c>
      <c r="AY203" s="5">
        <v>16446.599999999999</v>
      </c>
      <c r="AZ203" s="5">
        <v>0.32</v>
      </c>
      <c r="BA203">
        <v>1</v>
      </c>
      <c r="BB203" t="s">
        <v>204</v>
      </c>
      <c r="BC203" t="s">
        <v>1345</v>
      </c>
      <c r="BD203" t="s">
        <v>914</v>
      </c>
      <c r="BE203" t="s">
        <v>81</v>
      </c>
      <c r="BF203" t="s">
        <v>648</v>
      </c>
      <c r="BH203" s="6" t="s">
        <v>83</v>
      </c>
      <c r="BK203">
        <v>6</v>
      </c>
      <c r="BL203">
        <v>6</v>
      </c>
      <c r="BM203" t="s">
        <v>101</v>
      </c>
      <c r="BN203" s="3" t="s">
        <v>1346</v>
      </c>
      <c r="BO203" s="5">
        <v>0</v>
      </c>
      <c r="BP203" s="5">
        <v>0</v>
      </c>
      <c r="BQ203" s="34">
        <v>0</v>
      </c>
    </row>
    <row r="204" spans="1:69" x14ac:dyDescent="0.3">
      <c r="A204" s="3" t="s">
        <v>2383</v>
      </c>
      <c r="B204" t="s">
        <v>67</v>
      </c>
      <c r="C204" t="s">
        <v>104</v>
      </c>
      <c r="D204" t="s">
        <v>190</v>
      </c>
      <c r="E204" t="s">
        <v>191</v>
      </c>
      <c r="F204" t="s">
        <v>608</v>
      </c>
      <c r="G204" t="s">
        <v>609</v>
      </c>
      <c r="H204" t="s">
        <v>175</v>
      </c>
      <c r="I204" t="s">
        <v>2384</v>
      </c>
      <c r="J204" s="4">
        <v>45876</v>
      </c>
      <c r="K204" s="4">
        <v>46241</v>
      </c>
      <c r="L204" s="5">
        <v>350000</v>
      </c>
      <c r="M204" s="5">
        <v>368692.72</v>
      </c>
      <c r="N204">
        <v>0</v>
      </c>
      <c r="O204" t="s">
        <v>1656</v>
      </c>
      <c r="P204">
        <v>12</v>
      </c>
      <c r="Q204" t="s">
        <v>75</v>
      </c>
      <c r="R204">
        <v>47915.51</v>
      </c>
      <c r="S204">
        <v>696</v>
      </c>
      <c r="T204" s="5">
        <v>0</v>
      </c>
      <c r="U204" s="5">
        <v>0</v>
      </c>
      <c r="V204">
        <v>0</v>
      </c>
      <c r="W204" s="5">
        <v>245795.15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47915.51</v>
      </c>
      <c r="AD204" s="4">
        <v>45996</v>
      </c>
      <c r="AE204" t="s">
        <v>76</v>
      </c>
      <c r="AF204">
        <v>7213387385</v>
      </c>
      <c r="AG204" t="s">
        <v>2385</v>
      </c>
      <c r="AI204" t="s">
        <v>158</v>
      </c>
      <c r="AJ204">
        <v>8711021</v>
      </c>
      <c r="AK204" t="s">
        <v>2386</v>
      </c>
      <c r="AM204" t="s">
        <v>2387</v>
      </c>
      <c r="AN204" t="s">
        <v>2388</v>
      </c>
      <c r="AO204" t="s">
        <v>2389</v>
      </c>
      <c r="AP204" t="s">
        <v>2390</v>
      </c>
      <c r="AQ204" t="s">
        <v>2391</v>
      </c>
      <c r="AR204" t="s">
        <v>2392</v>
      </c>
      <c r="AS204" t="s">
        <v>144</v>
      </c>
      <c r="AT204" t="s">
        <v>2393</v>
      </c>
      <c r="AU204" t="s">
        <v>2394</v>
      </c>
      <c r="AY204" s="5">
        <v>382860.06</v>
      </c>
      <c r="AZ204" s="5">
        <v>6.7000000000000002E-3</v>
      </c>
      <c r="BA204">
        <v>2</v>
      </c>
      <c r="BB204" t="s">
        <v>1507</v>
      </c>
      <c r="BC204" t="s">
        <v>2395</v>
      </c>
      <c r="BD204" t="s">
        <v>957</v>
      </c>
      <c r="BE204" t="s">
        <v>81</v>
      </c>
      <c r="BF204" t="s">
        <v>2396</v>
      </c>
      <c r="BH204" s="6" t="s">
        <v>83</v>
      </c>
      <c r="BK204">
        <v>1</v>
      </c>
      <c r="BL204">
        <v>1</v>
      </c>
      <c r="BM204" t="s">
        <v>101</v>
      </c>
      <c r="BN204" s="3" t="s">
        <v>2397</v>
      </c>
      <c r="BO204" s="5">
        <v>0</v>
      </c>
      <c r="BP204" s="5">
        <v>0</v>
      </c>
      <c r="BQ204" s="34">
        <v>0</v>
      </c>
    </row>
    <row r="205" spans="1:69" x14ac:dyDescent="0.3">
      <c r="A205" s="3" t="s">
        <v>2371</v>
      </c>
      <c r="B205" t="s">
        <v>67</v>
      </c>
      <c r="C205" t="s">
        <v>104</v>
      </c>
      <c r="D205" t="s">
        <v>1672</v>
      </c>
      <c r="E205" t="s">
        <v>1673</v>
      </c>
      <c r="F205" t="s">
        <v>608</v>
      </c>
      <c r="G205" t="s">
        <v>609</v>
      </c>
      <c r="H205" t="s">
        <v>175</v>
      </c>
      <c r="I205" t="s">
        <v>2372</v>
      </c>
      <c r="J205" s="4">
        <v>45985</v>
      </c>
      <c r="K205" s="4">
        <v>46153</v>
      </c>
      <c r="L205" s="5">
        <v>8000</v>
      </c>
      <c r="M205" s="5">
        <v>8427.26</v>
      </c>
      <c r="N205">
        <v>0</v>
      </c>
      <c r="O205" t="s">
        <v>1656</v>
      </c>
      <c r="P205">
        <v>12</v>
      </c>
      <c r="Q205" t="s">
        <v>293</v>
      </c>
      <c r="R205">
        <v>1042.6400000000001</v>
      </c>
      <c r="S205">
        <v>696</v>
      </c>
      <c r="T205" s="5">
        <v>0</v>
      </c>
      <c r="U205" s="5">
        <v>2</v>
      </c>
      <c r="V205">
        <v>1</v>
      </c>
      <c r="W205" s="5">
        <v>7724.99</v>
      </c>
      <c r="X205" s="5">
        <v>1042.2833000000001</v>
      </c>
      <c r="Y205" s="5">
        <v>702.27</v>
      </c>
      <c r="Z205" s="5">
        <v>282.37</v>
      </c>
      <c r="AA205" s="5">
        <v>57.64</v>
      </c>
      <c r="AB205" s="5">
        <v>0</v>
      </c>
      <c r="AC205" s="5">
        <v>1043</v>
      </c>
      <c r="AD205" s="4">
        <v>45999</v>
      </c>
      <c r="AE205" t="s">
        <v>76</v>
      </c>
      <c r="AF205">
        <v>7201199567</v>
      </c>
      <c r="AG205" t="s">
        <v>2373</v>
      </c>
      <c r="AI205" t="s">
        <v>158</v>
      </c>
      <c r="AJ205">
        <v>8711021</v>
      </c>
      <c r="AK205" t="s">
        <v>2374</v>
      </c>
      <c r="AM205" t="s">
        <v>2375</v>
      </c>
      <c r="AN205" t="s">
        <v>2376</v>
      </c>
      <c r="AO205" t="s">
        <v>2377</v>
      </c>
      <c r="AP205" t="s">
        <v>2378</v>
      </c>
      <c r="AQ205" t="s">
        <v>2943</v>
      </c>
      <c r="AR205" t="s">
        <v>2379</v>
      </c>
      <c r="AY205" s="5">
        <v>10888.69</v>
      </c>
      <c r="AZ205" s="5">
        <v>0</v>
      </c>
      <c r="BA205">
        <v>1</v>
      </c>
      <c r="BB205" t="s">
        <v>204</v>
      </c>
      <c r="BC205" t="s">
        <v>2380</v>
      </c>
      <c r="BD205" t="s">
        <v>2381</v>
      </c>
      <c r="BE205" t="s">
        <v>81</v>
      </c>
      <c r="BF205" t="s">
        <v>648</v>
      </c>
      <c r="BG205" t="s">
        <v>2382</v>
      </c>
      <c r="BH205" s="6" t="s">
        <v>83</v>
      </c>
      <c r="BK205">
        <v>1</v>
      </c>
      <c r="BL205">
        <v>1</v>
      </c>
      <c r="BM205" t="s">
        <v>101</v>
      </c>
      <c r="BN205" s="3" t="s">
        <v>2944</v>
      </c>
      <c r="BO205" s="5">
        <v>0</v>
      </c>
      <c r="BP205" s="5">
        <v>0</v>
      </c>
      <c r="BQ205" s="34">
        <v>9.5721643283076294E-2</v>
      </c>
    </row>
    <row r="206" spans="1:69" x14ac:dyDescent="0.3">
      <c r="A206" s="3" t="s">
        <v>2608</v>
      </c>
      <c r="B206" t="s">
        <v>67</v>
      </c>
      <c r="C206" t="s">
        <v>104</v>
      </c>
      <c r="D206" t="s">
        <v>1672</v>
      </c>
      <c r="E206" t="s">
        <v>1673</v>
      </c>
      <c r="F206" t="s">
        <v>608</v>
      </c>
      <c r="G206" t="s">
        <v>609</v>
      </c>
      <c r="H206" t="s">
        <v>73</v>
      </c>
      <c r="I206" t="s">
        <v>2609</v>
      </c>
      <c r="J206" s="4">
        <v>45933</v>
      </c>
      <c r="K206" s="4">
        <v>46115</v>
      </c>
      <c r="L206" s="5">
        <v>5000</v>
      </c>
      <c r="M206" s="5">
        <v>5267.04</v>
      </c>
      <c r="N206">
        <v>0</v>
      </c>
      <c r="O206" t="s">
        <v>1656</v>
      </c>
      <c r="P206">
        <v>6</v>
      </c>
      <c r="Q206" t="s">
        <v>75</v>
      </c>
      <c r="R206">
        <v>1318.22</v>
      </c>
      <c r="S206">
        <v>348</v>
      </c>
      <c r="T206" s="5">
        <v>0</v>
      </c>
      <c r="U206" s="5">
        <v>0</v>
      </c>
      <c r="V206">
        <v>0</v>
      </c>
      <c r="W206" s="5">
        <v>3511.36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1318.22</v>
      </c>
      <c r="AD206" s="4">
        <v>45994</v>
      </c>
      <c r="AE206" t="s">
        <v>76</v>
      </c>
      <c r="AF206">
        <v>7291838816</v>
      </c>
      <c r="AG206" t="s">
        <v>2610</v>
      </c>
      <c r="AI206" t="s">
        <v>158</v>
      </c>
      <c r="AJ206">
        <v>8711021</v>
      </c>
      <c r="AK206" t="s">
        <v>2611</v>
      </c>
      <c r="AL206" t="s">
        <v>2612</v>
      </c>
      <c r="AM206" t="s">
        <v>2613</v>
      </c>
      <c r="AN206" t="s">
        <v>2614</v>
      </c>
      <c r="AO206" t="s">
        <v>2615</v>
      </c>
      <c r="AP206" t="s">
        <v>2616</v>
      </c>
      <c r="AQ206" t="s">
        <v>2617</v>
      </c>
      <c r="AR206" t="s">
        <v>2618</v>
      </c>
      <c r="AY206" s="5">
        <v>5040.8500000000004</v>
      </c>
      <c r="AZ206" s="5">
        <v>0.01</v>
      </c>
      <c r="BA206">
        <v>1</v>
      </c>
      <c r="BB206" t="s">
        <v>204</v>
      </c>
      <c r="BC206" t="s">
        <v>2619</v>
      </c>
      <c r="BD206" t="s">
        <v>2532</v>
      </c>
      <c r="BE206" t="s">
        <v>81</v>
      </c>
      <c r="BF206" t="s">
        <v>648</v>
      </c>
      <c r="BG206" t="s">
        <v>2620</v>
      </c>
      <c r="BH206" s="6" t="s">
        <v>83</v>
      </c>
      <c r="BK206">
        <v>0</v>
      </c>
      <c r="BL206">
        <v>0</v>
      </c>
      <c r="BM206" t="s">
        <v>101</v>
      </c>
      <c r="BN206" s="3" t="s">
        <v>2621</v>
      </c>
      <c r="BO206" s="5">
        <v>0</v>
      </c>
      <c r="BP206" s="5">
        <v>0</v>
      </c>
      <c r="BQ206" s="34">
        <v>0</v>
      </c>
    </row>
    <row r="207" spans="1:69" x14ac:dyDescent="0.3">
      <c r="A207" s="3" t="s">
        <v>2675</v>
      </c>
      <c r="B207" t="s">
        <v>67</v>
      </c>
      <c r="C207" t="s">
        <v>536</v>
      </c>
      <c r="D207" t="s">
        <v>1277</v>
      </c>
      <c r="E207" t="s">
        <v>1278</v>
      </c>
      <c r="F207" t="s">
        <v>608</v>
      </c>
      <c r="G207" t="s">
        <v>609</v>
      </c>
      <c r="H207" t="s">
        <v>175</v>
      </c>
      <c r="I207" t="s">
        <v>2676</v>
      </c>
      <c r="J207" s="4">
        <v>45982</v>
      </c>
      <c r="K207" s="4">
        <v>46163</v>
      </c>
      <c r="L207" s="5">
        <v>40000</v>
      </c>
      <c r="M207" s="5">
        <v>42136.31</v>
      </c>
      <c r="N207">
        <v>0</v>
      </c>
      <c r="O207" t="s">
        <v>1656</v>
      </c>
      <c r="P207">
        <v>6</v>
      </c>
      <c r="Q207" t="s">
        <v>75</v>
      </c>
      <c r="R207">
        <v>10122.91</v>
      </c>
      <c r="S207">
        <v>348</v>
      </c>
      <c r="T207" s="5">
        <v>0</v>
      </c>
      <c r="U207" s="5">
        <v>0</v>
      </c>
      <c r="V207">
        <v>1</v>
      </c>
      <c r="W207" s="5">
        <v>42136.31</v>
      </c>
      <c r="X207" s="5">
        <v>10122.9130972111</v>
      </c>
      <c r="Y207" s="5">
        <v>7022.72</v>
      </c>
      <c r="Z207" s="5">
        <v>3042.19</v>
      </c>
      <c r="AA207" s="5">
        <v>58</v>
      </c>
      <c r="AB207" s="5">
        <v>0</v>
      </c>
      <c r="AC207" s="5"/>
      <c r="AD207" s="4"/>
      <c r="AE207" t="s">
        <v>76</v>
      </c>
      <c r="AF207">
        <v>5511319176</v>
      </c>
      <c r="AG207" t="s">
        <v>2677</v>
      </c>
      <c r="AI207" t="s">
        <v>2678</v>
      </c>
      <c r="AJ207">
        <v>221010</v>
      </c>
      <c r="AK207" t="s">
        <v>2679</v>
      </c>
      <c r="AL207" t="s">
        <v>2680</v>
      </c>
      <c r="AM207" t="s">
        <v>2945</v>
      </c>
      <c r="AN207" t="s">
        <v>2681</v>
      </c>
      <c r="AO207" t="s">
        <v>2682</v>
      </c>
      <c r="AP207" t="s">
        <v>2683</v>
      </c>
      <c r="AQ207" t="s">
        <v>2684</v>
      </c>
      <c r="AR207" t="s">
        <v>2685</v>
      </c>
      <c r="AY207" s="5">
        <v>60447.48</v>
      </c>
      <c r="AZ207" s="5">
        <v>0</v>
      </c>
      <c r="BA207">
        <v>1</v>
      </c>
      <c r="BB207" t="s">
        <v>204</v>
      </c>
      <c r="BC207" t="s">
        <v>2686</v>
      </c>
      <c r="BD207" t="s">
        <v>2946</v>
      </c>
      <c r="BE207" t="s">
        <v>81</v>
      </c>
      <c r="BF207" t="s">
        <v>1191</v>
      </c>
      <c r="BG207" t="s">
        <v>2687</v>
      </c>
      <c r="BH207" s="6" t="s">
        <v>83</v>
      </c>
      <c r="BK207">
        <v>1</v>
      </c>
      <c r="BL207">
        <v>1</v>
      </c>
      <c r="BM207" t="s">
        <v>101</v>
      </c>
      <c r="BN207" s="3" t="s">
        <v>2947</v>
      </c>
      <c r="BO207" s="5">
        <v>0</v>
      </c>
      <c r="BP207" s="5">
        <v>0</v>
      </c>
      <c r="BQ207" s="34">
        <v>0.16746625495737949</v>
      </c>
    </row>
    <row r="208" spans="1:69" x14ac:dyDescent="0.3">
      <c r="A208" s="3" t="s">
        <v>2688</v>
      </c>
      <c r="B208" t="s">
        <v>67</v>
      </c>
      <c r="C208" t="s">
        <v>536</v>
      </c>
      <c r="D208" t="s">
        <v>1277</v>
      </c>
      <c r="E208" t="s">
        <v>1278</v>
      </c>
      <c r="F208" t="s">
        <v>608</v>
      </c>
      <c r="G208" t="s">
        <v>609</v>
      </c>
      <c r="H208" t="s">
        <v>175</v>
      </c>
      <c r="I208" t="s">
        <v>2689</v>
      </c>
      <c r="J208" s="4">
        <v>46009</v>
      </c>
      <c r="K208" s="4">
        <v>46177</v>
      </c>
      <c r="L208" s="5">
        <v>8000</v>
      </c>
      <c r="M208" s="5">
        <v>8427.26</v>
      </c>
      <c r="N208">
        <v>0</v>
      </c>
      <c r="O208" t="s">
        <v>1656</v>
      </c>
      <c r="P208">
        <v>12</v>
      </c>
      <c r="Q208" t="s">
        <v>293</v>
      </c>
      <c r="R208">
        <v>1042.6400000000001</v>
      </c>
      <c r="S208">
        <v>696</v>
      </c>
      <c r="T208" s="5">
        <v>0</v>
      </c>
      <c r="U208" s="5">
        <v>0</v>
      </c>
      <c r="V208">
        <v>0</v>
      </c>
      <c r="W208" s="5">
        <v>8427.26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/>
      <c r="AD208" s="4"/>
      <c r="AE208" t="s">
        <v>76</v>
      </c>
      <c r="AF208">
        <v>7121159067</v>
      </c>
      <c r="AG208" t="s">
        <v>2967</v>
      </c>
      <c r="AI208" t="s">
        <v>2968</v>
      </c>
      <c r="AJ208">
        <v>222018</v>
      </c>
      <c r="AM208" t="s">
        <v>2969</v>
      </c>
      <c r="AN208" t="s">
        <v>2970</v>
      </c>
      <c r="AO208" t="s">
        <v>2971</v>
      </c>
      <c r="AP208" t="s">
        <v>2972</v>
      </c>
      <c r="AQ208" t="s">
        <v>2973</v>
      </c>
      <c r="AR208" t="s">
        <v>2974</v>
      </c>
      <c r="AY208" s="5">
        <v>11815.69</v>
      </c>
      <c r="AZ208" s="5">
        <v>0</v>
      </c>
      <c r="BA208">
        <v>1</v>
      </c>
      <c r="BB208" t="s">
        <v>204</v>
      </c>
      <c r="BC208" t="s">
        <v>2975</v>
      </c>
      <c r="BD208" t="s">
        <v>2976</v>
      </c>
      <c r="BE208" t="s">
        <v>81</v>
      </c>
      <c r="BF208" t="s">
        <v>580</v>
      </c>
      <c r="BG208" t="s">
        <v>2977</v>
      </c>
      <c r="BH208" s="6" t="s">
        <v>83</v>
      </c>
      <c r="BK208">
        <v>0</v>
      </c>
      <c r="BL208">
        <v>0</v>
      </c>
      <c r="BM208" t="s">
        <v>101</v>
      </c>
      <c r="BN208" s="3" t="s">
        <v>2978</v>
      </c>
      <c r="BO208" s="5">
        <v>0</v>
      </c>
      <c r="BP208" s="5">
        <v>0</v>
      </c>
      <c r="BQ208" s="34">
        <v>0</v>
      </c>
    </row>
    <row r="209" spans="1:69" x14ac:dyDescent="0.3">
      <c r="A209" s="3" t="s">
        <v>2648</v>
      </c>
      <c r="B209" t="s">
        <v>67</v>
      </c>
      <c r="C209" t="s">
        <v>536</v>
      </c>
      <c r="D209" t="s">
        <v>1672</v>
      </c>
      <c r="E209" t="s">
        <v>1673</v>
      </c>
      <c r="F209" t="s">
        <v>608</v>
      </c>
      <c r="G209" t="s">
        <v>609</v>
      </c>
      <c r="H209" t="s">
        <v>175</v>
      </c>
      <c r="I209" t="s">
        <v>2649</v>
      </c>
      <c r="J209" s="4">
        <v>45973</v>
      </c>
      <c r="K209" s="4">
        <v>46338</v>
      </c>
      <c r="L209" s="5">
        <v>15000</v>
      </c>
      <c r="M209" s="5">
        <v>15801.12</v>
      </c>
      <c r="N209">
        <v>0</v>
      </c>
      <c r="O209" t="s">
        <v>1656</v>
      </c>
      <c r="P209">
        <v>12</v>
      </c>
      <c r="Q209" t="s">
        <v>75</v>
      </c>
      <c r="R209">
        <v>2525.04</v>
      </c>
      <c r="S209">
        <v>696</v>
      </c>
      <c r="T209" s="5">
        <v>0</v>
      </c>
      <c r="U209" s="5">
        <v>0</v>
      </c>
      <c r="V209">
        <v>0</v>
      </c>
      <c r="W209" s="5">
        <v>14484.4</v>
      </c>
      <c r="X209" s="5">
        <v>0.04</v>
      </c>
      <c r="Y209" s="5">
        <v>0.04</v>
      </c>
      <c r="Z209" s="5">
        <v>0</v>
      </c>
      <c r="AA209" s="5">
        <v>0</v>
      </c>
      <c r="AB209" s="5">
        <v>0</v>
      </c>
      <c r="AC209" s="5">
        <v>2525</v>
      </c>
      <c r="AD209" s="4">
        <v>46003</v>
      </c>
      <c r="AE209" t="s">
        <v>76</v>
      </c>
      <c r="AF209">
        <v>7718840405</v>
      </c>
      <c r="AG209" t="s">
        <v>2650</v>
      </c>
      <c r="AI209" t="s">
        <v>2651</v>
      </c>
      <c r="AJ209">
        <v>3319010</v>
      </c>
      <c r="AK209" t="s">
        <v>2652</v>
      </c>
      <c r="AL209" t="s">
        <v>2653</v>
      </c>
      <c r="AM209" t="s">
        <v>2654</v>
      </c>
      <c r="AN209" t="s">
        <v>2655</v>
      </c>
      <c r="AO209" t="s">
        <v>2656</v>
      </c>
      <c r="AP209" t="s">
        <v>2657</v>
      </c>
      <c r="AQ209" t="s">
        <v>2658</v>
      </c>
      <c r="AR209" t="s">
        <v>2659</v>
      </c>
      <c r="AY209" s="5">
        <v>27137.45</v>
      </c>
      <c r="AZ209" s="5">
        <v>0</v>
      </c>
      <c r="BA209">
        <v>1</v>
      </c>
      <c r="BB209" t="s">
        <v>204</v>
      </c>
      <c r="BC209" t="s">
        <v>2899</v>
      </c>
      <c r="BD209" t="s">
        <v>2660</v>
      </c>
      <c r="BE209" t="s">
        <v>81</v>
      </c>
      <c r="BF209" t="s">
        <v>2661</v>
      </c>
      <c r="BG209" t="s">
        <v>2662</v>
      </c>
      <c r="BH209" s="6" t="s">
        <v>83</v>
      </c>
      <c r="BK209">
        <v>0</v>
      </c>
      <c r="BL209">
        <v>0</v>
      </c>
      <c r="BM209" t="s">
        <v>101</v>
      </c>
      <c r="BN209" s="3" t="s">
        <v>2900</v>
      </c>
      <c r="BO209" s="5">
        <v>0</v>
      </c>
      <c r="BP209" s="5">
        <v>0</v>
      </c>
      <c r="BQ209" s="34">
        <v>1.473977842428084E-6</v>
      </c>
    </row>
    <row r="210" spans="1:69" x14ac:dyDescent="0.3">
      <c r="A210" s="3" t="s">
        <v>2663</v>
      </c>
      <c r="B210" t="s">
        <v>67</v>
      </c>
      <c r="C210" t="s">
        <v>536</v>
      </c>
      <c r="D210" t="s">
        <v>1277</v>
      </c>
      <c r="E210" t="s">
        <v>1278</v>
      </c>
      <c r="F210" t="s">
        <v>608</v>
      </c>
      <c r="G210" t="s">
        <v>609</v>
      </c>
      <c r="H210" t="s">
        <v>175</v>
      </c>
      <c r="I210" t="s">
        <v>2664</v>
      </c>
      <c r="J210" s="4">
        <v>45944</v>
      </c>
      <c r="K210" s="4">
        <v>46112</v>
      </c>
      <c r="L210" s="5">
        <v>7000</v>
      </c>
      <c r="M210" s="5">
        <v>7373.85</v>
      </c>
      <c r="N210">
        <v>0</v>
      </c>
      <c r="O210" t="s">
        <v>1656</v>
      </c>
      <c r="P210">
        <v>12</v>
      </c>
      <c r="Q210" t="s">
        <v>293</v>
      </c>
      <c r="R210">
        <v>919.56000000000006</v>
      </c>
      <c r="S210">
        <v>696</v>
      </c>
      <c r="T210" s="5">
        <v>0</v>
      </c>
      <c r="U210" s="5">
        <v>4</v>
      </c>
      <c r="V210">
        <v>0</v>
      </c>
      <c r="W210" s="5">
        <v>4915.9000000000005</v>
      </c>
      <c r="X210" s="5">
        <v>2.5360000000000001E-3</v>
      </c>
      <c r="Y210" s="5">
        <v>0</v>
      </c>
      <c r="Z210" s="5">
        <v>0</v>
      </c>
      <c r="AA210" s="5">
        <v>0</v>
      </c>
      <c r="AB210" s="5">
        <v>0</v>
      </c>
      <c r="AC210" s="5">
        <v>919.56000000000006</v>
      </c>
      <c r="AD210" s="4">
        <v>45999</v>
      </c>
      <c r="AE210" t="s">
        <v>76</v>
      </c>
      <c r="AF210">
        <v>7122034888</v>
      </c>
      <c r="AG210" t="s">
        <v>2665</v>
      </c>
      <c r="AI210" t="s">
        <v>1180</v>
      </c>
      <c r="AJ210">
        <v>6225024</v>
      </c>
      <c r="AM210" t="s">
        <v>2666</v>
      </c>
      <c r="AN210" t="s">
        <v>2667</v>
      </c>
      <c r="AO210" t="s">
        <v>2668</v>
      </c>
      <c r="AP210" t="s">
        <v>2669</v>
      </c>
      <c r="AQ210" t="s">
        <v>2670</v>
      </c>
      <c r="AR210" t="s">
        <v>2671</v>
      </c>
      <c r="AY210" s="5">
        <v>6892.49</v>
      </c>
      <c r="AZ210" s="5">
        <v>0</v>
      </c>
      <c r="BA210">
        <v>1</v>
      </c>
      <c r="BB210" t="s">
        <v>204</v>
      </c>
      <c r="BC210" t="s">
        <v>2672</v>
      </c>
      <c r="BD210" t="s">
        <v>549</v>
      </c>
      <c r="BE210" t="s">
        <v>81</v>
      </c>
      <c r="BF210" t="s">
        <v>536</v>
      </c>
      <c r="BG210" t="s">
        <v>2673</v>
      </c>
      <c r="BH210" s="6" t="s">
        <v>83</v>
      </c>
      <c r="BK210">
        <v>0</v>
      </c>
      <c r="BL210">
        <v>0</v>
      </c>
      <c r="BM210" t="s">
        <v>101</v>
      </c>
      <c r="BN210" s="3" t="s">
        <v>2674</v>
      </c>
      <c r="BO210" s="5">
        <v>0</v>
      </c>
      <c r="BP210" s="5">
        <v>0</v>
      </c>
      <c r="BQ210" s="34">
        <v>3.6793669631729608E-7</v>
      </c>
    </row>
    <row r="215" spans="1:69" x14ac:dyDescent="0.3">
      <c r="AY215" s="25"/>
      <c r="AZ215" s="9"/>
    </row>
    <row r="216" spans="1:69" x14ac:dyDescent="0.3">
      <c r="AY216" s="25"/>
    </row>
  </sheetData>
  <conditionalFormatting sqref="N3:N210">
    <cfRule type="colorScale" priority="1">
      <colorScale>
        <cfvo type="min"/>
        <cfvo type="percentile" val="50"/>
        <cfvo type="max"/>
        <color rgb="FF7AB800"/>
        <color rgb="FFFFEB84"/>
        <color rgb="FFFF6464"/>
      </colorScale>
    </cfRule>
  </conditionalFormatting>
  <hyperlinks>
    <hyperlink ref="BH3" r:id="rId1" xr:uid="{65AF5865-BD63-428E-96FD-AF776F3DA601}"/>
    <hyperlink ref="BH4" r:id="rId2" xr:uid="{8654B187-72DD-427F-960C-66E32D5D4408}"/>
    <hyperlink ref="BH5" r:id="rId3" xr:uid="{FDB87E3B-BFEE-47B8-82FB-BC2D667C62F3}"/>
    <hyperlink ref="BH6" r:id="rId4" xr:uid="{736B9552-36C0-4A74-9126-D09994867966}"/>
    <hyperlink ref="BH7" r:id="rId5" xr:uid="{1EF30832-C351-4A4B-B14E-919676A28C30}"/>
    <hyperlink ref="BH8" r:id="rId6" xr:uid="{43A904D9-E43D-49CC-B601-CB6328B2E709}"/>
    <hyperlink ref="BH9" r:id="rId7" xr:uid="{4EDAEED7-BDCB-4F22-8A24-5F2B2924EDC5}"/>
    <hyperlink ref="BH10" r:id="rId8" xr:uid="{3E4F11F7-8165-4BB4-9058-8E02D9D9F850}"/>
    <hyperlink ref="BH11" r:id="rId9" xr:uid="{B4519D97-B9EE-4210-98BB-32490473CBA2}"/>
    <hyperlink ref="BH12" r:id="rId10" xr:uid="{7FCB2994-EEFD-4FA0-8610-B7D14BA7E90E}"/>
    <hyperlink ref="BH13" r:id="rId11" xr:uid="{150BA50B-FF92-4070-AAB7-C226E31F252A}"/>
    <hyperlink ref="BH14" r:id="rId12" xr:uid="{14C46B56-ABF9-42BD-B266-5E965EF4AB68}"/>
    <hyperlink ref="BH15" r:id="rId13" xr:uid="{F4905FC1-825D-4A8B-BE85-2CBBD254CFA1}"/>
    <hyperlink ref="BH16" r:id="rId14" xr:uid="{E150AA29-3F62-4003-96E2-5082F5BFEC00}"/>
    <hyperlink ref="BH17" r:id="rId15" xr:uid="{38525F60-2DFE-424E-89C0-36B7994125D3}"/>
    <hyperlink ref="BH18" r:id="rId16" xr:uid="{A8CA3038-50C9-487A-8CF0-40691C51D827}"/>
    <hyperlink ref="BH19" r:id="rId17" xr:uid="{4CCBA226-8E80-449D-9C89-19445B92FE9F}"/>
    <hyperlink ref="BH20" r:id="rId18" xr:uid="{7B3BD85F-FC0D-4ACB-96A9-37530FD70DB6}"/>
    <hyperlink ref="BH21" r:id="rId19" xr:uid="{CD275BDB-4C33-407C-B2E3-0592E9C47788}"/>
    <hyperlink ref="BH22" r:id="rId20" xr:uid="{6DA1C98F-88B5-4ED9-9B60-E4FF6F5BCA0E}"/>
    <hyperlink ref="BH23" r:id="rId21" xr:uid="{71D896C4-7B4F-4642-A853-FA09508C22C4}"/>
    <hyperlink ref="BH24" r:id="rId22" xr:uid="{ABADC5F7-4463-42D4-98D6-E27E9F8C7C1F}"/>
    <hyperlink ref="BH25" r:id="rId23" xr:uid="{A7F10321-A713-4532-9F9C-D8EC65D4FC62}"/>
    <hyperlink ref="BH26" r:id="rId24" xr:uid="{0750E8DF-46C3-4B46-943C-7CDF24BB2FB5}"/>
    <hyperlink ref="BH27" r:id="rId25" xr:uid="{92DED36F-3E6D-4771-9B72-5679C9080F04}"/>
    <hyperlink ref="BH28" r:id="rId26" xr:uid="{2BEBF60F-19FB-4236-B188-379127D2BF20}"/>
    <hyperlink ref="BH29" r:id="rId27" xr:uid="{09629086-6ABF-4010-8124-2A5B5AF311B0}"/>
    <hyperlink ref="BH30" r:id="rId28" xr:uid="{F1AAE172-6211-4161-8659-4E68F335C2F2}"/>
    <hyperlink ref="BH31" r:id="rId29" xr:uid="{C19D5DCC-E65F-4744-B73C-794A451ED71F}"/>
    <hyperlink ref="BH32" r:id="rId30" xr:uid="{7480AF61-B130-46F3-BD6D-0DA48182FD91}"/>
    <hyperlink ref="BH33" r:id="rId31" xr:uid="{D94DFD93-8FC5-40BE-BE6D-A997573F014C}"/>
    <hyperlink ref="BH34" r:id="rId32" xr:uid="{AD4880A8-CA32-427E-BF7D-D07B4F8D968B}"/>
    <hyperlink ref="BH35" r:id="rId33" xr:uid="{03B972D3-3413-4E6B-B8A4-A152279C48DE}"/>
    <hyperlink ref="BH36" r:id="rId34" xr:uid="{B39CCAF8-15D0-4A1E-B287-C0988F0719EB}"/>
    <hyperlink ref="BH37" r:id="rId35" xr:uid="{CBACE864-EED0-429D-8A1F-76FF9E4E7DA1}"/>
    <hyperlink ref="BH38" r:id="rId36" xr:uid="{D0E40E53-6918-402C-8015-0F7F366E983B}"/>
    <hyperlink ref="BH39" r:id="rId37" xr:uid="{E956CF74-B090-48F5-9C9C-5C8D0D79DF68}"/>
    <hyperlink ref="BH40" r:id="rId38" xr:uid="{5D643308-24F0-4B0C-A580-CDC3D78E20DA}"/>
    <hyperlink ref="BH41" r:id="rId39" xr:uid="{A543E1BA-3D0B-4A62-926B-78581A5F36B0}"/>
    <hyperlink ref="BH42" r:id="rId40" xr:uid="{5944687A-F078-493B-B4ED-5C43E7BCCFE2}"/>
    <hyperlink ref="BH43" r:id="rId41" xr:uid="{F619EA07-8D18-45C0-BD06-5E833CA2A88C}"/>
    <hyperlink ref="BH44" r:id="rId42" xr:uid="{C7F4247F-98BE-4419-A8F4-7D8A03FF26CD}"/>
    <hyperlink ref="BH45" r:id="rId43" xr:uid="{3B823499-9936-44AA-B134-BB70B4FB3011}"/>
    <hyperlink ref="BH46" r:id="rId44" xr:uid="{D128396F-D31F-4C5D-88CD-A1B7B0D90E08}"/>
    <hyperlink ref="BH47" r:id="rId45" xr:uid="{253BE822-7040-4BEC-BE30-97F65AEB14BD}"/>
    <hyperlink ref="BH48" r:id="rId46" xr:uid="{F021DC00-A1EF-40D1-8AE0-9697595CB2EA}"/>
    <hyperlink ref="BH49" r:id="rId47" xr:uid="{73BAC9DF-4410-4B29-AAEC-310F979534FF}"/>
    <hyperlink ref="BH50" r:id="rId48" xr:uid="{6909AA23-4D1A-4F3C-9D7A-4034779B5A73}"/>
    <hyperlink ref="BH51" r:id="rId49" xr:uid="{CD10C85D-F37B-43C5-AEFA-9B64CB459661}"/>
    <hyperlink ref="BH52" r:id="rId50" xr:uid="{43FB3B02-7411-4E49-8E48-AA7C80843EEE}"/>
    <hyperlink ref="BH53" r:id="rId51" xr:uid="{F96BAD8B-01CD-4C49-8F8E-D6408580B0E1}"/>
    <hyperlink ref="BH54" r:id="rId52" xr:uid="{BBAF5FD8-AF4A-410D-B1E5-98BFAA6082A3}"/>
    <hyperlink ref="BH55" r:id="rId53" xr:uid="{D167E413-6BE1-4F88-822D-1D1B05AFDAC9}"/>
    <hyperlink ref="BH56" r:id="rId54" xr:uid="{9844B92C-96F8-4B70-8970-133D07A751CB}"/>
    <hyperlink ref="BH57" r:id="rId55" xr:uid="{224A71BC-8817-49A3-A26C-60B2ACA75D02}"/>
    <hyperlink ref="BH58" r:id="rId56" xr:uid="{35D6EF3C-B508-4262-8C83-05FD3167424D}"/>
    <hyperlink ref="BH59" r:id="rId57" xr:uid="{DBFBA104-4476-4AA1-831D-1D979405993B}"/>
    <hyperlink ref="BH60" r:id="rId58" xr:uid="{26279630-300B-4D8B-B149-79537874014C}"/>
    <hyperlink ref="BH61" r:id="rId59" xr:uid="{9FAE68E3-7356-4D6E-AC21-2BBEF88E05CA}"/>
    <hyperlink ref="BH62" r:id="rId60" xr:uid="{64ED153F-5FAA-4D2D-A8E9-32BFD71F3CB0}"/>
    <hyperlink ref="BH63" r:id="rId61" xr:uid="{B29E7134-C177-4184-B3A3-33AD9B38AA9F}"/>
    <hyperlink ref="BH64" r:id="rId62" xr:uid="{BCD42D0E-F88B-4AAC-8138-BD2AB717ECEB}"/>
    <hyperlink ref="BH65" r:id="rId63" xr:uid="{5EDE73E2-449A-4C4F-90DB-056C73E4205C}"/>
    <hyperlink ref="BH66" r:id="rId64" xr:uid="{3C638B29-C272-4F64-9B00-D871C681BCC5}"/>
    <hyperlink ref="BH67" r:id="rId65" xr:uid="{4F332A4E-C586-42D3-BC00-440D5135B254}"/>
    <hyperlink ref="BH68" r:id="rId66" xr:uid="{CA529FD8-43B1-497A-A183-7CC2272926F8}"/>
    <hyperlink ref="BH69" r:id="rId67" xr:uid="{43AF472B-6F0C-41E4-8FBE-6D9501CA6013}"/>
    <hyperlink ref="BH70" r:id="rId68" xr:uid="{1313E03D-6D45-4DD3-9271-2F1C1051F21A}"/>
    <hyperlink ref="BH71" r:id="rId69" xr:uid="{6EAC5078-D429-4B26-8740-7A0A7F0C1956}"/>
    <hyperlink ref="BH72" r:id="rId70" xr:uid="{3BB8A7FE-06C0-48D9-B198-BD7127BCA5C1}"/>
    <hyperlink ref="BH73" r:id="rId71" xr:uid="{5259F7B2-DE1A-4388-900A-08C788E58104}"/>
    <hyperlink ref="BH74" r:id="rId72" xr:uid="{FC65A57A-5737-4AB6-8BFC-45903C2F9B0F}"/>
    <hyperlink ref="BH75" r:id="rId73" xr:uid="{670BCF5C-11E9-4A19-963B-2F7A1B8B8365}"/>
    <hyperlink ref="BH76" r:id="rId74" xr:uid="{E72793A9-4D4F-4332-95C1-2FA5F38CF851}"/>
    <hyperlink ref="BH77" r:id="rId75" xr:uid="{04725382-510A-409B-BEE8-CD1C386373C2}"/>
    <hyperlink ref="BH78" r:id="rId76" xr:uid="{75F94E62-6FFC-4776-9905-FC034B3D7F63}"/>
    <hyperlink ref="BH79" r:id="rId77" xr:uid="{429DE1FD-674E-434F-8A63-638C305752A2}"/>
    <hyperlink ref="BH80" r:id="rId78" xr:uid="{49B56095-2C77-4EB2-A485-BDAF9652897D}"/>
    <hyperlink ref="BH81" r:id="rId79" xr:uid="{E88AA1CE-37F0-4137-A321-2EBC916249AD}"/>
    <hyperlink ref="BH82" r:id="rId80" xr:uid="{81B95B09-81E6-4C26-B8CE-30D71AB10966}"/>
    <hyperlink ref="BH83" r:id="rId81" xr:uid="{4095270B-C2A7-4398-BCC2-C81B40A74297}"/>
    <hyperlink ref="BH84" r:id="rId82" xr:uid="{37FED46E-4A2C-48E5-B4D7-B2104C4D1193}"/>
    <hyperlink ref="BH85" r:id="rId83" xr:uid="{D37F2C9B-F78A-4816-9958-E71533E77871}"/>
    <hyperlink ref="BH86" r:id="rId84" xr:uid="{40E4B083-3F57-4D4D-A56F-57D8BE2994C4}"/>
    <hyperlink ref="BH87" r:id="rId85" xr:uid="{062E2ABA-F569-4AAC-9944-6F9CAE3F35F6}"/>
    <hyperlink ref="BH88" r:id="rId86" xr:uid="{E5F5E992-2356-4548-882B-808960451248}"/>
    <hyperlink ref="BH89" r:id="rId87" xr:uid="{2290D37B-5891-4C9F-88A5-B15B194AC2A5}"/>
    <hyperlink ref="BH90" r:id="rId88" xr:uid="{4DD33CA3-3D47-4D92-9AF1-B6386BDB8B9C}"/>
    <hyperlink ref="BH91" r:id="rId89" xr:uid="{00D85AC7-0052-4CC2-800B-A10D1689AB93}"/>
    <hyperlink ref="BH92" r:id="rId90" xr:uid="{EDD83DE6-B880-4F7F-BDB6-F45EE170423D}"/>
    <hyperlink ref="BH93" r:id="rId91" xr:uid="{E408ED8E-18A1-4B12-81AD-F89F77789D27}"/>
    <hyperlink ref="BH94" r:id="rId92" xr:uid="{5A77FC61-CB00-477B-91DC-9B0AE1B6D2DD}"/>
    <hyperlink ref="BH95" r:id="rId93" xr:uid="{E670E8FA-3EFE-4991-8C4B-CE6EDB00F326}"/>
    <hyperlink ref="BH96" r:id="rId94" xr:uid="{0BB245D1-3272-4D95-B6BE-8B775EC5A726}"/>
    <hyperlink ref="BH97" r:id="rId95" xr:uid="{29EA6D99-D8B3-46FE-9B96-257E79C4B53C}"/>
    <hyperlink ref="BH98" r:id="rId96" xr:uid="{9FB84E16-030F-4BAA-92DD-0904A27ABD64}"/>
    <hyperlink ref="BH99" r:id="rId97" xr:uid="{1E3B8465-1CE6-43CE-8A32-A2E70CC92D23}"/>
    <hyperlink ref="BH100" r:id="rId98" xr:uid="{8373BF45-C64D-4E6B-A098-35411A711E7C}"/>
    <hyperlink ref="BH101" r:id="rId99" xr:uid="{86A25500-390F-40A5-B906-CB082048EADE}"/>
    <hyperlink ref="BH102" r:id="rId100" xr:uid="{0538113D-27B7-4A5E-9F0B-005F6A2445CE}"/>
    <hyperlink ref="BH103" r:id="rId101" xr:uid="{3C99FBEE-29B9-4801-ABFD-320EC16DC7FB}"/>
    <hyperlink ref="BH104" r:id="rId102" xr:uid="{B4A8DE59-4A32-4C01-8E40-FD141C334EB7}"/>
    <hyperlink ref="BH105" r:id="rId103" xr:uid="{8462D344-3D26-4C4F-B9A9-64537177EF0D}"/>
    <hyperlink ref="BH106" r:id="rId104" xr:uid="{AC315312-8ECA-47EF-B043-83612D4AD1D2}"/>
    <hyperlink ref="BH107" r:id="rId105" xr:uid="{FB047309-9EF5-4DC6-9680-5412CA87E1F3}"/>
    <hyperlink ref="BH108" r:id="rId106" xr:uid="{58D2EFF4-7909-43FD-956D-C6EBEECD67C0}"/>
    <hyperlink ref="BH109" r:id="rId107" xr:uid="{49022FBD-D4CF-4C51-811B-D754518E592C}"/>
    <hyperlink ref="BH110" r:id="rId108" xr:uid="{A765B69D-8DFF-4284-848C-588E6D635628}"/>
    <hyperlink ref="BH111" r:id="rId109" xr:uid="{01D68E28-DFC5-4477-A12F-2034A0BC8E3B}"/>
    <hyperlink ref="BH112" r:id="rId110" xr:uid="{96DA0C84-2605-480A-B681-33E5250F4EB0}"/>
    <hyperlink ref="BH113" r:id="rId111" xr:uid="{91CD72CB-B595-4802-BA97-77C4C92B4371}"/>
    <hyperlink ref="BH114" r:id="rId112" xr:uid="{668A67F4-B756-4A6E-9ADB-4C59394F644A}"/>
    <hyperlink ref="BH115" r:id="rId113" xr:uid="{0E2C424E-BB3A-41AE-9168-2C461BCA4BEC}"/>
    <hyperlink ref="BH116" r:id="rId114" xr:uid="{755606A7-C5D3-496E-A21E-52E39792DA0B}"/>
    <hyperlink ref="BH117" r:id="rId115" xr:uid="{EB806767-78FF-4BE4-80CF-E1F8310A17E0}"/>
    <hyperlink ref="BH118" r:id="rId116" xr:uid="{6F641E1D-1422-4DD1-9AF0-9FD909ECEAC6}"/>
    <hyperlink ref="BH119" r:id="rId117" xr:uid="{84E57539-139C-48A8-A3E0-4A3BDF4A2D84}"/>
    <hyperlink ref="BH120" r:id="rId118" xr:uid="{7AFB4E6E-BA51-4B7B-9F35-27F27DC19939}"/>
    <hyperlink ref="BH121" r:id="rId119" xr:uid="{62971504-9F34-4E11-BBC1-B2E48258AFFE}"/>
    <hyperlink ref="BH122" r:id="rId120" xr:uid="{1369D903-79A6-49A2-9570-AEC8C34D703E}"/>
    <hyperlink ref="BH123" r:id="rId121" xr:uid="{AD244F95-7B7E-4911-9F29-39B7046D22FC}"/>
    <hyperlink ref="BH124" r:id="rId122" xr:uid="{D2E49F87-E7D6-49B2-988D-69AC4761200B}"/>
    <hyperlink ref="BH125" r:id="rId123" xr:uid="{BC9E3A37-3A71-4DAA-8CA1-61FA6403CC3E}"/>
    <hyperlink ref="BH126" r:id="rId124" xr:uid="{F6BBAEE4-7B80-4691-B2CE-592963405D51}"/>
    <hyperlink ref="BH127" r:id="rId125" xr:uid="{C0B88991-5AC8-4825-B9BA-4D3C29E849AD}"/>
    <hyperlink ref="BH128" r:id="rId126" xr:uid="{6AFF1FFD-248C-4846-9221-84BD87D4C704}"/>
    <hyperlink ref="BH129" r:id="rId127" xr:uid="{7DCE3FDC-40D4-404F-8892-BFA623227E23}"/>
    <hyperlink ref="BH130" r:id="rId128" xr:uid="{15CC802A-BAF7-4721-B113-1FE9D02E6F92}"/>
    <hyperlink ref="BH131" r:id="rId129" xr:uid="{238AA011-BE9B-44D2-955D-334377490BC4}"/>
    <hyperlink ref="BH132" r:id="rId130" xr:uid="{8BCEF430-1A01-4606-8641-4DAC26D3CF58}"/>
    <hyperlink ref="BH133" r:id="rId131" xr:uid="{AA6DE8EA-DA31-4830-BCE4-20ED9EFF567E}"/>
    <hyperlink ref="BH134" r:id="rId132" xr:uid="{3BBD9DEC-76A5-4118-9F74-B7F2CB78726A}"/>
    <hyperlink ref="BH135" r:id="rId133" xr:uid="{2816DC4A-800C-4D3C-9952-7EE8CC98CAC9}"/>
    <hyperlink ref="BH136" r:id="rId134" xr:uid="{E50E0B62-FE90-4F90-A120-316F085D61E9}"/>
    <hyperlink ref="BH137" r:id="rId135" xr:uid="{F4C1025E-4787-42A3-85D9-934937EBBCAA}"/>
    <hyperlink ref="BH138" r:id="rId136" xr:uid="{84539EC3-EDE9-4B56-85FD-398DC8793B8D}"/>
    <hyperlink ref="BH139" r:id="rId137" xr:uid="{5D350419-BFCC-4D49-870E-F2698FB0C5EF}"/>
    <hyperlink ref="BH140" r:id="rId138" xr:uid="{67B11921-359F-4547-A08B-463E88406437}"/>
    <hyperlink ref="BH141" r:id="rId139" xr:uid="{E273F07D-9010-4224-817F-1CB3E29E9567}"/>
    <hyperlink ref="BH142" r:id="rId140" xr:uid="{849C0441-4031-402D-884C-5A34883A9497}"/>
    <hyperlink ref="BH143" r:id="rId141" xr:uid="{87933A00-57DD-4096-99AD-537B08563FC3}"/>
    <hyperlink ref="BH144" r:id="rId142" xr:uid="{D5ADBC1F-D2A6-422E-B3AF-72F1107254F4}"/>
    <hyperlink ref="BH145" r:id="rId143" xr:uid="{CEDA851A-D917-4AD9-B0D6-F01A78D86592}"/>
    <hyperlink ref="BH146" r:id="rId144" xr:uid="{08F7108E-6933-42D6-86F0-904E9D49DBA0}"/>
    <hyperlink ref="BH147" r:id="rId145" xr:uid="{92FD50C9-5A11-4E78-A22D-80ABAE31072E}"/>
    <hyperlink ref="BH148" r:id="rId146" xr:uid="{D53373A8-2BB5-484E-A764-F38805164973}"/>
    <hyperlink ref="BH149" r:id="rId147" xr:uid="{225F1420-3715-4B45-9D2D-C072EA0796AB}"/>
    <hyperlink ref="BH150" r:id="rId148" xr:uid="{A1BE82FD-BE57-47A9-8EAB-51E3E0398B84}"/>
    <hyperlink ref="BH151" r:id="rId149" xr:uid="{310D3BB7-4DF5-465A-AAEB-B4F5DB52E523}"/>
    <hyperlink ref="BH152" r:id="rId150" xr:uid="{2D8F6EAA-20FA-49A3-87C3-4F79A9CE7FE6}"/>
    <hyperlink ref="BH153" r:id="rId151" xr:uid="{46A567AC-83A6-43FB-AFA9-1B2BEC54A0C4}"/>
    <hyperlink ref="BH154" r:id="rId152" xr:uid="{6A5632EE-7CD4-4BE9-947F-77BFA26DB144}"/>
    <hyperlink ref="BH155" r:id="rId153" xr:uid="{13E4CC6F-73BD-4AA3-8E6B-B273E5B32CC8}"/>
    <hyperlink ref="BH156" r:id="rId154" xr:uid="{599B9642-AAA6-4A8A-8564-A2F8EF2136C3}"/>
    <hyperlink ref="BH157" r:id="rId155" xr:uid="{8E6D1FBA-A8FE-4F15-A613-B83F33EBD063}"/>
    <hyperlink ref="BH158" r:id="rId156" xr:uid="{D1CD2779-BBB7-405B-AE56-948F3D9FC96E}"/>
    <hyperlink ref="BH159" r:id="rId157" xr:uid="{60DB45CF-4CB2-48C6-9645-B57FA7F6BE24}"/>
    <hyperlink ref="BH160" r:id="rId158" xr:uid="{C557129B-19A3-4430-B262-B522806CADDD}"/>
    <hyperlink ref="BH161" r:id="rId159" xr:uid="{BF67F309-78CD-45E8-968A-4EE5BB582723}"/>
    <hyperlink ref="BH162" r:id="rId160" xr:uid="{443425EA-0DE8-4A0D-A219-C3C2F56E9F1B}"/>
    <hyperlink ref="BH163" r:id="rId161" xr:uid="{769B3ABD-2E48-46A6-920E-1F26D777B345}"/>
    <hyperlink ref="BH164" r:id="rId162" xr:uid="{0548C311-6DC2-4CAA-AF8E-FE42F00BDAF9}"/>
    <hyperlink ref="BH165" r:id="rId163" xr:uid="{9839AA3E-9A1A-4961-BFCB-B1A510F98E58}"/>
    <hyperlink ref="BH166" r:id="rId164" xr:uid="{E38A7ED4-75F6-4EAB-A2F0-CDDF438571B2}"/>
    <hyperlink ref="BH167" r:id="rId165" xr:uid="{16D3AC7F-E492-4E27-A784-5EEF4A28FC13}"/>
    <hyperlink ref="BH168" r:id="rId166" xr:uid="{5350B312-9D5D-417D-8AA9-D92849974A46}"/>
    <hyperlink ref="BH169" r:id="rId167" xr:uid="{CE62F1EE-F035-4615-ADFD-2A78561BABD7}"/>
    <hyperlink ref="BH170" r:id="rId168" xr:uid="{D0718B0D-512D-4DA2-B012-408652F8A01A}"/>
    <hyperlink ref="BH171" r:id="rId169" xr:uid="{54223C45-B99B-4507-9F4D-602A10DB90E1}"/>
    <hyperlink ref="BH172" r:id="rId170" xr:uid="{780F399A-91E1-425E-9621-03AC06E9E6A6}"/>
    <hyperlink ref="BH173" r:id="rId171" xr:uid="{484A36DB-9DF1-4645-A86D-61FCE790A0A8}"/>
    <hyperlink ref="BH174" r:id="rId172" xr:uid="{69D63D11-7BD2-4107-B480-08C94969B1D8}"/>
    <hyperlink ref="BH175" r:id="rId173" xr:uid="{A4658D62-A662-46CA-9F78-A7A6AEEB04AF}"/>
    <hyperlink ref="BH176" r:id="rId174" xr:uid="{1F7EFFE1-4B14-4542-9480-BBD00D57174A}"/>
    <hyperlink ref="BH177" r:id="rId175" xr:uid="{076AE2B7-7DD8-438D-878D-37A271CA1BFD}"/>
    <hyperlink ref="BH178" r:id="rId176" xr:uid="{1A65BBA6-7D31-4E61-A323-A12F814EED50}"/>
    <hyperlink ref="BH179" r:id="rId177" xr:uid="{23AF37FF-D269-47EF-8D34-CDEAD376DFF0}"/>
    <hyperlink ref="BH180" r:id="rId178" xr:uid="{97D334D3-7D2D-4376-AA72-919873372411}"/>
    <hyperlink ref="BH181" r:id="rId179" xr:uid="{1238EF19-4F36-4C0A-92A1-286BEF99191B}"/>
    <hyperlink ref="BH182" r:id="rId180" xr:uid="{C60FA49A-39A2-4B67-81EC-ECE0A6611FE3}"/>
    <hyperlink ref="BH183" r:id="rId181" xr:uid="{2A294D51-BC98-4FE3-B56E-3A92C00D943A}"/>
    <hyperlink ref="BH184" r:id="rId182" xr:uid="{664D1C97-F1DE-4E39-A4D0-8F3FCD360074}"/>
    <hyperlink ref="BH185" r:id="rId183" xr:uid="{103C3B26-F1C4-48C7-A4C5-D0BCE006F56C}"/>
    <hyperlink ref="BH186" r:id="rId184" xr:uid="{82E5CDDE-CA13-45A1-82C6-A4A02F25A28D}"/>
    <hyperlink ref="BH187" r:id="rId185" xr:uid="{F406A071-03E8-46BC-AD9E-2F8119968B85}"/>
    <hyperlink ref="BH188" r:id="rId186" xr:uid="{071C2E17-E0A6-4B21-AD2B-859A0CAC49F2}"/>
    <hyperlink ref="BH189" r:id="rId187" xr:uid="{3FF69D12-E109-4379-A301-A1BC5B5DCA6C}"/>
    <hyperlink ref="BH190" r:id="rId188" xr:uid="{43C93B04-3F46-48AF-9FCF-4C08522260C2}"/>
    <hyperlink ref="BH191" r:id="rId189" xr:uid="{BA08E77F-83A7-4EAD-8F45-485CE451CDE2}"/>
    <hyperlink ref="BH192" r:id="rId190" xr:uid="{3FD8A046-CDD4-4F67-9246-66CF625F8D3E}"/>
    <hyperlink ref="BH193" r:id="rId191" xr:uid="{59D7122E-470B-4CA9-A9D9-6B87AA1ADFE0}"/>
    <hyperlink ref="BH194" r:id="rId192" xr:uid="{51BC4231-027F-4BFB-B5D6-1273AA58A457}"/>
    <hyperlink ref="BH195" r:id="rId193" xr:uid="{EB9466A4-EC83-4061-8F11-65B569ECA229}"/>
    <hyperlink ref="BH196" r:id="rId194" xr:uid="{EC2BE1D2-3172-478D-A793-AE911CB0D256}"/>
    <hyperlink ref="BH197" r:id="rId195" xr:uid="{3D66F849-552A-48F9-886B-8304B0FB387A}"/>
    <hyperlink ref="BH198" r:id="rId196" xr:uid="{5AF6D612-1B9E-418F-AE3A-9B4E03A311E8}"/>
    <hyperlink ref="BH199" r:id="rId197" xr:uid="{FC519C3E-B437-4BDC-96C2-83A6F3406E1F}"/>
    <hyperlink ref="BH200" r:id="rId198" xr:uid="{5A767305-35AD-465A-B0CD-61BB50CB7F6C}"/>
    <hyperlink ref="BH201" r:id="rId199" xr:uid="{F6B4C797-63F1-4AD3-BD56-F70891DD72CE}"/>
    <hyperlink ref="BH202" r:id="rId200" xr:uid="{D7903D2E-8964-43C3-A5EC-643510AFF2FA}"/>
    <hyperlink ref="BH203" r:id="rId201" xr:uid="{643897FA-7E31-4300-A71F-A442A49C8162}"/>
    <hyperlink ref="BH204" r:id="rId202" xr:uid="{B8A0B3D7-DBAC-481F-9614-993FC19786B4}"/>
    <hyperlink ref="BH205" r:id="rId203" xr:uid="{461DC073-61A4-4B93-9EE2-266AB0CA8591}"/>
    <hyperlink ref="BH206" r:id="rId204" xr:uid="{BE401D5D-C5B3-4FD2-BF77-7A6D33B26DBF}"/>
    <hyperlink ref="BH207" r:id="rId205" xr:uid="{C77C1A9C-0D7F-4C50-B003-BA3D20F44F29}"/>
    <hyperlink ref="BH208" r:id="rId206" xr:uid="{36596820-F10D-4D68-A6E6-622C3EDEB353}"/>
    <hyperlink ref="BH209" r:id="rId207" xr:uid="{67E42218-95AE-4039-8062-02465B690BAA}"/>
    <hyperlink ref="BH210" r:id="rId208" xr:uid="{A8B289D0-6187-4AD8-ABDB-3290DF8A3F1C}"/>
  </hyperlinks>
  <pageMargins left="0.7" right="0.7" top="0.75" bottom="0.75" header="0.3" footer="0.3"/>
  <tableParts count="1">
    <tablePart r:id="rId20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6"/>
  <dimension ref="A2:BQ9"/>
  <sheetViews>
    <sheetView workbookViewId="0">
      <pane ySplit="2" topLeftCell="A3" activePane="bottomLeft" state="frozen"/>
      <selection pane="bottomLeft" activeCell="C17" sqref="C17"/>
    </sheetView>
  </sheetViews>
  <sheetFormatPr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22" t="s">
        <v>2902</v>
      </c>
      <c r="BP2" s="22" t="s">
        <v>2901</v>
      </c>
      <c r="BQ2" s="22" t="s">
        <v>2726</v>
      </c>
    </row>
    <row r="3" spans="1:69" x14ac:dyDescent="0.3">
      <c r="A3" s="3"/>
      <c r="J3" s="4"/>
      <c r="K3" s="4"/>
      <c r="L3" s="5"/>
      <c r="M3" s="5"/>
      <c r="T3" s="5"/>
      <c r="U3" s="5"/>
      <c r="W3" s="5"/>
      <c r="X3" s="5"/>
      <c r="Y3" s="5"/>
      <c r="Z3" s="5"/>
      <c r="AA3" s="5"/>
      <c r="AB3" s="5"/>
      <c r="AC3" s="5"/>
      <c r="AD3" s="4"/>
      <c r="AY3" s="5"/>
      <c r="AZ3" s="5"/>
      <c r="BH3" s="6"/>
      <c r="BN3" s="3"/>
      <c r="BO3" s="5"/>
      <c r="BP3" s="5"/>
      <c r="BQ3" s="34"/>
    </row>
    <row r="8" spans="1:69" x14ac:dyDescent="0.3">
      <c r="AY8" s="25"/>
      <c r="AZ8" s="9"/>
    </row>
    <row r="9" spans="1:69" x14ac:dyDescent="0.3">
      <c r="AY9" s="25"/>
    </row>
  </sheetData>
  <conditionalFormatting sqref="N3">
    <cfRule type="colorScale" priority="2">
      <colorScale>
        <cfvo type="min"/>
        <cfvo type="percentile" val="50"/>
        <cfvo type="max"/>
        <color rgb="FF7AB800"/>
        <color rgb="FFFFEB84"/>
        <color rgb="FFFF6464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X_Coordinación</vt:lpstr>
      <vt:lpstr>X_Recuperador</vt:lpstr>
      <vt:lpstr>Recuperación</vt:lpstr>
      <vt:lpstr>Asignación</vt:lpstr>
      <vt:lpstr>R_Completo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Uzziel Valdez Ordoñez</cp:lastModifiedBy>
  <dcterms:created xsi:type="dcterms:W3CDTF">2025-11-12T17:01:44Z</dcterms:created>
  <dcterms:modified xsi:type="dcterms:W3CDTF">2026-01-06T01:27:15Z</dcterms:modified>
</cp:coreProperties>
</file>