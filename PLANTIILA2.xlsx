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uzzie\Documents\Jale\automatizador-crediflexi\"/>
    </mc:Choice>
  </mc:AlternateContent>
  <xr:revisionPtr revIDLastSave="0" documentId="13_ncr:1_{6B9B4D70-9C51-48B1-B037-778CC649E48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X_Coordinación" sheetId="1" r:id="rId1"/>
    <sheet name="X_Recuperador" sheetId="2" r:id="rId2"/>
    <sheet name="R_Completo" sheetId="5" r:id="rId3"/>
  </sheets>
  <calcPr calcId="191029"/>
  <pivotCaches>
    <pivotCache cacheId="31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6" i="1" l="1"/>
  <c r="H11" i="1"/>
  <c r="H12" i="1"/>
  <c r="H13" i="1"/>
  <c r="H14" i="1"/>
  <c r="H10" i="1"/>
  <c r="J27" i="2"/>
  <c r="J25" i="2"/>
  <c r="J24" i="2"/>
  <c r="J23" i="2"/>
  <c r="J22" i="2"/>
  <c r="J21" i="2"/>
  <c r="J20" i="2"/>
  <c r="J19" i="2"/>
  <c r="J18" i="2"/>
  <c r="J17" i="2"/>
  <c r="J16" i="2"/>
  <c r="J15" i="2"/>
  <c r="J14" i="2"/>
  <c r="J13" i="2"/>
  <c r="J12" i="2"/>
  <c r="J11" i="2"/>
  <c r="J10" i="2"/>
</calcChain>
</file>

<file path=xl/sharedStrings.xml><?xml version="1.0" encoding="utf-8"?>
<sst xmlns="http://schemas.openxmlformats.org/spreadsheetml/2006/main" count="179" uniqueCount="94">
  <si>
    <t>PAR</t>
  </si>
  <si>
    <t>Coordinación</t>
  </si>
  <si>
    <t>Cantidad
Prestada</t>
  </si>
  <si>
    <t>Saldo
Capital</t>
  </si>
  <si>
    <t>Saldo
Vencido</t>
  </si>
  <si>
    <t>Saldo
Total</t>
  </si>
  <si>
    <t>Saldo
Riesgo Capital</t>
  </si>
  <si>
    <t>Saldo
Riesgo Total</t>
  </si>
  <si>
    <t>% MORA</t>
  </si>
  <si>
    <t>1-7 días</t>
  </si>
  <si>
    <t>8-15 días</t>
  </si>
  <si>
    <t>16-30 días</t>
  </si>
  <si>
    <t>31-60 días</t>
  </si>
  <si>
    <t>61-90 días</t>
  </si>
  <si>
    <t>Mayor_90</t>
  </si>
  <si>
    <t>Suma de Saldo riesgo total</t>
  </si>
  <si>
    <t>Total</t>
  </si>
  <si>
    <t>Código recuperador</t>
  </si>
  <si>
    <t>Nombre recuperador</t>
  </si>
  <si>
    <t>Ciclo</t>
  </si>
  <si>
    <t>Municipio</t>
  </si>
  <si>
    <t>Periodicidad</t>
  </si>
  <si>
    <t>Código acreditado</t>
  </si>
  <si>
    <t>Nom. región</t>
  </si>
  <si>
    <t>Código promotor</t>
  </si>
  <si>
    <t>Nombre promotor</t>
  </si>
  <si>
    <t>Nombre acreditado</t>
  </si>
  <si>
    <t>Inicio ciclo</t>
  </si>
  <si>
    <t>Fin ciclo</t>
  </si>
  <si>
    <t>Cantidad entregada</t>
  </si>
  <si>
    <t>Cantidad Prestada</t>
  </si>
  <si>
    <t>Días de mora</t>
  </si>
  <si>
    <t>Plazo del crédito</t>
  </si>
  <si>
    <t>Parcialidad + Parcialidad comisión</t>
  </si>
  <si>
    <t>Comisión a pagar</t>
  </si>
  <si>
    <t>Interés moratorio saldo vencido total</t>
  </si>
  <si>
    <t>Pagos vencidos</t>
  </si>
  <si>
    <t>Periodos vencidos</t>
  </si>
  <si>
    <t>Saldo capital</t>
  </si>
  <si>
    <t>Saldo vencido</t>
  </si>
  <si>
    <t>Saldo capital vencido</t>
  </si>
  <si>
    <t>Saldo interés vencido</t>
  </si>
  <si>
    <t>Saldo comisión vencida</t>
  </si>
  <si>
    <t>Saldo recargos</t>
  </si>
  <si>
    <t>$ Último pago</t>
  </si>
  <si>
    <t>Último pago</t>
  </si>
  <si>
    <t>Situación crédito</t>
  </si>
  <si>
    <t>Medio comunic. 1</t>
  </si>
  <si>
    <t>Medio comunic. 2</t>
  </si>
  <si>
    <t>Medio comunic. 3</t>
  </si>
  <si>
    <t>Actividad económica PLD</t>
  </si>
  <si>
    <t>Código actividad económica PLD</t>
  </si>
  <si>
    <t>Nombre conyuge</t>
  </si>
  <si>
    <t>Teléfono conyuge</t>
  </si>
  <si>
    <t>Nombre Referencia1</t>
  </si>
  <si>
    <t>Teléfono Referencia1</t>
  </si>
  <si>
    <t>Nombre Referencia2</t>
  </si>
  <si>
    <t>Teléfono Referencia2</t>
  </si>
  <si>
    <t>Nombre Referencia3</t>
  </si>
  <si>
    <t>Teléfono Referencia3</t>
  </si>
  <si>
    <t>Tipo Garantía 1</t>
  </si>
  <si>
    <t>Descripción garantía 1</t>
  </si>
  <si>
    <t>Garantía 1</t>
  </si>
  <si>
    <t>Tipo Garantía 2</t>
  </si>
  <si>
    <t>Descripción garantía 2</t>
  </si>
  <si>
    <t>Garantía 2</t>
  </si>
  <si>
    <t>Saldo total</t>
  </si>
  <si>
    <t>Saldo adelantado</t>
  </si>
  <si>
    <t>Cód. producto crédito</t>
  </si>
  <si>
    <t>Nom. producto crédito</t>
  </si>
  <si>
    <t>Calle</t>
  </si>
  <si>
    <t>Colonia</t>
  </si>
  <si>
    <t>Entidad federativa</t>
  </si>
  <si>
    <t>Geolocalización domicilio</t>
  </si>
  <si>
    <t>Link de Geolocalización</t>
  </si>
  <si>
    <t>Castigado cartera</t>
  </si>
  <si>
    <t>Nom. personal castiga cartera</t>
  </si>
  <si>
    <t>Frecuencia</t>
  </si>
  <si>
    <t>Criticidad</t>
  </si>
  <si>
    <t>Forma de entrega</t>
  </si>
  <si>
    <t>Concepto Depósito</t>
  </si>
  <si>
    <t>Saldo riesgo capital</t>
  </si>
  <si>
    <t>Saldo riesgo total</t>
  </si>
  <si>
    <t>Valores</t>
  </si>
  <si>
    <t>Total Cuenta de Código acreditado</t>
  </si>
  <si>
    <t>Total Suma de Saldo riesgo total</t>
  </si>
  <si>
    <t>Cuenta de Código acreditado</t>
  </si>
  <si>
    <t>Clientes</t>
  </si>
  <si>
    <t>Riesgo total</t>
  </si>
  <si>
    <t>(blank)</t>
  </si>
  <si>
    <t>Row Labels</t>
  </si>
  <si>
    <t>Grand Total</t>
  </si>
  <si>
    <t xml:space="preserve">Dias desde el ultimo pago </t>
  </si>
  <si>
    <t>Alerta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</si>
</sst>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$&quot;* #,##0.00_-;\-&quot;$&quot;* #,##0.00_-;_-&quot;$&quot;* &quot;-&quot;??_-;_-@_-"/>
    <numFmt numFmtId="165" formatCode="\$#,##0.00"/>
    <numFmt numFmtId="166" formatCode="dd/mm/yyyy;@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b/>
      <sz val="10"/>
      <color rgb="FF000066"/>
      <name val="Arial"/>
      <family val="2"/>
    </font>
    <font>
      <sz val="11"/>
      <color theme="0"/>
      <name val="Calibri"/>
      <family val="2"/>
      <scheme val="minor"/>
    </font>
    <font>
      <b/>
      <sz val="10"/>
      <color rgb="FF000066"/>
      <name val="Arial"/>
    </font>
  </fonts>
  <fills count="7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206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66"/>
      </left>
      <right/>
      <top style="medium">
        <color rgb="FF000066"/>
      </top>
      <bottom style="medium">
        <color rgb="FF000066"/>
      </bottom>
      <diagonal/>
    </border>
    <border>
      <left/>
      <right/>
      <top style="medium">
        <color rgb="FF000066"/>
      </top>
      <bottom style="medium">
        <color rgb="FF000066"/>
      </bottom>
      <diagonal/>
    </border>
    <border>
      <left/>
      <right/>
      <top style="medium">
        <color indexed="18"/>
      </top>
      <bottom style="medium">
        <color indexed="18"/>
      </bottom>
      <diagonal/>
    </border>
  </borders>
  <cellStyleXfs count="4">
    <xf numFmtId="0" fontId="0" fillId="0" borderId="0"/>
    <xf numFmtId="164" fontId="3" fillId="0" borderId="0"/>
    <xf numFmtId="9" fontId="3" fillId="0" borderId="0"/>
    <xf numFmtId="0" fontId="3" fillId="0" borderId="0"/>
  </cellStyleXfs>
  <cellXfs count="31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49" fontId="0" fillId="0" borderId="0" xfId="0" applyNumberFormat="1"/>
    <xf numFmtId="14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pivotButton="1"/>
    <xf numFmtId="164" fontId="0" fillId="0" borderId="0" xfId="0" applyNumberFormat="1"/>
    <xf numFmtId="0" fontId="4" fillId="3" borderId="2" xfId="0" applyFont="1" applyFill="1" applyBorder="1" applyAlignment="1">
      <alignment horizontal="center" vertical="center" wrapText="1"/>
    </xf>
    <xf numFmtId="164" fontId="4" fillId="4" borderId="3" xfId="1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horizontal="left"/>
    </xf>
    <xf numFmtId="10" fontId="0" fillId="0" borderId="0" xfId="2" applyNumberFormat="1" applyFont="1"/>
    <xf numFmtId="0" fontId="0" fillId="5" borderId="0" xfId="0" applyFill="1"/>
    <xf numFmtId="0" fontId="5" fillId="0" borderId="0" xfId="0" applyFont="1" applyAlignment="1">
      <alignment horizontal="left"/>
    </xf>
    <xf numFmtId="0" fontId="0" fillId="6" borderId="0" xfId="0" applyFill="1"/>
    <xf numFmtId="164" fontId="4" fillId="4" borderId="3" xfId="1" applyFont="1" applyFill="1" applyBorder="1" applyAlignment="1">
      <alignment horizontal="center" vertical="top" wrapText="1"/>
    </xf>
    <xf numFmtId="0" fontId="5" fillId="0" borderId="0" xfId="0" applyFont="1"/>
    <xf numFmtId="10" fontId="4" fillId="3" borderId="4" xfId="2" applyNumberFormat="1" applyFont="1" applyFill="1" applyBorder="1"/>
    <xf numFmtId="0" fontId="0" fillId="0" borderId="0" xfId="0" pivotButton="1" applyAlignment="1">
      <alignment vertical="top"/>
    </xf>
    <xf numFmtId="10" fontId="0" fillId="0" borderId="0" xfId="0" applyNumberFormat="1"/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0" fillId="0" borderId="0" xfId="0" applyNumberFormat="1"/>
    <xf numFmtId="0" fontId="6" fillId="3" borderId="0" xfId="0" applyFont="1" applyFill="1" applyAlignment="1">
      <alignment horizontal="center" vertical="center" wrapText="1"/>
    </xf>
    <xf numFmtId="164" fontId="6" fillId="3" borderId="0" xfId="0" applyNumberFormat="1" applyFont="1" applyFill="1"/>
    <xf numFmtId="0" fontId="6" fillId="3" borderId="0" xfId="0" applyNumberFormat="1" applyFont="1" applyFill="1" applyAlignment="1"/>
    <xf numFmtId="164" fontId="6" fillId="3" borderId="0" xfId="0" applyNumberFormat="1" applyFont="1" applyFill="1" applyAlignment="1"/>
    <xf numFmtId="164" fontId="6" fillId="3" borderId="0" xfId="0" applyNumberFormat="1" applyFont="1" applyFill="1" applyAlignment="1">
      <alignment wrapText="1"/>
    </xf>
  </cellXfs>
  <cellStyles count="4">
    <cellStyle name="Currency" xfId="1" builtinId="4"/>
    <cellStyle name="Normal" xfId="0" builtinId="0"/>
    <cellStyle name="Normal 18" xfId="3" xr:uid="{00000000-0005-0000-0000-000003000000}"/>
    <cellStyle name="Percent" xfId="2" builtinId="5"/>
  </cellStyles>
  <dxfs count="164">
    <dxf>
      <numFmt numFmtId="164" formatCode="_-&quot;$&quot;* #,##0.00_-;\-&quot;$&quot;* #,##0.00_-;_-&quot;$&quot;* &quot;-&quot;??_-;_-@_-"/>
    </dxf>
    <dxf>
      <font>
        <b/>
        <sz val="10"/>
        <color rgb="FF000066"/>
        <name val="Arial"/>
      </font>
      <fill>
        <patternFill patternType="solid">
          <fgColor indexed="64"/>
          <bgColor theme="4" tint="0.59999389629810485"/>
        </patternFill>
      </fill>
      <alignment horizontal="center" vertical="center" wrapText="1"/>
    </dxf>
    <dxf>
      <font>
        <b/>
        <sz val="10"/>
        <color rgb="FF000066"/>
        <name val="Arial"/>
      </font>
      <fill>
        <patternFill patternType="solid">
          <fgColor indexed="64"/>
          <bgColor theme="4" tint="0.59999389629810485"/>
        </patternFill>
      </fill>
    </dxf>
    <dxf>
      <numFmt numFmtId="164" formatCode="_-&quot;$&quot;* #,##0.00_-;\-&quot;$&quot;* #,##0.00_-;_-&quot;$&quot;* &quot;-&quot;??_-;_-@_-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top"/>
    </dxf>
    <dxf>
      <alignment vertical="top"/>
    </dxf>
    <dxf>
      <alignment vertical="top"/>
    </dxf>
    <dxf>
      <alignment vertical="top"/>
    </dxf>
    <dxf>
      <font>
        <color theme="0"/>
      </font>
    </dxf>
    <dxf>
      <font>
        <color theme="0"/>
      </font>
    </dxf>
    <dxf>
      <font>
        <color theme="0"/>
      </font>
    </dxf>
    <dxf>
      <numFmt numFmtId="164" formatCode="_-&quot;$&quot;* #,##0.00_-;\-&quot;$&quot;* #,##0.00_-;_-&quot;$&quot;* &quot;-&quot;??_-;_-@_-"/>
    </dxf>
    <dxf>
      <font>
        <b/>
        <sz val="10"/>
        <color rgb="FF000066"/>
        <name val="Arial"/>
      </font>
      <numFmt numFmtId="14" formatCode="0.00%"/>
      <fill>
        <patternFill patternType="solid">
          <fgColor indexed="64"/>
          <bgColor theme="4" tint="0.59999389629810485"/>
        </patternFill>
      </fill>
    </dxf>
    <dxf>
      <font>
        <b/>
        <sz val="10"/>
        <color rgb="FF000066"/>
        <name val="Arial"/>
      </font>
      <numFmt numFmtId="14" formatCode="0.00%"/>
      <fill>
        <patternFill patternType="solid">
          <fgColor indexed="64"/>
          <bgColor theme="4" tint="0.59999389629810485"/>
        </patternFill>
      </fill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  <alignment horizontal="general" vertical="bottom"/>
    </dxf>
    <dxf>
      <numFmt numFmtId="30" formatCode="@"/>
    </dxf>
    <dxf>
      <alignment horizontal="general" vertical="bottom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  <dxf>
      <numFmt numFmtId="0" formatCode="General"/>
    </dxf>
    <dxf>
      <alignment vertical="center"/>
    </dxf>
    <dxf>
      <alignment vertical="center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font>
        <b/>
        <sz val="10"/>
        <color rgb="FF000066"/>
        <name val="Arial"/>
      </font>
      <alignment horizontal="center" wrapText="1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  <dxf>
      <font>
        <b/>
        <sz val="10"/>
        <color rgb="FF000066"/>
        <name val="Arial"/>
      </font>
      <alignment horizontal="center" wrapText="1"/>
    </dxf>
    <dxf>
      <font>
        <b/>
        <sz val="10"/>
        <color rgb="FF000066"/>
        <name val="Arial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general" vertical="bottom"/>
    </dxf>
    <dxf>
      <font>
        <b/>
        <sz val="10"/>
        <color rgb="FF000066"/>
        <name val="Arial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general" vertical="bottom"/>
    </dxf>
    <dxf>
      <font>
        <color theme="0"/>
      </font>
    </dxf>
    <dxf>
      <numFmt numFmtId="0" formatCode="General"/>
      <alignment horizontal="center" vertical="center" wrapText="1"/>
    </dxf>
    <dxf>
      <numFmt numFmtId="14" formatCode="0.00%"/>
      <alignment horizontal="general" vertical="bottom"/>
    </dxf>
    <dxf>
      <numFmt numFmtId="164" formatCode="_-&quot;$&quot;* #,##0.00_-;\-&quot;$&quot;* #,##0.00_-;_-&quot;$&quot;* &quot;-&quot;??_-;_-@_-"/>
      <alignment horizontal="general" vertical="bottom"/>
    </dxf>
    <dxf>
      <numFmt numFmtId="164" formatCode="_-&quot;$&quot;* #,##0.00_-;\-&quot;$&quot;* #,##0.00_-;_-&quot;$&quot;* &quot;-&quot;??_-;_-@_-"/>
      <alignment horizontal="general" vertical="bottom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  <dxf>
      <numFmt numFmtId="30" formatCode="@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  <dxf>
      <font>
        <b/>
        <sz val="10"/>
        <color rgb="FF000066"/>
        <name val="Arial"/>
      </font>
      <fill>
        <patternFill patternType="solid">
          <fgColor indexed="64"/>
          <bgColor theme="4" tint="0.59999389629810485"/>
        </patternFill>
      </fill>
      <alignment horizontal="center" vertical="center" wrapText="1"/>
    </dxf>
    <dxf>
      <font>
        <b/>
        <sz val="10"/>
        <color rgb="FF000066"/>
        <name val="Arial"/>
      </font>
      <fill>
        <patternFill patternType="solid">
          <fgColor indexed="64"/>
          <bgColor theme="4" tint="0.59999389629810485"/>
        </patternFill>
      </fill>
    </dxf>
    <dxf>
      <numFmt numFmtId="164" formatCode="_-&quot;$&quot;* #,##0.00_-;\-&quot;$&quot;* #,##0.00_-;_-&quot;$&quot;* &quot;-&quot;??_-;_-@_-"/>
    </dxf>
    <dxf>
      <alignment horizontal="center" vertical="center" wrapText="1"/>
    </dxf>
    <dxf>
      <alignment horizontal="general" vertical="botto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14" formatCode="0.00%"/>
    </dxf>
    <dxf>
      <numFmt numFmtId="165" formatCode="\$#,##0.00"/>
    </dxf>
    <dxf>
      <numFmt numFmtId="165" formatCode="\$#,##0.00"/>
    </dxf>
    <dxf>
      <numFmt numFmtId="30" formatCode="@"/>
    </dxf>
    <dxf>
      <font>
        <strike val="0"/>
        <condense val="0"/>
        <extend val="0"/>
        <outline val="0"/>
        <shadow val="0"/>
        <u/>
        <vertAlign val="baseline"/>
        <sz val="11"/>
        <color rgb="FF0000FF"/>
        <name val="Calibri"/>
        <family val="2"/>
      </font>
    </dxf>
    <dxf>
      <numFmt numFmtId="165" formatCode="\$#,##0.00"/>
    </dxf>
    <dxf>
      <numFmt numFmtId="165" formatCode="\$#,##0.00"/>
    </dxf>
    <dxf>
      <numFmt numFmtId="167" formatCode="dd/mm/yyyy"/>
    </dxf>
    <dxf>
      <numFmt numFmtId="165" formatCode="\$#,##0.0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5" formatCode="\$#,##0.00"/>
    </dxf>
    <dxf>
      <numFmt numFmtId="167" formatCode="dd/mm/yyyy"/>
    </dxf>
    <dxf>
      <numFmt numFmtId="167" formatCode="dd/mm/yyyy"/>
    </dxf>
    <dxf>
      <numFmt numFmtId="30" formatCode="@"/>
    </dxf>
    <dxf>
      <numFmt numFmtId="0" formatCode="General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  <dxf>
      <alignment horizontal="general" vertical="bottom"/>
    </dxf>
    <dxf>
      <numFmt numFmtId="30" formatCode="@"/>
    </dxf>
    <dxf>
      <numFmt numFmtId="164" formatCode="_-&quot;$&quot;* #,##0.00_-;\-&quot;$&quot;* #,##0.00_-;_-&quot;$&quot;* &quot;-&quot;??_-;_-@_-"/>
      <alignment horizontal="general" vertical="bottom"/>
    </dxf>
    <dxf>
      <numFmt numFmtId="164" formatCode="_-&quot;$&quot;* #,##0.00_-;\-&quot;$&quot;* #,##0.00_-;_-&quot;$&quot;* &quot;-&quot;??_-;_-@_-"/>
    </dxf>
    <dxf>
      <font>
        <b/>
        <sz val="10"/>
        <color rgb="FF000066"/>
        <name val="Arial"/>
      </font>
      <numFmt numFmtId="14" formatCode="0.00%"/>
      <fill>
        <patternFill patternType="solid">
          <fgColor indexed="64"/>
          <bgColor theme="4" tint="0.59999389629810485"/>
        </patternFill>
      </fill>
    </dxf>
    <dxf>
      <font>
        <b/>
        <sz val="10"/>
        <color rgb="FF000066"/>
        <name val="Arial"/>
      </font>
      <numFmt numFmtId="14" formatCode="0.00%"/>
      <fill>
        <patternFill patternType="solid">
          <fgColor indexed="64"/>
          <bgColor theme="4" tint="0.59999389629810485"/>
        </patternFill>
      </fill>
    </dxf>
    <dxf>
      <numFmt numFmtId="164" formatCode="_-&quot;$&quot;* #,##0.00_-;\-&quot;$&quot;* #,##0.00_-;_-&quot;$&quot;* &quot;-&quot;??_-;_-@_-"/>
    </dxf>
    <dxf>
      <font>
        <color theme="0"/>
      </font>
    </dxf>
    <dxf>
      <font>
        <color theme="0"/>
      </font>
    </dxf>
    <dxf>
      <font>
        <color theme="0"/>
      </font>
    </dxf>
    <dxf>
      <alignment vertical="top"/>
    </dxf>
    <dxf>
      <alignment vertical="top"/>
    </dxf>
    <dxf>
      <alignment vertical="top"/>
    </dxf>
    <dxf>
      <alignment vertical="top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/>
    </dxf>
    <dxf>
      <numFmt numFmtId="164" formatCode="_-&quot;$&quot;* #,##0.00_-;\-&quot;$&quot;* #,##0.00_-;_-&quot;$&quot;* &quot;-&quot;??_-;_-@_-"/>
    </dxf>
    <dxf>
      <font>
        <b/>
        <sz val="10"/>
        <color rgb="FF000066"/>
        <name val="Arial"/>
      </font>
      <fill>
        <patternFill patternType="solid">
          <fgColor indexed="64"/>
          <bgColor theme="4" tint="0.59999389629810485"/>
        </patternFill>
      </fill>
    </dxf>
    <dxf>
      <font>
        <b/>
        <sz val="10"/>
        <color rgb="FF000066"/>
        <name val="Arial"/>
      </font>
      <fill>
        <patternFill patternType="solid">
          <fgColor indexed="64"/>
          <bgColor theme="4" tint="0.59999389629810485"/>
        </patternFill>
      </fill>
      <alignment horizontal="center" vertical="center" wrapText="1"/>
    </dxf>
    <dxf>
      <numFmt numFmtId="164" formatCode="_-&quot;$&quot;* #,##0.00_-;\-&quot;$&quot;* #,##0.00_-;_-&quot;$&quot;* &quot;-&quot;??_-;_-@_-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bottom"/>
    </dxf>
    <dxf>
      <alignment horizontal="center" vertical="center" wrapText="1"/>
    </dxf>
    <dxf>
      <numFmt numFmtId="164" formatCode="_-&quot;$&quot;* #,##0.00_-;\-&quot;$&quot;* #,##0.00_-;_-&quot;$&quot;* &quot;-&quot;??_-;_-@_-"/>
    </dxf>
    <dxf>
      <font>
        <b/>
        <sz val="10"/>
        <color rgb="FF000066"/>
        <name val="Arial"/>
      </font>
      <fill>
        <patternFill patternType="solid">
          <fgColor indexed="64"/>
          <bgColor theme="4" tint="0.59999389629810485"/>
        </patternFill>
      </fill>
    </dxf>
    <dxf>
      <font>
        <b/>
        <sz val="10"/>
        <color rgb="FF000066"/>
        <name val="Arial"/>
      </font>
      <fill>
        <patternFill patternType="solid">
          <fgColor indexed="64"/>
          <bgColor theme="4" tint="0.59999389629810485"/>
        </patternFill>
      </fill>
      <alignment horizontal="center" vertical="center" wrapText="1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  <dxf>
      <numFmt numFmtId="30" formatCode="@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  <alignment horizontal="general" vertical="bottom"/>
    </dxf>
    <dxf>
      <numFmt numFmtId="164" formatCode="_-&quot;$&quot;* #,##0.00_-;\-&quot;$&quot;* #,##0.00_-;_-&quot;$&quot;* &quot;-&quot;??_-;_-@_-"/>
      <alignment horizontal="general" vertical="bottom"/>
    </dxf>
    <dxf>
      <numFmt numFmtId="14" formatCode="0.00%"/>
      <alignment horizontal="general" vertical="bottom"/>
    </dxf>
    <dxf>
      <numFmt numFmtId="0" formatCode="General"/>
      <alignment horizontal="center" vertical="center" wrapText="1"/>
    </dxf>
    <dxf>
      <font>
        <color theme="0"/>
      </font>
    </dxf>
    <dxf>
      <font>
        <b/>
        <sz val="10"/>
        <color rgb="FF000066"/>
        <name val="Arial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general" vertical="bottom"/>
    </dxf>
    <dxf>
      <font>
        <b/>
        <sz val="10"/>
        <color rgb="FF000066"/>
        <name val="Arial"/>
      </font>
      <numFmt numFmtId="14" formatCode="0.00%"/>
      <fill>
        <patternFill patternType="solid">
          <fgColor indexed="64"/>
          <bgColor theme="4" tint="0.59999389629810485"/>
        </patternFill>
      </fill>
      <alignment horizontal="general" vertical="bottom"/>
    </dxf>
    <dxf>
      <font>
        <b/>
        <sz val="10"/>
        <color rgb="FF000066"/>
        <name val="Arial"/>
      </font>
      <alignment horizontal="center" wrapText="1"/>
    </dxf>
    <dxf>
      <numFmt numFmtId="164" formatCode="_-&quot;$&quot;* #,##0.00_-;\-&quot;$&quot;* #,##0.00_-;_-&quot;$&quot;* &quot;-&quot;??_-;_-@_-"/>
    </dxf>
    <dxf>
      <numFmt numFmtId="164" formatCode="_-&quot;$&quot;* #,##0.00_-;\-&quot;$&quot;* #,##0.00_-;_-&quot;$&quot;* &quot;-&quot;??_-;_-@_-"/>
    </dxf>
    <dxf>
      <font>
        <b/>
        <sz val="10"/>
        <color rgb="FF000066"/>
        <name val="Arial"/>
      </font>
      <alignment horizontal="center" wrapText="1"/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  <dxf>
      <alignment vertical="center"/>
    </dxf>
    <dxf>
      <alignment vertical="center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Uzziel Valdez Ordoñez" refreshedDate="46083.735717129632" createdVersion="8" refreshedVersion="8" minRefreshableVersion="3" recordCount="2" xr:uid="{00000000-000A-0000-FFFF-FFFF17000000}">
  <cacheSource type="worksheet">
    <worksheetSource ref="A2:BQ1048576" sheet="R_Completo"/>
  </cacheSource>
  <cacheFields count="69">
    <cacheField name="Código acreditado" numFmtId="0">
      <sharedItems containsNonDate="0" containsString="0" containsBlank="1"/>
    </cacheField>
    <cacheField name="Nom. región" numFmtId="0">
      <sharedItems containsNonDate="0" containsString="0" containsBlank="1"/>
    </cacheField>
    <cacheField name="Coordinación" numFmtId="0">
      <sharedItems containsNonDate="0" containsBlank="1" count="6">
        <m/>
        <s v="Valle de bravo" u="1"/>
        <s v="Metepec" u="1"/>
        <s v="Maravatio" u="1"/>
        <s v="Tenancingo" u="1"/>
        <s v="Atlacomulco" u="1"/>
      </sharedItems>
    </cacheField>
    <cacheField name="Código promotor" numFmtId="0">
      <sharedItems containsNonDate="0" containsString="0" containsBlank="1"/>
    </cacheField>
    <cacheField name="Nombre promotor" numFmtId="0">
      <sharedItems containsNonDate="0" containsString="0" containsBlank="1"/>
    </cacheField>
    <cacheField name="Código recuperador" numFmtId="0">
      <sharedItems containsNonDate="0" containsBlank="1" count="9">
        <m/>
        <s v="000020" u="1"/>
        <s v="000080" u="1"/>
        <s v="000085" u="1"/>
        <s v="000078" u="1"/>
        <s v="000037" u="1"/>
        <s v="000039" u="1"/>
        <s v="000079" u="1"/>
        <s v="000082" u="1"/>
      </sharedItems>
    </cacheField>
    <cacheField name="Nombre recuperador" numFmtId="0">
      <sharedItems containsNonDate="0" containsBlank="1" count="9">
        <m/>
        <s v="Campos Sanchez Victor Humberto" u="1"/>
        <s v="Lopez Ramirez Irving Omar" u="1"/>
        <s v="Campuzano Sanchez Humbert" u="1"/>
        <s v="Atilano Saucedo Fortino" u="1"/>
        <s v="CREDIFLEXI CREDIFLEXI CREDIFLEXI" u="1"/>
        <s v="CALL CENTER" u="1"/>
        <s v="Gomez Campos Olga Janet" u="1"/>
        <s v="ENRIQUEZ VILCHIS MARIA ALEJANDRA" u="1"/>
      </sharedItems>
    </cacheField>
    <cacheField name="Ciclo" numFmtId="0">
      <sharedItems containsNonDate="0" containsString="0" containsBlank="1"/>
    </cacheField>
    <cacheField name="Nombre acreditado" numFmtId="0">
      <sharedItems containsNonDate="0" containsString="0" containsBlank="1"/>
    </cacheField>
    <cacheField name="Inicio ciclo" numFmtId="0">
      <sharedItems containsNonDate="0" containsString="0" containsBlank="1"/>
    </cacheField>
    <cacheField name="Fin ciclo" numFmtId="0">
      <sharedItems containsNonDate="0" containsString="0" containsBlank="1"/>
    </cacheField>
    <cacheField name="Cantidad entregada" numFmtId="0">
      <sharedItems containsNonDate="0" containsString="0" containsBlank="1"/>
    </cacheField>
    <cacheField name="Cantidad Prestada" numFmtId="0">
      <sharedItems containsNonDate="0" containsString="0" containsBlank="1"/>
    </cacheField>
    <cacheField name="Días de mora" numFmtId="0">
      <sharedItems containsNonDate="0" containsString="0" containsBlank="1"/>
    </cacheField>
    <cacheField name="PAR" numFmtId="0">
      <sharedItems containsNonDate="0" containsBlank="1" count="9">
        <m/>
        <s v="Mayor_90" u="1"/>
        <s v="90" u="1"/>
        <s v="60" u="1"/>
        <s v="30" u="1"/>
        <s v="15" u="1"/>
        <s v="7" u="1"/>
        <s v="0" u="1"/>
        <s v="&gt;90" u="1"/>
      </sharedItems>
    </cacheField>
    <cacheField name="Plazo del crédito" numFmtId="0">
      <sharedItems containsNonDate="0" containsString="0" containsBlank="1"/>
    </cacheField>
    <cacheField name="Periodicidad" numFmtId="0">
      <sharedItems containsNonDate="0" containsString="0" containsBlank="1"/>
    </cacheField>
    <cacheField name="Parcialidad + Parcialidad comisión" numFmtId="0">
      <sharedItems containsNonDate="0" containsString="0" containsBlank="1"/>
    </cacheField>
    <cacheField name="Comisión a pagar" numFmtId="0">
      <sharedItems containsNonDate="0" containsString="0" containsBlank="1"/>
    </cacheField>
    <cacheField name="Interés moratorio saldo vencido total" numFmtId="0">
      <sharedItems containsNonDate="0" containsString="0" containsBlank="1"/>
    </cacheField>
    <cacheField name="Pagos vencidos" numFmtId="0">
      <sharedItems containsNonDate="0" containsString="0" containsBlank="1"/>
    </cacheField>
    <cacheField name="Periodos vencidos" numFmtId="0">
      <sharedItems containsNonDate="0" containsString="0" containsBlank="1"/>
    </cacheField>
    <cacheField name="Saldo capital" numFmtId="0">
      <sharedItems containsNonDate="0" containsString="0" containsBlank="1"/>
    </cacheField>
    <cacheField name="Saldo vencido" numFmtId="0">
      <sharedItems containsNonDate="0" containsString="0" containsBlank="1"/>
    </cacheField>
    <cacheField name="Saldo capital vencido" numFmtId="0">
      <sharedItems containsNonDate="0" containsString="0" containsBlank="1"/>
    </cacheField>
    <cacheField name="Saldo interés vencido" numFmtId="0">
      <sharedItems containsNonDate="0" containsString="0" containsBlank="1"/>
    </cacheField>
    <cacheField name="Saldo comisión vencida" numFmtId="0">
      <sharedItems containsNonDate="0" containsString="0" containsBlank="1"/>
    </cacheField>
    <cacheField name="Saldo recargos" numFmtId="0">
      <sharedItems containsNonDate="0" containsString="0" containsBlank="1"/>
    </cacheField>
    <cacheField name="$ Último pago" numFmtId="0">
      <sharedItems containsNonDate="0" containsString="0" containsBlank="1"/>
    </cacheField>
    <cacheField name="Último pago" numFmtId="0">
      <sharedItems containsNonDate="0" containsString="0" containsBlank="1"/>
    </cacheField>
    <cacheField name="Situación crédito" numFmtId="0">
      <sharedItems containsNonDate="0" containsString="0" containsBlank="1"/>
    </cacheField>
    <cacheField name="Medio comunic. 1" numFmtId="0">
      <sharedItems containsNonDate="0" containsString="0" containsBlank="1"/>
    </cacheField>
    <cacheField name="Medio comunic. 2" numFmtId="0">
      <sharedItems containsNonDate="0" containsString="0" containsBlank="1"/>
    </cacheField>
    <cacheField name="Medio comunic. 3" numFmtId="0">
      <sharedItems containsNonDate="0" containsString="0" containsBlank="1"/>
    </cacheField>
    <cacheField name="Actividad económica PLD" numFmtId="0">
      <sharedItems containsNonDate="0" containsString="0" containsBlank="1"/>
    </cacheField>
    <cacheField name="Código actividad económica PLD" numFmtId="0">
      <sharedItems containsNonDate="0" containsString="0" containsBlank="1"/>
    </cacheField>
    <cacheField name="Nombre conyuge" numFmtId="0">
      <sharedItems containsNonDate="0" containsString="0" containsBlank="1"/>
    </cacheField>
    <cacheField name="Teléfono conyuge" numFmtId="0">
      <sharedItems containsNonDate="0" containsString="0" containsBlank="1"/>
    </cacheField>
    <cacheField name="Nombre Referencia1" numFmtId="0">
      <sharedItems containsNonDate="0" containsString="0" containsBlank="1"/>
    </cacheField>
    <cacheField name="Teléfono Referencia1" numFmtId="0">
      <sharedItems containsNonDate="0" containsString="0" containsBlank="1"/>
    </cacheField>
    <cacheField name="Nombre Referencia2" numFmtId="0">
      <sharedItems containsNonDate="0" containsString="0" containsBlank="1"/>
    </cacheField>
    <cacheField name="Teléfono Referencia2" numFmtId="0">
      <sharedItems containsNonDate="0" containsString="0" containsBlank="1"/>
    </cacheField>
    <cacheField name="Nombre Referencia3" numFmtId="0">
      <sharedItems containsNonDate="0" containsString="0" containsBlank="1"/>
    </cacheField>
    <cacheField name="Teléfono Referencia3" numFmtId="0">
      <sharedItems containsNonDate="0" containsString="0" containsBlank="1"/>
    </cacheField>
    <cacheField name="Tipo Garantía 1" numFmtId="0">
      <sharedItems containsNonDate="0" containsString="0" containsBlank="1"/>
    </cacheField>
    <cacheField name="Descripción garantía 1" numFmtId="0">
      <sharedItems containsNonDate="0" containsString="0" containsBlank="1"/>
    </cacheField>
    <cacheField name="Garantía 1" numFmtId="0">
      <sharedItems containsNonDate="0" containsString="0" containsBlank="1"/>
    </cacheField>
    <cacheField name="Tipo Garantía 2" numFmtId="0">
      <sharedItems containsNonDate="0" containsString="0" containsBlank="1"/>
    </cacheField>
    <cacheField name="Descripción garantía 2" numFmtId="0">
      <sharedItems containsNonDate="0" containsString="0" containsBlank="1"/>
    </cacheField>
    <cacheField name="Garantía 2" numFmtId="0">
      <sharedItems containsNonDate="0" containsString="0" containsBlank="1"/>
    </cacheField>
    <cacheField name="Saldo total" numFmtId="0">
      <sharedItems containsNonDate="0" containsString="0" containsBlank="1"/>
    </cacheField>
    <cacheField name="Saldo adelantado" numFmtId="0">
      <sharedItems containsNonDate="0" containsString="0" containsBlank="1"/>
    </cacheField>
    <cacheField name="Cód. producto crédito" numFmtId="0">
      <sharedItems containsNonDate="0" containsString="0" containsBlank="1"/>
    </cacheField>
    <cacheField name="Nom. producto crédito" numFmtId="0">
      <sharedItems containsNonDate="0" containsString="0" containsBlank="1"/>
    </cacheField>
    <cacheField name="Calle" numFmtId="0">
      <sharedItems containsNonDate="0" containsString="0" containsBlank="1"/>
    </cacheField>
    <cacheField name="Colonia" numFmtId="0">
      <sharedItems containsNonDate="0" containsString="0" containsBlank="1"/>
    </cacheField>
    <cacheField name="Entidad federativa" numFmtId="0">
      <sharedItems containsNonDate="0" containsString="0" containsBlank="1"/>
    </cacheField>
    <cacheField name="Municipio" numFmtId="0">
      <sharedItems containsNonDate="0" containsString="0" containsBlank="1"/>
    </cacheField>
    <cacheField name="Geolocalización domicilio" numFmtId="0">
      <sharedItems containsNonDate="0" containsString="0" containsBlank="1"/>
    </cacheField>
    <cacheField name="Link de Geolocalización" numFmtId="0">
      <sharedItems containsNonDate="0" containsString="0" containsBlank="1"/>
    </cacheField>
    <cacheField name="Castigado cartera" numFmtId="0">
      <sharedItems containsNonDate="0" containsString="0" containsBlank="1"/>
    </cacheField>
    <cacheField name="Nom. personal castiga cartera" numFmtId="0">
      <sharedItems containsNonDate="0" containsString="0" containsBlank="1"/>
    </cacheField>
    <cacheField name="Frecuencia" numFmtId="0">
      <sharedItems containsNonDate="0" containsString="0" containsBlank="1"/>
    </cacheField>
    <cacheField name="Criticidad" numFmtId="0">
      <sharedItems containsNonDate="0" containsString="0" containsBlank="1"/>
    </cacheField>
    <cacheField name="Forma de entrega" numFmtId="0">
      <sharedItems containsNonDate="0" containsString="0" containsBlank="1"/>
    </cacheField>
    <cacheField name="Concepto Depósito" numFmtId="0">
      <sharedItems containsNonDate="0" containsString="0" containsBlank="1"/>
    </cacheField>
    <cacheField name="Saldo riesgo capital" numFmtId="0">
      <sharedItems containsNonDate="0" containsString="0" containsBlank="1"/>
    </cacheField>
    <cacheField name="Saldo riesgo total" numFmtId="0">
      <sharedItems containsNonDate="0" containsString="0" containsBlank="1"/>
    </cacheField>
    <cacheField name="% MOR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m/>
    <m/>
    <x v="0"/>
    <m/>
    <m/>
    <x v="0"/>
    <x v="0"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x v="0"/>
    <m/>
    <m/>
    <x v="0"/>
    <x v="0"/>
    <m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TablaDinámica3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olHeaderCaption="PAR">
  <location ref="J7:N11" firstHeaderRow="1" firstDataRow="3" firstDataCol="1"/>
  <pivotFields count="69">
    <pivotField dataField="1" showAll="0" countASubtotal="1"/>
    <pivotField showAll="0"/>
    <pivotField axis="axisRow" showAll="0">
      <items count="7">
        <item m="1" x="5"/>
        <item m="1" x="3"/>
        <item m="1" x="2"/>
        <item m="1" x="4"/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66" showAll="0"/>
    <pivotField showAll="0"/>
    <pivotField showAll="0"/>
    <pivotField axis="axisCol" showAll="0">
      <items count="10">
        <item m="1" x="7"/>
        <item m="1" x="6"/>
        <item m="1" x="5"/>
        <item m="1" x="4"/>
        <item m="1" x="3"/>
        <item m="1" x="2"/>
        <item m="1" x="1"/>
        <item x="0"/>
        <item m="1" x="8"/>
        <item t="default"/>
      </items>
    </pivotField>
    <pivotField showAll="0"/>
    <pivotField showAll="0"/>
    <pivotField showAll="0"/>
    <pivotField showAll="0"/>
    <pivotField numFmtId="166" showAll="0"/>
    <pivotField numFmtId="166" showAll="0"/>
    <pivotField showAll="0"/>
    <pivotField numFmtId="166" showAll="0"/>
    <pivotField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64" showAll="0"/>
    <pivotField dataField="1" numFmtId="164" showAll="0"/>
    <pivotField numFmtId="9" showAll="0"/>
  </pivotFields>
  <rowFields count="1">
    <field x="2"/>
  </rowFields>
  <rowItems count="2">
    <i>
      <x v="5"/>
    </i>
    <i t="grand">
      <x/>
    </i>
  </rowItems>
  <colFields count="2">
    <field x="14"/>
    <field x="-2"/>
  </colFields>
  <colItems count="4">
    <i>
      <x v="7"/>
      <x/>
    </i>
    <i r="1" i="1">
      <x v="1"/>
    </i>
    <i t="grand">
      <x/>
    </i>
    <i t="grand" i="1">
      <x/>
    </i>
  </colItems>
  <dataFields count="2">
    <dataField name="Cuenta de Código acreditado" fld="0" subtotal="count" baseField="0" baseItem="0"/>
    <dataField name="Suma de Saldo riesgo total" fld="67" baseField="0" baseItem="0" numFmtId="164"/>
  </dataFields>
  <formats count="19">
    <format dxfId="143">
      <pivotArea dataOnly="0" labelOnly="1" fieldPosition="0">
        <references count="1">
          <reference field="14" count="0"/>
        </references>
      </pivotArea>
    </format>
    <format dxfId="142">
      <pivotArea field="14" grandRow="1" outline="0" collapsedLevelsAreSubtotals="1" axis="axisCol" fieldPosition="0">
        <references count="1">
          <reference field="14" count="0" selected="0"/>
        </references>
      </pivotArea>
    </format>
    <format dxfId="141">
      <pivotArea field="14" grandRow="1" outline="0" collapsedLevelsAreSubtotals="1" axis="axisCol" fieldPosition="0">
        <references count="1"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40">
      <pivotArea field="14" grandRow="1" outline="0" collapsedLevelsAreSubtotals="1" axis="axisCol" fieldPosition="0">
        <references count="1"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39">
      <pivotArea field="14" grandRow="1" outline="0" collapsedLevelsAreSubtotals="1" axis="axisCol" fieldPosition="0">
        <references count="1">
          <reference field="14" count="7" selected="0">
            <x v="0"/>
            <x v="1"/>
            <x v="2"/>
            <x v="3"/>
            <x v="4"/>
            <x v="5"/>
            <x v="7"/>
          </reference>
        </references>
      </pivotArea>
    </format>
    <format dxfId="138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format>
    <format dxfId="137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format>
    <format dxfId="136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format>
    <format dxfId="135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format>
    <format dxfId="134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format>
    <format dxfId="133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format>
    <format dxfId="132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format>
    <format dxfId="131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format>
    <format dxfId="130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format>
    <format dxfId="129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4"/>
          </reference>
        </references>
      </pivotArea>
    </format>
    <format dxfId="128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format>
    <format dxfId="127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format>
    <format dxfId="126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format>
    <format dxfId="125">
      <pivotArea outline="0" collapsedLevelsAreSubtotals="1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2" cacheId="3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outline="1" outlineData="1" multipleFieldFilters="0" rowHeaderCaption="Coordinación">
  <location ref="A8:G11" firstHeaderRow="1" firstDataRow="2" firstDataCol="1"/>
  <pivotFields count="69">
    <pivotField showAll="0"/>
    <pivotField showAll="0"/>
    <pivotField axis="axisRow" showAll="0">
      <items count="7">
        <item m="1" x="5"/>
        <item m="1" x="3"/>
        <item m="1" x="2"/>
        <item m="1" x="4"/>
        <item m="1"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numFmtId="14" showAll="0"/>
    <pivotField numFmtId="166" showAll="0"/>
    <pivotField dataField="1" showAll="0"/>
    <pivotField showAll="0"/>
    <pivotField showAll="0"/>
    <pivotField showAll="0"/>
    <pivotField showAll="0"/>
    <pivotField showAll="0"/>
    <pivotField showAll="0"/>
    <pivotField numFmtId="166" showAll="0"/>
    <pivotField numFmtId="166" showAll="0"/>
    <pivotField showAll="0"/>
    <pivotField dataField="1" numFmtId="166" showAll="0"/>
    <pivotField dataField="1" numFmtId="166" showAll="0"/>
    <pivotField numFmtId="166" showAll="0"/>
    <pivotField numFmtId="166" showAll="0"/>
    <pivotField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6" showAll="0"/>
    <pivotField numFmtId="166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  <pivotField dataField="1" numFmtId="164" showAll="0"/>
    <pivotField numFmtId="9" showAll="0"/>
  </pivotFields>
  <rowFields count="1">
    <field x="2"/>
  </rowFields>
  <rowItems count="2">
    <i>
      <x v="5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antidad_x000a_Prestada" fld="12" baseField="0" baseItem="0"/>
    <dataField name="Saldo_x000a_Capital" fld="22" baseField="0" baseItem="0" numFmtId="166"/>
    <dataField name="Saldo_x000a_Vencido" fld="23" baseField="0" baseItem="0" numFmtId="166"/>
    <dataField name="Saldo_x000a_Total" fld="50" baseField="0" baseItem="0" numFmtId="166"/>
    <dataField name="Saldo_x000a_Riesgo Capital" fld="66" baseField="0" baseItem="0" numFmtId="164"/>
    <dataField name="Saldo_x000a_Riesgo Total" fld="67" baseField="0" baseItem="0" numFmtId="164"/>
  </dataFields>
  <formats count="20">
    <format dxfId="163">
      <pivotArea field="2" type="button" dataOnly="0" labelOnly="1" outline="0" axis="axisRow" fieldPosition="0"/>
    </format>
    <format dxfId="162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61">
      <pivotArea field="2" type="button" dataOnly="0" labelOnly="1" outline="0" axis="axisRow" fieldPosition="0"/>
    </format>
    <format dxfId="160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9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58">
      <pivotArea collapsedLevelsAreSubtotals="1" fieldPosition="0">
        <references count="1">
          <reference field="2" count="0"/>
        </references>
      </pivotArea>
    </format>
    <format dxfId="157">
      <pivotArea collapsedLevelsAreSubtotals="1" fieldPosition="0">
        <references count="2">
          <reference field="4294967294" count="1" selected="0">
            <x v="2"/>
          </reference>
          <reference field="2" count="1">
            <x v="0"/>
          </reference>
        </references>
      </pivotArea>
    </format>
    <format dxfId="156">
      <pivotArea field="2" type="button" dataOnly="0" labelOnly="1" outline="0" axis="axisRow" fieldPosition="0"/>
    </format>
    <format dxfId="155">
      <pivotArea grandRow="1" outline="0" collapsedLevelsAreSubtotals="1" fieldPosition="0"/>
    </format>
    <format dxfId="154">
      <pivotArea dataOnly="0" labelOnly="1" grandRow="1" outline="0" fieldPosition="0"/>
    </format>
    <format dxfId="153">
      <pivotArea dataOnly="0" labelOnly="1" fieldPosition="0">
        <references count="1">
          <reference field="2" count="1">
            <x v="5"/>
          </reference>
        </references>
      </pivotArea>
    </format>
    <format dxfId="152">
      <pivotArea grandRow="1" outline="0" collapsedLevelsAreSubtotals="1" fieldPosition="0"/>
    </format>
    <format dxfId="151">
      <pivotArea field="2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50">
      <pivotArea field="2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49">
      <pivotArea dataOnly="0" labelOnly="1" grandRow="1" outline="0" fieldPosition="0"/>
    </format>
    <format dxfId="148">
      <pivotArea field="2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  <format dxfId="147">
      <pivotArea field="2" grandRow="1" outline="0" collapsedLevelsAreSubtotals="1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146">
      <pivotArea dataOnly="0" grandRow="1" fieldPosition="0"/>
    </format>
    <format dxfId="145">
      <pivotArea grandRow="1" outline="0" collapsedLevelsAreSubtotals="1" fieldPosition="0"/>
    </format>
    <format dxfId="144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TablaDinámica2" cacheId="31" applyNumberFormats="0" applyBorderFormats="0" applyFontFormats="0" applyPatternFormats="0" applyAlignmentFormats="0" applyWidthHeightFormats="1" dataCaption="Valores" grandTotalCaption="Total" updatedVersion="8" minRefreshableVersion="3" useAutoFormatting="1" itemPrintTitles="1" createdVersion="8" indent="0" compact="0" compactData="0" multipleFieldFilters="0">
  <location ref="A8:I11" firstHeaderRow="1" firstDataRow="2" firstDataCol="3"/>
  <pivotFields count="6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name="Coordinación" axis="axisRow" compact="0" outline="0" showAll="0" defaultSubtotal="0">
      <items count="6">
        <item m="1" x="5"/>
        <item m="1" x="3"/>
        <item m="1" x="2"/>
        <item m="1" x="4"/>
        <item m="1"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1"/>
        <item m="1" x="5"/>
        <item m="1" x="6"/>
        <item m="1" x="4"/>
        <item m="1" x="7"/>
        <item m="1" x="2"/>
        <item m="1" x="8"/>
        <item m="1" x="3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m="1" x="4"/>
        <item m="1" x="6"/>
        <item m="1" x="1"/>
        <item m="1" x="3"/>
        <item m="1" x="5"/>
        <item m="1" x="8"/>
        <item m="1" x="7"/>
        <item m="1" x="2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2"/>
    <field x="5"/>
    <field x="6"/>
  </rowFields>
  <rowItems count="2">
    <i>
      <x v="5"/>
      <x v="8"/>
      <x v="8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Cantidad_x000a_Prestada" fld="12" baseField="0" baseItem="0"/>
    <dataField name="Saldo_x000a_Capital" fld="22" baseField="0" baseItem="0"/>
    <dataField name="Saldo_x000a_Vencido" fld="23" baseField="0" baseItem="0"/>
    <dataField name="Saldo_x000a_Total" fld="50" baseField="0" baseItem="0"/>
    <dataField name="Saldo_x000a_Riesgo Capital" fld="66" baseField="0" baseItem="0"/>
    <dataField name="Saldo_x000a_Riesgo Total" fld="67" baseField="0" baseItem="0"/>
  </dataFields>
  <formats count="17">
    <format dxfId="109">
      <pivotArea field="2" type="button" dataOnly="0" labelOnly="1" outline="0" axis="axisRow" fieldPosition="0"/>
    </format>
    <format dxfId="108">
      <pivotArea field="5" type="button" dataOnly="0" labelOnly="1" outline="0" axis="axisRow" fieldPosition="1"/>
    </format>
    <format dxfId="107">
      <pivotArea field="6" type="button" dataOnly="0" labelOnly="1" outline="0" axis="axisRow" fieldPosition="2"/>
    </format>
    <format dxfId="106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105">
      <pivotArea dataOnly="0" labelOnly="1" outline="0" fieldPosition="0">
        <references count="1">
          <reference field="2" count="1">
            <x v="5"/>
          </reference>
        </references>
      </pivotArea>
    </format>
    <format dxfId="104">
      <pivotArea dataOnly="0" labelOnly="1" outline="0" fieldPosition="0">
        <references count="2">
          <reference field="2" count="1" selected="0">
            <x v="5"/>
          </reference>
          <reference field="5" count="1">
            <x v="8"/>
          </reference>
        </references>
      </pivotArea>
    </format>
    <format dxfId="103">
      <pivotArea dataOnly="0" labelOnly="1" outline="0" fieldPosition="0">
        <references count="3">
          <reference field="2" count="1" selected="0">
            <x v="5"/>
          </reference>
          <reference field="5" count="1" selected="0">
            <x v="8"/>
          </reference>
          <reference field="6" count="1">
            <x v="8"/>
          </reference>
        </references>
      </pivotArea>
    </format>
    <format dxfId="102">
      <pivotArea outline="0" fieldPosition="0">
        <references count="3">
          <reference field="2" count="5" selected="0">
            <x v="0"/>
            <x v="1"/>
            <x v="2"/>
            <x v="3"/>
            <x v="4"/>
          </reference>
          <reference field="5" count="8" selected="0">
            <x v="0"/>
            <x v="1"/>
            <x v="2"/>
            <x v="3"/>
            <x v="4"/>
            <x v="5"/>
            <x v="6"/>
            <x v="7"/>
          </reference>
          <reference field="6" count="8" selected="0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101">
      <pivotArea grandRow="1" outline="0" collapsedLevelsAreSubtotals="1" fieldPosition="0"/>
    </format>
    <format dxfId="100">
      <pivotArea dataOnly="0" labelOnly="1" grandRow="1" outline="0" fieldPosition="0"/>
    </format>
    <format dxfId="99">
      <pivotArea grandRow="1" outline="0" collapsedLevelsAreSubtotals="1" fieldPosition="0"/>
    </format>
    <format dxfId="98">
      <pivotArea dataOnly="0" labelOnly="1" grandRow="1" outline="0" fieldPosition="0"/>
    </format>
    <format dxfId="97">
      <pivotArea dataOnly="0" labelOnly="1" grandRow="1" outline="0" fieldPosition="0"/>
    </format>
    <format dxfId="96">
      <pivotArea dataOnly="0" labelOnly="1" grandRow="1" outline="0" fieldPosition="0"/>
    </format>
    <format dxfId="95">
      <pivotArea field="2" grandRow="1" outline="0" axis="axisRow" fieldPosition="0">
        <references count="1">
          <reference field="4294967294" count="1" selected="0">
            <x v="5"/>
          </reference>
        </references>
      </pivotArea>
    </format>
    <format dxfId="94">
      <pivotArea field="2" grandRow="1" outline="0" axis="axisRow" fieldPosition="0">
        <references count="1">
          <reference field="4294967294" count="5" selected="0">
            <x v="0"/>
            <x v="1"/>
            <x v="2"/>
            <x v="3"/>
            <x v="4"/>
          </reference>
        </references>
      </pivotArea>
    </format>
    <format dxfId="9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TablaDinámica4" cacheId="3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L7:R11" firstHeaderRow="1" firstDataRow="3" firstDataCol="3"/>
  <pivotFields count="69">
    <pivotField dataField="1" compact="0" outline="0" showAll="0" defaultSubtotal="0"/>
    <pivotField compact="0" outline="0" showAll="0" defaultSubtotal="0"/>
    <pivotField name="Coordinación" axis="axisRow" compact="0" outline="0" showAll="0" defaultSubtotal="0">
      <items count="6">
        <item m="1" x="5"/>
        <item m="1" x="3"/>
        <item m="1" x="2"/>
        <item m="1" x="4"/>
        <item m="1" x="1"/>
        <item x="0"/>
      </items>
    </pivotField>
    <pivotField compact="0" outline="0" showAll="0" defaultSubtotal="0"/>
    <pivotField compact="0" outline="0" showAll="0" defaultSubtotal="0"/>
    <pivotField axis="axisRow" compact="0" outline="0" showAll="0" defaultSubtotal="0">
      <items count="9">
        <item m="1" x="1"/>
        <item m="1" x="5"/>
        <item m="1" x="6"/>
        <item m="1" x="4"/>
        <item m="1" x="7"/>
        <item m="1" x="2"/>
        <item m="1" x="8"/>
        <item m="1" x="3"/>
        <item x="0"/>
      </items>
    </pivotField>
    <pivotField axis="axisRow" compact="0" outline="0" showAll="0" defaultSubtotal="0">
      <items count="9">
        <item m="1" x="4"/>
        <item m="1" x="6"/>
        <item m="1" x="1"/>
        <item m="1" x="3"/>
        <item m="1" x="5"/>
        <item m="1" x="8"/>
        <item m="1" x="7"/>
        <item m="1" x="2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axis="axisCol" compact="0" outline="0" showAll="0" defaultSubtotal="0">
      <items count="9">
        <item m="1" x="7"/>
        <item m="1" x="6"/>
        <item m="1" x="5"/>
        <item m="1" x="4"/>
        <item m="1" x="3"/>
        <item m="1" x="2"/>
        <item m="1" x="1"/>
        <item x="0"/>
        <item m="1" x="8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</pivotFields>
  <rowFields count="3">
    <field x="2"/>
    <field x="5"/>
    <field x="6"/>
  </rowFields>
  <rowItems count="2">
    <i>
      <x v="5"/>
      <x v="8"/>
      <x v="8"/>
    </i>
    <i t="grand">
      <x/>
    </i>
  </rowItems>
  <colFields count="2">
    <field x="14"/>
    <field x="-2"/>
  </colFields>
  <colItems count="4">
    <i>
      <x v="7"/>
      <x/>
    </i>
    <i r="1" i="1">
      <x v="1"/>
    </i>
    <i t="grand">
      <x/>
    </i>
    <i t="grand" i="1">
      <x/>
    </i>
  </colItems>
  <dataFields count="2">
    <dataField name="Cuenta de Código acreditado" fld="0" subtotal="count" baseField="0" baseItem="0"/>
    <dataField name="Suma de Saldo riesgo total" fld="67" baseField="0" baseItem="0"/>
  </dataFields>
  <formats count="15">
    <format dxfId="124">
      <pivotArea grandRow="1" outline="0" collapsedLevelsAreSubtotals="1" fieldPosition="0"/>
    </format>
    <format dxfId="123">
      <pivotArea dataOnly="0" labelOnly="1" outline="0" fieldPosition="0">
        <references count="1">
          <reference field="14" count="7">
            <x v="0"/>
            <x v="1"/>
            <x v="2"/>
            <x v="3"/>
            <x v="4"/>
            <x v="5"/>
            <x v="6"/>
          </reference>
        </references>
      </pivotArea>
    </format>
    <format dxfId="122">
      <pivotArea field="14" grandRow="1" outline="0" axis="axisCol" fieldPosition="0">
        <references count="1"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21">
      <pivotArea outline="0" fieldPosition="0">
        <references count="4">
          <reference field="2" count="5" selected="0">
            <x v="0"/>
            <x v="1"/>
            <x v="2"/>
            <x v="3"/>
            <x v="4"/>
          </reference>
          <reference field="5" count="8" selected="0">
            <x v="0"/>
            <x v="1"/>
            <x v="2"/>
            <x v="3"/>
            <x v="4"/>
            <x v="5"/>
            <x v="6"/>
            <x v="7"/>
          </reference>
          <reference field="6" count="8" selected="0">
            <x v="0"/>
            <x v="1"/>
            <x v="2"/>
            <x v="3"/>
            <x v="4"/>
            <x v="5"/>
            <x v="6"/>
            <x v="7"/>
          </reference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20">
      <pivotArea field="14" grandRow="1" outline="0" axis="axisCol" fieldPosition="0">
        <references count="1">
          <reference field="14" count="7" selected="0">
            <x v="0"/>
            <x v="1"/>
            <x v="2"/>
            <x v="3"/>
            <x v="4"/>
            <x v="5"/>
            <x v="6"/>
          </reference>
        </references>
      </pivotArea>
    </format>
    <format dxfId="119">
      <pivotArea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format>
    <format dxfId="118">
      <pivotArea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format>
    <format dxfId="117">
      <pivotArea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format>
    <format dxfId="116">
      <pivotArea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format>
    <format dxfId="115">
      <pivotArea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format>
    <format dxfId="114">
      <pivotArea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format>
    <format dxfId="113">
      <pivotArea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format>
    <format dxfId="112">
      <pivotArea outline="0" fieldPosition="0">
        <references count="2">
          <reference field="4294967294" count="1" selected="0">
            <x v="0"/>
          </reference>
          <reference field="14" count="1" selected="0">
            <x v="3"/>
          </reference>
        </references>
      </pivotArea>
    </format>
    <format dxfId="111">
      <pivotArea outline="0" fieldPosition="0">
        <references count="2">
          <reference field="4294967294" count="1" selected="0">
            <x v="0"/>
          </reference>
          <reference field="14" count="1" selected="0">
            <x v="5"/>
          </reference>
        </references>
      </pivotArea>
    </format>
    <format dxfId="110">
      <pivotArea outline="0" fieldPosition="0">
        <references count="2">
          <reference field="4294967294" count="1" selected="0">
            <x v="0"/>
          </reference>
          <reference field="14" count="1" selected="0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18112025" displayName="T_18112025" ref="A2:BS3" insertRow="1">
  <autoFilter ref="A2:BS3" xr:uid="{00000000-0009-0000-0100-000002000000}"/>
  <tableColumns count="71">
    <tableColumn id="1" xr3:uid="{00000000-0010-0000-0100-000001000000}" name="Código acreditado" dataDxfId="92"/>
    <tableColumn id="2" xr3:uid="{00000000-0010-0000-0100-000002000000}" name="Nom. región"/>
    <tableColumn id="3" xr3:uid="{00000000-0010-0000-0100-000003000000}" name="Coordinación"/>
    <tableColumn id="4" xr3:uid="{00000000-0010-0000-0100-000004000000}" name="Código promotor"/>
    <tableColumn id="5" xr3:uid="{00000000-0010-0000-0100-000005000000}" name="Nombre promotor"/>
    <tableColumn id="6" xr3:uid="{00000000-0010-0000-0100-000006000000}" name="Código recuperador"/>
    <tableColumn id="7" xr3:uid="{00000000-0010-0000-0100-000007000000}" name="Nombre recuperador"/>
    <tableColumn id="8" xr3:uid="{00000000-0010-0000-0100-000008000000}" name="Ciclo"/>
    <tableColumn id="9" xr3:uid="{00000000-0010-0000-0100-000009000000}" name="Nombre acreditado"/>
    <tableColumn id="10" xr3:uid="{00000000-0010-0000-0100-00000A000000}" name="Inicio ciclo" dataDxfId="91"/>
    <tableColumn id="11" xr3:uid="{00000000-0010-0000-0100-00000B000000}" name="Fin ciclo" dataDxfId="90"/>
    <tableColumn id="12" xr3:uid="{00000000-0010-0000-0100-00000C000000}" name="Cantidad entregada" dataDxfId="89"/>
    <tableColumn id="13" xr3:uid="{00000000-0010-0000-0100-00000D000000}" name="Cantidad Prestada" dataDxfId="88"/>
    <tableColumn id="14" xr3:uid="{00000000-0010-0000-0100-00000E000000}" name="Días de mora"/>
    <tableColumn id="15" xr3:uid="{00000000-0010-0000-0100-00000F000000}" name="PAR"/>
    <tableColumn id="16" xr3:uid="{00000000-0010-0000-0100-000010000000}" name="Plazo del crédito"/>
    <tableColumn id="17" xr3:uid="{00000000-0010-0000-0100-000011000000}" name="Periodicidad"/>
    <tableColumn id="18" xr3:uid="{00000000-0010-0000-0100-000012000000}" name="Parcialidad + Parcialidad comisión"/>
    <tableColumn id="19" xr3:uid="{00000000-0010-0000-0100-000013000000}" name="Comisión a pagar"/>
    <tableColumn id="20" xr3:uid="{00000000-0010-0000-0100-000014000000}" name="Interés moratorio saldo vencido total" dataDxfId="87"/>
    <tableColumn id="21" xr3:uid="{00000000-0010-0000-0100-000015000000}" name="Pagos vencidos" dataDxfId="86"/>
    <tableColumn id="22" xr3:uid="{00000000-0010-0000-0100-000016000000}" name="Periodos vencidos"/>
    <tableColumn id="23" xr3:uid="{00000000-0010-0000-0100-000017000000}" name="Saldo capital" dataDxfId="85"/>
    <tableColumn id="24" xr3:uid="{00000000-0010-0000-0100-000018000000}" name="Saldo vencido" dataDxfId="84"/>
    <tableColumn id="25" xr3:uid="{00000000-0010-0000-0100-000019000000}" name="Saldo capital vencido" dataDxfId="83"/>
    <tableColumn id="26" xr3:uid="{00000000-0010-0000-0100-00001A000000}" name="Saldo interés vencido" dataDxfId="82"/>
    <tableColumn id="27" xr3:uid="{00000000-0010-0000-0100-00001B000000}" name="Saldo comisión vencida" dataDxfId="81"/>
    <tableColumn id="28" xr3:uid="{00000000-0010-0000-0100-00001C000000}" name="Saldo recargos" dataDxfId="80"/>
    <tableColumn id="29" xr3:uid="{00000000-0010-0000-0100-00001D000000}" name="$ Último pago" dataDxfId="79"/>
    <tableColumn id="30" xr3:uid="{00000000-0010-0000-0100-00001E000000}" name="Último pago" dataDxfId="78"/>
    <tableColumn id="31" xr3:uid="{00000000-0010-0000-0100-00001F000000}" name="Situación crédito"/>
    <tableColumn id="32" xr3:uid="{00000000-0010-0000-0100-000020000000}" name="Medio comunic. 1"/>
    <tableColumn id="33" xr3:uid="{00000000-0010-0000-0100-000021000000}" name="Medio comunic. 2"/>
    <tableColumn id="34" xr3:uid="{00000000-0010-0000-0100-000022000000}" name="Medio comunic. 3"/>
    <tableColumn id="35" xr3:uid="{00000000-0010-0000-0100-000023000000}" name="Actividad económica PLD"/>
    <tableColumn id="36" xr3:uid="{00000000-0010-0000-0100-000024000000}" name="Código actividad económica PLD"/>
    <tableColumn id="37" xr3:uid="{00000000-0010-0000-0100-000025000000}" name="Nombre conyuge"/>
    <tableColumn id="38" xr3:uid="{00000000-0010-0000-0100-000026000000}" name="Teléfono conyuge"/>
    <tableColumn id="39" xr3:uid="{00000000-0010-0000-0100-000027000000}" name="Nombre Referencia1"/>
    <tableColumn id="40" xr3:uid="{00000000-0010-0000-0100-000028000000}" name="Teléfono Referencia1"/>
    <tableColumn id="41" xr3:uid="{00000000-0010-0000-0100-000029000000}" name="Nombre Referencia2"/>
    <tableColumn id="42" xr3:uid="{00000000-0010-0000-0100-00002A000000}" name="Teléfono Referencia2"/>
    <tableColumn id="43" xr3:uid="{00000000-0010-0000-0100-00002B000000}" name="Nombre Referencia3"/>
    <tableColumn id="44" xr3:uid="{00000000-0010-0000-0100-00002C000000}" name="Teléfono Referencia3"/>
    <tableColumn id="45" xr3:uid="{00000000-0010-0000-0100-00002D000000}" name="Tipo Garantía 1"/>
    <tableColumn id="46" xr3:uid="{00000000-0010-0000-0100-00002E000000}" name="Descripción garantía 1"/>
    <tableColumn id="47" xr3:uid="{00000000-0010-0000-0100-00002F000000}" name="Garantía 1"/>
    <tableColumn id="48" xr3:uid="{00000000-0010-0000-0100-000030000000}" name="Tipo Garantía 2"/>
    <tableColumn id="49" xr3:uid="{00000000-0010-0000-0100-000031000000}" name="Descripción garantía 2"/>
    <tableColumn id="50" xr3:uid="{00000000-0010-0000-0100-000032000000}" name="Garantía 2"/>
    <tableColumn id="51" xr3:uid="{00000000-0010-0000-0100-000033000000}" name="Saldo total" dataDxfId="77"/>
    <tableColumn id="52" xr3:uid="{00000000-0010-0000-0100-000034000000}" name="Saldo adelantado" dataDxfId="76"/>
    <tableColumn id="53" xr3:uid="{00000000-0010-0000-0100-000035000000}" name="Cód. producto crédito"/>
    <tableColumn id="54" xr3:uid="{00000000-0010-0000-0100-000036000000}" name="Nom. producto crédito"/>
    <tableColumn id="55" xr3:uid="{00000000-0010-0000-0100-000037000000}" name="Calle"/>
    <tableColumn id="56" xr3:uid="{00000000-0010-0000-0100-000038000000}" name="Colonia"/>
    <tableColumn id="57" xr3:uid="{00000000-0010-0000-0100-000039000000}" name="Entidad federativa"/>
    <tableColumn id="58" xr3:uid="{00000000-0010-0000-0100-00003A000000}" name="Municipio"/>
    <tableColumn id="59" xr3:uid="{00000000-0010-0000-0100-00003B000000}" name="Geolocalización domicilio"/>
    <tableColumn id="60" xr3:uid="{00000000-0010-0000-0100-00003C000000}" name="Link de Geolocalización" dataDxfId="75"/>
    <tableColumn id="61" xr3:uid="{00000000-0010-0000-0100-00003D000000}" name="Castigado cartera"/>
    <tableColumn id="62" xr3:uid="{00000000-0010-0000-0100-00003E000000}" name="Nom. personal castiga cartera"/>
    <tableColumn id="63" xr3:uid="{00000000-0010-0000-0100-00003F000000}" name="Frecuencia"/>
    <tableColumn id="64" xr3:uid="{00000000-0010-0000-0100-000040000000}" name="Criticidad"/>
    <tableColumn id="65" xr3:uid="{00000000-0010-0000-0100-000041000000}" name="Forma de entrega"/>
    <tableColumn id="66" xr3:uid="{00000000-0010-0000-0100-000042000000}" name="Concepto Depósito" dataDxfId="74"/>
    <tableColumn id="67" xr3:uid="{00000000-0010-0000-0100-000043000000}" name="Saldo riesgo capital" dataDxfId="73"/>
    <tableColumn id="68" xr3:uid="{00000000-0010-0000-0100-000044000000}" name="Saldo riesgo total" dataDxfId="72"/>
    <tableColumn id="69" xr3:uid="{00000000-0010-0000-0100-000045000000}" name="% MORA" dataDxfId="71"/>
    <tableColumn id="70" xr3:uid="{CF9B07BB-43AE-449A-8843-E52E069F1B31}" name="Dias desde el ultimo pago "/>
    <tableColumn id="71" xr3:uid="{1D048D3B-2A46-4D76-9D38-FC382641B79A}" name="Alerta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3:AB18"/>
  <sheetViews>
    <sheetView showGridLines="0" zoomScaleNormal="10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D20" sqref="D20"/>
    </sheetView>
  </sheetViews>
  <sheetFormatPr defaultColWidth="11.5546875" defaultRowHeight="14.4" x14ac:dyDescent="0.3"/>
  <cols>
    <col min="1" max="1" width="17.109375" bestFit="1" customWidth="1"/>
    <col min="2" max="2" width="8.77734375" bestFit="1" customWidth="1"/>
    <col min="3" max="3" width="7" bestFit="1" customWidth="1"/>
    <col min="4" max="4" width="8" bestFit="1" customWidth="1"/>
    <col min="5" max="5" width="5.88671875" bestFit="1" customWidth="1"/>
    <col min="6" max="6" width="13.6640625" bestFit="1" customWidth="1"/>
    <col min="7" max="7" width="11.88671875" bestFit="1" customWidth="1"/>
    <col min="8" max="8" width="27.33203125" customWidth="1"/>
    <col min="9" max="9" width="0.109375" customWidth="1"/>
    <col min="10" max="10" width="16.5546875" hidden="1" customWidth="1"/>
    <col min="11" max="11" width="25.5546875" hidden="1" customWidth="1"/>
    <col min="12" max="12" width="23.44140625" hidden="1" customWidth="1"/>
    <col min="13" max="13" width="30.5546875" bestFit="1" customWidth="1"/>
    <col min="14" max="14" width="28.33203125" bestFit="1" customWidth="1"/>
    <col min="15" max="15" width="25.5546875" bestFit="1" customWidth="1"/>
    <col min="16" max="16" width="23.44140625" bestFit="1" customWidth="1"/>
    <col min="17" max="17" width="25.5546875" bestFit="1" customWidth="1"/>
    <col min="18" max="18" width="23.44140625" bestFit="1" customWidth="1"/>
    <col min="19" max="19" width="25.5546875" bestFit="1" customWidth="1"/>
    <col min="20" max="20" width="23.44140625" bestFit="1" customWidth="1"/>
    <col min="21" max="21" width="25.5546875" bestFit="1" customWidth="1"/>
    <col min="22" max="22" width="23.44140625" bestFit="1" customWidth="1"/>
    <col min="23" max="23" width="25.5546875" bestFit="1" customWidth="1"/>
    <col min="24" max="24" width="23.44140625" bestFit="1" customWidth="1"/>
    <col min="25" max="25" width="25.5546875" hidden="1" customWidth="1"/>
    <col min="26" max="26" width="23.44140625" hidden="1" customWidth="1"/>
    <col min="27" max="27" width="30.33203125" hidden="1" customWidth="1"/>
    <col min="28" max="28" width="28.21875" hidden="1" customWidth="1"/>
    <col min="29" max="93" width="7" bestFit="1" customWidth="1"/>
    <col min="94" max="94" width="6.6640625" bestFit="1" customWidth="1"/>
    <col min="95" max="95" width="11.44140625" bestFit="1" customWidth="1"/>
    <col min="96" max="96" width="12.44140625" bestFit="1" customWidth="1"/>
    <col min="97" max="97" width="11.44140625" bestFit="1" customWidth="1"/>
    <col min="98" max="98" width="12.44140625" bestFit="1" customWidth="1"/>
    <col min="99" max="101" width="11.44140625" bestFit="1" customWidth="1"/>
    <col min="102" max="102" width="10.44140625" bestFit="1" customWidth="1"/>
    <col min="103" max="103" width="12.33203125" bestFit="1" customWidth="1"/>
    <col min="104" max="107" width="11.44140625" bestFit="1" customWidth="1"/>
    <col min="108" max="108" width="10.44140625" bestFit="1" customWidth="1"/>
    <col min="109" max="109" width="11.33203125" bestFit="1" customWidth="1"/>
    <col min="110" max="111" width="11.44140625" bestFit="1" customWidth="1"/>
    <col min="112" max="113" width="10.44140625" bestFit="1" customWidth="1"/>
    <col min="114" max="114" width="11.44140625" bestFit="1" customWidth="1"/>
    <col min="115" max="115" width="10.44140625" bestFit="1" customWidth="1"/>
    <col min="116" max="116" width="12.21875" bestFit="1" customWidth="1"/>
    <col min="117" max="122" width="11.44140625" bestFit="1" customWidth="1"/>
    <col min="123" max="124" width="10.44140625" bestFit="1" customWidth="1"/>
    <col min="125" max="125" width="8.88671875" bestFit="1" customWidth="1"/>
    <col min="126" max="127" width="10.44140625" bestFit="1" customWidth="1"/>
    <col min="128" max="129" width="11.44140625" bestFit="1" customWidth="1"/>
    <col min="130" max="130" width="10.44140625" bestFit="1" customWidth="1"/>
    <col min="131" max="131" width="11.44140625" bestFit="1" customWidth="1"/>
    <col min="132" max="132" width="10.44140625" bestFit="1" customWidth="1"/>
    <col min="133" max="135" width="11.44140625" bestFit="1" customWidth="1"/>
    <col min="136" max="136" width="10.44140625" bestFit="1" customWidth="1"/>
    <col min="137" max="137" width="12.21875" bestFit="1" customWidth="1"/>
    <col min="138" max="144" width="11.44140625" bestFit="1" customWidth="1"/>
    <col min="145" max="147" width="10.44140625" bestFit="1" customWidth="1"/>
    <col min="148" max="149" width="11.44140625" bestFit="1" customWidth="1"/>
    <col min="150" max="150" width="10.44140625" bestFit="1" customWidth="1"/>
    <col min="151" max="151" width="11.44140625" bestFit="1" customWidth="1"/>
    <col min="152" max="152" width="10.44140625" bestFit="1" customWidth="1"/>
    <col min="153" max="153" width="11.44140625" bestFit="1" customWidth="1"/>
    <col min="154" max="154" width="10.44140625" bestFit="1" customWidth="1"/>
    <col min="155" max="156" width="11.44140625" bestFit="1" customWidth="1"/>
    <col min="157" max="160" width="10.44140625" bestFit="1" customWidth="1"/>
    <col min="161" max="161" width="11.44140625" bestFit="1" customWidth="1"/>
    <col min="162" max="162" width="12.33203125" bestFit="1" customWidth="1"/>
    <col min="163" max="188" width="11.44140625" bestFit="1" customWidth="1"/>
    <col min="189" max="189" width="10.44140625" bestFit="1" customWidth="1"/>
    <col min="190" max="191" width="11.44140625" bestFit="1" customWidth="1"/>
    <col min="192" max="192" width="10.44140625" bestFit="1" customWidth="1"/>
    <col min="193" max="193" width="11.44140625" bestFit="1" customWidth="1"/>
    <col min="194" max="194" width="10.44140625" bestFit="1" customWidth="1"/>
    <col min="195" max="195" width="11.44140625" bestFit="1" customWidth="1"/>
    <col min="196" max="196" width="8.88671875" bestFit="1" customWidth="1"/>
    <col min="197" max="201" width="11.44140625" bestFit="1" customWidth="1"/>
    <col min="202" max="202" width="10.44140625" bestFit="1" customWidth="1"/>
    <col min="203" max="207" width="11.44140625" bestFit="1" customWidth="1"/>
    <col min="208" max="208" width="12.44140625" bestFit="1" customWidth="1"/>
    <col min="209" max="209" width="10.44140625" bestFit="1" customWidth="1"/>
    <col min="210" max="210" width="11.44140625" bestFit="1" customWidth="1"/>
    <col min="211" max="211" width="10.44140625" bestFit="1" customWidth="1"/>
    <col min="212" max="213" width="11.44140625" bestFit="1" customWidth="1"/>
    <col min="214" max="214" width="10.44140625" bestFit="1" customWidth="1"/>
    <col min="215" max="220" width="11.44140625" bestFit="1" customWidth="1"/>
    <col min="221" max="221" width="14.21875" bestFit="1" customWidth="1"/>
    <col min="222" max="222" width="12.88671875" bestFit="1" customWidth="1"/>
    <col min="223" max="223" width="15.21875" bestFit="1" customWidth="1"/>
    <col min="224" max="427" width="13.44140625" bestFit="1" customWidth="1"/>
    <col min="428" max="428" width="17.109375" bestFit="1" customWidth="1"/>
    <col min="429" max="429" width="14" bestFit="1" customWidth="1"/>
  </cols>
  <sheetData>
    <row r="3" spans="1:24" ht="15" thickBot="1" x14ac:dyDescent="0.35"/>
    <row r="4" spans="1:24" ht="15" customHeight="1" thickBot="1" x14ac:dyDescent="0.35">
      <c r="M4" s="23" t="s">
        <v>0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24" ht="15" customHeight="1" thickBot="1" x14ac:dyDescent="0.35">
      <c r="M5" s="23" t="s">
        <v>9</v>
      </c>
      <c r="N5" s="24"/>
      <c r="O5" s="23" t="s">
        <v>10</v>
      </c>
      <c r="P5" s="24"/>
      <c r="Q5" s="23" t="s">
        <v>11</v>
      </c>
      <c r="R5" s="24"/>
      <c r="S5" s="23" t="s">
        <v>12</v>
      </c>
      <c r="T5" s="24"/>
      <c r="U5" s="23" t="s">
        <v>13</v>
      </c>
      <c r="V5" s="24"/>
      <c r="W5" s="23" t="s">
        <v>14</v>
      </c>
      <c r="X5" s="24"/>
    </row>
    <row r="6" spans="1:24" ht="58.2" customHeight="1" thickBot="1" x14ac:dyDescent="0.35">
      <c r="A6" s="9" t="s">
        <v>1</v>
      </c>
      <c r="B6" s="9" t="s">
        <v>2</v>
      </c>
      <c r="C6" s="9" t="s">
        <v>3</v>
      </c>
      <c r="D6" s="9" t="s">
        <v>4</v>
      </c>
      <c r="E6" s="9" t="s">
        <v>5</v>
      </c>
      <c r="F6" s="9" t="s">
        <v>6</v>
      </c>
      <c r="G6" s="9" t="s">
        <v>7</v>
      </c>
      <c r="H6" s="10" t="s">
        <v>8</v>
      </c>
      <c r="I6" s="14"/>
      <c r="M6" s="9" t="s">
        <v>87</v>
      </c>
      <c r="N6" s="9" t="s">
        <v>88</v>
      </c>
      <c r="O6" s="9" t="s">
        <v>87</v>
      </c>
      <c r="P6" s="9" t="s">
        <v>88</v>
      </c>
      <c r="Q6" s="9" t="s">
        <v>87</v>
      </c>
      <c r="R6" s="9" t="s">
        <v>88</v>
      </c>
      <c r="S6" s="9" t="s">
        <v>87</v>
      </c>
      <c r="T6" s="9" t="s">
        <v>88</v>
      </c>
      <c r="U6" s="9" t="s">
        <v>87</v>
      </c>
      <c r="V6" s="9" t="s">
        <v>88</v>
      </c>
      <c r="W6" s="9" t="s">
        <v>87</v>
      </c>
      <c r="X6" s="9" t="s">
        <v>88</v>
      </c>
    </row>
    <row r="7" spans="1:24" ht="14.4" hidden="1" customHeight="1" thickBot="1" x14ac:dyDescent="0.35">
      <c r="K7" s="7" t="s">
        <v>0</v>
      </c>
    </row>
    <row r="8" spans="1:24" ht="27" hidden="1" customHeight="1" thickBot="1" x14ac:dyDescent="0.35">
      <c r="B8" s="7" t="s">
        <v>83</v>
      </c>
      <c r="H8" s="10" t="s">
        <v>8</v>
      </c>
      <c r="I8" s="14"/>
      <c r="K8" s="26" t="s">
        <v>89</v>
      </c>
      <c r="L8" s="26"/>
      <c r="M8" t="s">
        <v>84</v>
      </c>
      <c r="N8" t="s">
        <v>85</v>
      </c>
    </row>
    <row r="9" spans="1:24" ht="19.2" hidden="1" customHeight="1" x14ac:dyDescent="0.3">
      <c r="A9" s="26" t="s">
        <v>1</v>
      </c>
      <c r="B9" s="26" t="s">
        <v>2</v>
      </c>
      <c r="C9" s="26" t="s">
        <v>3</v>
      </c>
      <c r="D9" s="26" t="s">
        <v>4</v>
      </c>
      <c r="E9" s="26" t="s">
        <v>5</v>
      </c>
      <c r="F9" s="26" t="s">
        <v>6</v>
      </c>
      <c r="G9" s="26" t="s">
        <v>7</v>
      </c>
      <c r="I9" s="14"/>
      <c r="J9" s="7" t="s">
        <v>90</v>
      </c>
      <c r="K9" t="s">
        <v>86</v>
      </c>
      <c r="L9" t="s">
        <v>15</v>
      </c>
    </row>
    <row r="10" spans="1:24" x14ac:dyDescent="0.3">
      <c r="A10" s="15" t="s">
        <v>89</v>
      </c>
      <c r="B10" s="8"/>
      <c r="C10" s="8"/>
      <c r="D10" s="8"/>
      <c r="E10" s="8"/>
      <c r="F10" s="8"/>
      <c r="G10" s="8"/>
      <c r="H10" s="13">
        <f>IFERROR(D10/E10,0)</f>
        <v>0</v>
      </c>
      <c r="I10" s="14"/>
      <c r="J10" s="12" t="s">
        <v>89</v>
      </c>
      <c r="K10" s="25"/>
      <c r="L10" s="8"/>
      <c r="M10" s="25"/>
      <c r="N10" s="8"/>
    </row>
    <row r="11" spans="1:24" x14ac:dyDescent="0.3">
      <c r="A11" s="29" t="s">
        <v>16</v>
      </c>
      <c r="B11" s="30"/>
      <c r="C11" s="30"/>
      <c r="D11" s="30"/>
      <c r="E11" s="30"/>
      <c r="F11" s="30"/>
      <c r="G11" s="30"/>
      <c r="H11" s="13">
        <f t="shared" ref="H11:H14" si="0">IFERROR(D11/E11,0)</f>
        <v>0</v>
      </c>
      <c r="I11" s="14"/>
      <c r="J11" s="12" t="s">
        <v>91</v>
      </c>
      <c r="K11" s="28"/>
      <c r="L11" s="29"/>
      <c r="M11" s="25"/>
      <c r="N11" s="8"/>
    </row>
    <row r="12" spans="1:24" x14ac:dyDescent="0.3">
      <c r="H12" s="13">
        <f t="shared" si="0"/>
        <v>0</v>
      </c>
      <c r="I12" s="14"/>
    </row>
    <row r="13" spans="1:24" x14ac:dyDescent="0.3">
      <c r="H13" s="13">
        <f t="shared" si="0"/>
        <v>0</v>
      </c>
      <c r="I13" s="14"/>
    </row>
    <row r="14" spans="1:24" ht="15" customHeight="1" x14ac:dyDescent="0.3">
      <c r="H14" s="13">
        <f t="shared" si="0"/>
        <v>0</v>
      </c>
      <c r="I14" s="14"/>
    </row>
    <row r="15" spans="1:24" ht="15" customHeight="1" thickBot="1" x14ac:dyDescent="0.35">
      <c r="I15" s="16"/>
    </row>
    <row r="16" spans="1:24" ht="15" customHeight="1" thickBot="1" x14ac:dyDescent="0.35">
      <c r="H16" s="19" t="e">
        <f>D16/E16</f>
        <v>#DIV/0!</v>
      </c>
    </row>
    <row r="18" spans="13:23" x14ac:dyDescent="0.3">
      <c r="M18" s="22"/>
      <c r="W18" s="22"/>
    </row>
  </sheetData>
  <mergeCells count="7">
    <mergeCell ref="M4:X4"/>
    <mergeCell ref="M5:N5"/>
    <mergeCell ref="O5:P5"/>
    <mergeCell ref="Q5:R5"/>
    <mergeCell ref="S5:T5"/>
    <mergeCell ref="U5:V5"/>
    <mergeCell ref="W5:X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3:AF28"/>
  <sheetViews>
    <sheetView showGridLines="0" topLeftCell="A2" workbookViewId="0">
      <pane xSplit="3" ySplit="8" topLeftCell="AA10" activePane="bottomRight" state="frozen"/>
      <selection activeCell="C17" sqref="C17"/>
      <selection pane="topRight" activeCell="C17" sqref="C17"/>
      <selection pane="bottomLeft" activeCell="C17" sqref="C17"/>
      <selection pane="bottomRight" activeCell="C17" sqref="C17"/>
    </sheetView>
  </sheetViews>
  <sheetFormatPr defaultColWidth="11.5546875" defaultRowHeight="14.4" x14ac:dyDescent="0.3"/>
  <cols>
    <col min="1" max="2" width="27.44140625" customWidth="1"/>
    <col min="3" max="3" width="21.109375" bestFit="1" customWidth="1"/>
    <col min="4" max="4" width="17" bestFit="1" customWidth="1"/>
    <col min="5" max="5" width="12.44140625" bestFit="1" customWidth="1"/>
    <col min="6" max="6" width="13.6640625" bestFit="1" customWidth="1"/>
    <col min="7" max="7" width="10.88671875" bestFit="1" customWidth="1"/>
    <col min="8" max="8" width="18.5546875" bestFit="1" customWidth="1"/>
    <col min="9" max="9" width="16.88671875" bestFit="1" customWidth="1"/>
    <col min="10" max="10" width="27.44140625" customWidth="1"/>
    <col min="11" max="11" width="0.44140625" customWidth="1"/>
    <col min="12" max="12" width="16.5546875" hidden="1" customWidth="1"/>
    <col min="13" max="13" width="11.5546875" hidden="1" customWidth="1"/>
    <col min="14" max="14" width="32.77734375" hidden="1" customWidth="1"/>
    <col min="15" max="15" width="27.44140625" hidden="1" customWidth="1"/>
    <col min="16" max="16" width="25.5546875" hidden="1" customWidth="1"/>
    <col min="17" max="17" width="30.5546875" bestFit="1" customWidth="1"/>
    <col min="18" max="18" width="28.33203125" bestFit="1" customWidth="1"/>
    <col min="19" max="21" width="25.5546875" bestFit="1" customWidth="1"/>
    <col min="22" max="22" width="13.77734375" hidden="1" customWidth="1"/>
    <col min="23" max="23" width="14" hidden="1" customWidth="1"/>
    <col min="24" max="28" width="25.5546875" bestFit="1" customWidth="1"/>
    <col min="29" max="30" width="25.5546875" hidden="1" customWidth="1"/>
    <col min="31" max="31" width="30.33203125" hidden="1" customWidth="1"/>
    <col min="32" max="32" width="28.21875" hidden="1" customWidth="1"/>
  </cols>
  <sheetData>
    <row r="3" spans="1:28" ht="15" customHeight="1" thickBot="1" x14ac:dyDescent="0.35"/>
    <row r="4" spans="1:28" ht="15" customHeight="1" thickBot="1" x14ac:dyDescent="0.35">
      <c r="Q4" s="23" t="s">
        <v>0</v>
      </c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</row>
    <row r="5" spans="1:28" ht="14.4" customHeight="1" thickBot="1" x14ac:dyDescent="0.35">
      <c r="K5" s="16"/>
      <c r="L5" t="s">
        <v>1</v>
      </c>
      <c r="M5" t="s">
        <v>17</v>
      </c>
      <c r="N5" t="s">
        <v>18</v>
      </c>
      <c r="Q5" s="23" t="s">
        <v>9</v>
      </c>
      <c r="R5" s="24"/>
      <c r="S5" s="23" t="s">
        <v>10</v>
      </c>
      <c r="T5" s="24"/>
      <c r="U5" s="23" t="s">
        <v>11</v>
      </c>
      <c r="V5" s="24"/>
      <c r="W5" s="23" t="s">
        <v>12</v>
      </c>
      <c r="X5" s="24"/>
      <c r="Y5" s="23" t="s">
        <v>13</v>
      </c>
      <c r="Z5" s="24"/>
      <c r="AA5" s="23" t="s">
        <v>14</v>
      </c>
      <c r="AB5" s="24"/>
    </row>
    <row r="6" spans="1:28" ht="34.950000000000003" customHeight="1" thickBot="1" x14ac:dyDescent="0.35">
      <c r="A6" s="9" t="s">
        <v>1</v>
      </c>
      <c r="B6" s="9" t="s">
        <v>17</v>
      </c>
      <c r="C6" s="9" t="s">
        <v>18</v>
      </c>
      <c r="D6" s="9" t="s">
        <v>2</v>
      </c>
      <c r="E6" s="9" t="s">
        <v>3</v>
      </c>
      <c r="F6" s="9" t="s">
        <v>4</v>
      </c>
      <c r="G6" s="9" t="s">
        <v>5</v>
      </c>
      <c r="H6" s="9" t="s">
        <v>6</v>
      </c>
      <c r="I6" s="9" t="s">
        <v>7</v>
      </c>
      <c r="J6" s="17" t="s">
        <v>8</v>
      </c>
      <c r="Q6" s="9" t="s">
        <v>87</v>
      </c>
      <c r="R6" s="9" t="s">
        <v>88</v>
      </c>
      <c r="S6" s="9" t="s">
        <v>87</v>
      </c>
      <c r="T6" s="9" t="s">
        <v>88</v>
      </c>
      <c r="U6" s="9" t="s">
        <v>87</v>
      </c>
      <c r="V6" s="9" t="s">
        <v>88</v>
      </c>
      <c r="W6" s="9" t="s">
        <v>87</v>
      </c>
      <c r="X6" s="9" t="s">
        <v>88</v>
      </c>
      <c r="Y6" s="9" t="s">
        <v>87</v>
      </c>
      <c r="Z6" s="9" t="s">
        <v>88</v>
      </c>
      <c r="AA6" s="9" t="s">
        <v>87</v>
      </c>
      <c r="AB6" s="9" t="s">
        <v>88</v>
      </c>
    </row>
    <row r="7" spans="1:28" ht="15" hidden="1" customHeight="1" x14ac:dyDescent="0.3">
      <c r="K7" s="16"/>
      <c r="O7" s="7" t="s">
        <v>0</v>
      </c>
      <c r="P7" s="7" t="s">
        <v>83</v>
      </c>
    </row>
    <row r="8" spans="1:28" ht="15" hidden="1" customHeight="1" thickBot="1" x14ac:dyDescent="0.35">
      <c r="D8" s="7" t="s">
        <v>83</v>
      </c>
      <c r="K8" s="16"/>
      <c r="O8" t="s">
        <v>89</v>
      </c>
      <c r="Q8" t="s">
        <v>84</v>
      </c>
      <c r="R8" t="s">
        <v>85</v>
      </c>
    </row>
    <row r="9" spans="1:28" ht="15" hidden="1" thickBot="1" x14ac:dyDescent="0.35">
      <c r="A9" s="20" t="s">
        <v>1</v>
      </c>
      <c r="B9" s="20" t="s">
        <v>17</v>
      </c>
      <c r="C9" s="20" t="s">
        <v>18</v>
      </c>
      <c r="D9" s="11" t="s">
        <v>2</v>
      </c>
      <c r="E9" s="11" t="s">
        <v>3</v>
      </c>
      <c r="F9" s="11" t="s">
        <v>4</v>
      </c>
      <c r="G9" s="11" t="s">
        <v>5</v>
      </c>
      <c r="H9" s="11" t="s">
        <v>6</v>
      </c>
      <c r="I9" s="11" t="s">
        <v>7</v>
      </c>
      <c r="J9" s="17" t="s">
        <v>8</v>
      </c>
      <c r="K9" s="16"/>
      <c r="L9" s="7" t="s">
        <v>1</v>
      </c>
      <c r="M9" s="7" t="s">
        <v>17</v>
      </c>
      <c r="N9" s="7" t="s">
        <v>18</v>
      </c>
      <c r="O9" t="s">
        <v>86</v>
      </c>
      <c r="P9" t="s">
        <v>15</v>
      </c>
    </row>
    <row r="10" spans="1:28" x14ac:dyDescent="0.3">
      <c r="A10" s="18" t="s">
        <v>89</v>
      </c>
      <c r="B10" s="18" t="s">
        <v>89</v>
      </c>
      <c r="C10" s="18" t="s">
        <v>89</v>
      </c>
      <c r="D10" s="25"/>
      <c r="E10" s="25"/>
      <c r="F10" s="25"/>
      <c r="G10" s="25"/>
      <c r="H10" s="25"/>
      <c r="I10" s="25"/>
      <c r="J10" s="13">
        <f t="shared" ref="J10:J25" si="0">IFERROR(F9/G9,0)</f>
        <v>0</v>
      </c>
      <c r="K10" s="16"/>
      <c r="L10" t="s">
        <v>89</v>
      </c>
      <c r="M10" t="s">
        <v>89</v>
      </c>
      <c r="N10" t="s">
        <v>89</v>
      </c>
      <c r="O10" s="25"/>
      <c r="P10" s="25"/>
      <c r="Q10" s="25"/>
      <c r="R10" s="25"/>
    </row>
    <row r="11" spans="1:28" x14ac:dyDescent="0.3">
      <c r="A11" s="28" t="s">
        <v>16</v>
      </c>
      <c r="B11" s="28"/>
      <c r="C11" s="28"/>
      <c r="D11" s="27"/>
      <c r="E11" s="27"/>
      <c r="F11" s="27"/>
      <c r="G11" s="27"/>
      <c r="H11" s="27"/>
      <c r="I11" s="27"/>
      <c r="J11" s="13">
        <f t="shared" si="0"/>
        <v>0</v>
      </c>
      <c r="K11" s="16"/>
      <c r="L11" t="s">
        <v>91</v>
      </c>
      <c r="O11" s="8"/>
      <c r="P11" s="8"/>
      <c r="Q11" s="8"/>
      <c r="R11" s="8"/>
    </row>
    <row r="12" spans="1:28" x14ac:dyDescent="0.3">
      <c r="J12" s="13">
        <f t="shared" si="0"/>
        <v>0</v>
      </c>
      <c r="K12" s="16"/>
    </row>
    <row r="13" spans="1:28" x14ac:dyDescent="0.3">
      <c r="J13" s="13">
        <f t="shared" si="0"/>
        <v>0</v>
      </c>
      <c r="K13" s="16"/>
    </row>
    <row r="14" spans="1:28" x14ac:dyDescent="0.3">
      <c r="J14" s="13">
        <f t="shared" si="0"/>
        <v>0</v>
      </c>
      <c r="K14" s="16"/>
    </row>
    <row r="15" spans="1:28" x14ac:dyDescent="0.3">
      <c r="J15" s="13">
        <f t="shared" si="0"/>
        <v>0</v>
      </c>
      <c r="K15" s="16"/>
    </row>
    <row r="16" spans="1:28" x14ac:dyDescent="0.3">
      <c r="J16" s="13">
        <f t="shared" si="0"/>
        <v>0</v>
      </c>
      <c r="K16" s="16"/>
    </row>
    <row r="17" spans="10:27" x14ac:dyDescent="0.3">
      <c r="J17" s="13">
        <f t="shared" si="0"/>
        <v>0</v>
      </c>
      <c r="K17" s="16"/>
    </row>
    <row r="18" spans="10:27" x14ac:dyDescent="0.3">
      <c r="J18" s="13">
        <f t="shared" si="0"/>
        <v>0</v>
      </c>
      <c r="K18" s="16"/>
    </row>
    <row r="19" spans="10:27" x14ac:dyDescent="0.3">
      <c r="J19" s="13">
        <f t="shared" si="0"/>
        <v>0</v>
      </c>
      <c r="K19" s="16"/>
    </row>
    <row r="20" spans="10:27" x14ac:dyDescent="0.3">
      <c r="J20" s="13">
        <f t="shared" si="0"/>
        <v>0</v>
      </c>
      <c r="K20" s="16"/>
    </row>
    <row r="21" spans="10:27" x14ac:dyDescent="0.3">
      <c r="J21" s="13">
        <f t="shared" si="0"/>
        <v>0</v>
      </c>
      <c r="K21" s="16"/>
    </row>
    <row r="22" spans="10:27" x14ac:dyDescent="0.3">
      <c r="J22" s="13">
        <f t="shared" si="0"/>
        <v>0</v>
      </c>
      <c r="K22" s="16"/>
    </row>
    <row r="23" spans="10:27" x14ac:dyDescent="0.3">
      <c r="J23" s="13">
        <f t="shared" si="0"/>
        <v>0</v>
      </c>
      <c r="K23" s="16"/>
    </row>
    <row r="24" spans="10:27" x14ac:dyDescent="0.3">
      <c r="J24" s="13">
        <f t="shared" si="0"/>
        <v>0</v>
      </c>
      <c r="K24" s="16"/>
    </row>
    <row r="25" spans="10:27" ht="15" customHeight="1" x14ac:dyDescent="0.3">
      <c r="J25" s="13">
        <f t="shared" si="0"/>
        <v>0</v>
      </c>
      <c r="K25" s="16"/>
    </row>
    <row r="26" spans="10:27" ht="15" customHeight="1" thickBot="1" x14ac:dyDescent="0.35">
      <c r="K26" s="16"/>
    </row>
    <row r="27" spans="10:27" ht="15" thickBot="1" x14ac:dyDescent="0.35">
      <c r="J27" s="19">
        <f>IFERROR(F26/G26,0)</f>
        <v>0</v>
      </c>
    </row>
    <row r="28" spans="10:27" x14ac:dyDescent="0.3">
      <c r="S28" s="22"/>
      <c r="Y28" s="22"/>
      <c r="AA28" s="22"/>
    </row>
  </sheetData>
  <mergeCells count="7">
    <mergeCell ref="Q4:AB4"/>
    <mergeCell ref="Q5:R5"/>
    <mergeCell ref="S5:T5"/>
    <mergeCell ref="U5:V5"/>
    <mergeCell ref="W5:X5"/>
    <mergeCell ref="Y5:Z5"/>
    <mergeCell ref="AA5:A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2:BS3"/>
  <sheetViews>
    <sheetView tabSelected="1" topLeftCell="BM1" workbookViewId="0">
      <pane ySplit="2" topLeftCell="A3" activePane="bottomLeft" state="frozen"/>
      <selection pane="bottomLeft" activeCell="BR10" sqref="BR10"/>
    </sheetView>
  </sheetViews>
  <sheetFormatPr defaultColWidth="8.88671875" defaultRowHeight="14.4" x14ac:dyDescent="0.3"/>
  <cols>
    <col min="1" max="1" width="19" customWidth="1"/>
    <col min="2" max="2" width="22" customWidth="1"/>
    <col min="3" max="3" width="16" customWidth="1"/>
    <col min="4" max="4" width="17" customWidth="1"/>
    <col min="5" max="5" width="34" customWidth="1"/>
    <col min="6" max="6" width="20" customWidth="1"/>
    <col min="7" max="7" width="34" customWidth="1"/>
    <col min="8" max="8" width="7" customWidth="1"/>
    <col min="9" max="9" width="41" customWidth="1"/>
    <col min="10" max="11" width="21" customWidth="1"/>
    <col min="12" max="13" width="20" customWidth="1"/>
    <col min="14" max="14" width="14" customWidth="1"/>
    <col min="15" max="15" width="9.33203125" bestFit="1" customWidth="1"/>
    <col min="16" max="16" width="19" customWidth="1"/>
    <col min="17" max="17" width="14" customWidth="1"/>
    <col min="18" max="18" width="36" customWidth="1"/>
    <col min="19" max="19" width="18" customWidth="1"/>
    <col min="20" max="20" width="39" customWidth="1"/>
    <col min="21" max="21" width="16" customWidth="1"/>
    <col min="22" max="22" width="19" customWidth="1"/>
    <col min="23" max="24" width="20" customWidth="1"/>
    <col min="25" max="26" width="23" customWidth="1"/>
    <col min="27" max="27" width="24" customWidth="1"/>
    <col min="28" max="29" width="20" customWidth="1"/>
    <col min="30" max="30" width="21" customWidth="1"/>
    <col min="31" max="31" width="24" customWidth="1"/>
    <col min="32" max="32" width="18" customWidth="1"/>
    <col min="33" max="33" width="44" customWidth="1"/>
    <col min="34" max="34" width="20" customWidth="1"/>
    <col min="35" max="35" width="50" customWidth="1"/>
    <col min="36" max="36" width="32" customWidth="1"/>
    <col min="37" max="37" width="36" customWidth="1"/>
    <col min="38" max="38" width="18" customWidth="1"/>
    <col min="39" max="39" width="35" customWidth="1"/>
    <col min="40" max="40" width="22" customWidth="1"/>
    <col min="41" max="41" width="37" customWidth="1"/>
    <col min="42" max="42" width="22" customWidth="1"/>
    <col min="43" max="43" width="37" customWidth="1"/>
    <col min="44" max="44" width="27" customWidth="1"/>
    <col min="45" max="45" width="20" customWidth="1"/>
    <col min="46" max="47" width="50" customWidth="1"/>
    <col min="48" max="48" width="20" customWidth="1"/>
    <col min="49" max="49" width="50" customWidth="1"/>
    <col min="50" max="50" width="37" customWidth="1"/>
    <col min="51" max="52" width="20" customWidth="1"/>
    <col min="53" max="53" width="23" customWidth="1"/>
    <col min="54" max="54" width="48" customWidth="1"/>
    <col min="55" max="55" width="40" customWidth="1"/>
    <col min="56" max="56" width="39" customWidth="1"/>
    <col min="57" max="57" width="20" customWidth="1"/>
    <col min="58" max="58" width="25" customWidth="1"/>
    <col min="59" max="59" width="32" customWidth="1"/>
    <col min="60" max="60" width="25" customWidth="1"/>
    <col min="61" max="61" width="19" customWidth="1"/>
    <col min="62" max="62" width="31" customWidth="1"/>
    <col min="63" max="64" width="12" customWidth="1"/>
    <col min="65" max="65" width="27" customWidth="1"/>
    <col min="66" max="66" width="19" customWidth="1"/>
    <col min="67" max="67" width="19.44140625" bestFit="1" customWidth="1"/>
    <col min="68" max="68" width="17.6640625" bestFit="1" customWidth="1"/>
    <col min="69" max="69" width="10.5546875" bestFit="1" customWidth="1"/>
    <col min="70" max="70" width="25.44140625" customWidth="1"/>
  </cols>
  <sheetData>
    <row r="2" spans="1:71" ht="34.950000000000003" customHeight="1" x14ac:dyDescent="0.3">
      <c r="A2" s="1" t="s">
        <v>22</v>
      </c>
      <c r="B2" s="1" t="s">
        <v>23</v>
      </c>
      <c r="C2" s="1" t="s">
        <v>1</v>
      </c>
      <c r="D2" s="1" t="s">
        <v>24</v>
      </c>
      <c r="E2" s="1" t="s">
        <v>25</v>
      </c>
      <c r="F2" s="1" t="s">
        <v>17</v>
      </c>
      <c r="G2" s="1" t="s">
        <v>18</v>
      </c>
      <c r="H2" s="1" t="s">
        <v>19</v>
      </c>
      <c r="I2" s="1" t="s">
        <v>26</v>
      </c>
      <c r="J2" s="1" t="s">
        <v>27</v>
      </c>
      <c r="K2" s="1" t="s">
        <v>28</v>
      </c>
      <c r="L2" s="1" t="s">
        <v>29</v>
      </c>
      <c r="M2" s="1" t="s">
        <v>30</v>
      </c>
      <c r="N2" s="2" t="s">
        <v>31</v>
      </c>
      <c r="O2" s="1" t="s">
        <v>0</v>
      </c>
      <c r="P2" s="1" t="s">
        <v>32</v>
      </c>
      <c r="Q2" s="1" t="s">
        <v>21</v>
      </c>
      <c r="R2" s="1" t="s">
        <v>33</v>
      </c>
      <c r="S2" s="1" t="s">
        <v>34</v>
      </c>
      <c r="T2" s="1" t="s">
        <v>35</v>
      </c>
      <c r="U2" s="1" t="s">
        <v>36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41</v>
      </c>
      <c r="AA2" s="1" t="s">
        <v>42</v>
      </c>
      <c r="AB2" s="1" t="s">
        <v>43</v>
      </c>
      <c r="AC2" s="1" t="s">
        <v>44</v>
      </c>
      <c r="AD2" s="1" t="s">
        <v>45</v>
      </c>
      <c r="AE2" s="1" t="s">
        <v>46</v>
      </c>
      <c r="AF2" s="1" t="s">
        <v>47</v>
      </c>
      <c r="AG2" s="1" t="s">
        <v>48</v>
      </c>
      <c r="AH2" s="1" t="s">
        <v>49</v>
      </c>
      <c r="AI2" s="1" t="s">
        <v>50</v>
      </c>
      <c r="AJ2" s="1" t="s">
        <v>51</v>
      </c>
      <c r="AK2" s="1" t="s">
        <v>52</v>
      </c>
      <c r="AL2" s="1" t="s">
        <v>53</v>
      </c>
      <c r="AM2" s="1" t="s">
        <v>54</v>
      </c>
      <c r="AN2" s="1" t="s">
        <v>55</v>
      </c>
      <c r="AO2" s="1" t="s">
        <v>56</v>
      </c>
      <c r="AP2" s="1" t="s">
        <v>57</v>
      </c>
      <c r="AQ2" s="1" t="s">
        <v>58</v>
      </c>
      <c r="AR2" s="1" t="s">
        <v>59</v>
      </c>
      <c r="AS2" s="1" t="s">
        <v>60</v>
      </c>
      <c r="AT2" s="1" t="s">
        <v>61</v>
      </c>
      <c r="AU2" s="1" t="s">
        <v>62</v>
      </c>
      <c r="AV2" s="1" t="s">
        <v>63</v>
      </c>
      <c r="AW2" s="1" t="s">
        <v>64</v>
      </c>
      <c r="AX2" s="1" t="s">
        <v>65</v>
      </c>
      <c r="AY2" s="1" t="s">
        <v>66</v>
      </c>
      <c r="AZ2" s="1" t="s">
        <v>67</v>
      </c>
      <c r="BA2" s="1" t="s">
        <v>68</v>
      </c>
      <c r="BB2" s="1" t="s">
        <v>69</v>
      </c>
      <c r="BC2" s="1" t="s">
        <v>70</v>
      </c>
      <c r="BD2" s="1" t="s">
        <v>71</v>
      </c>
      <c r="BE2" s="1" t="s">
        <v>72</v>
      </c>
      <c r="BF2" s="1" t="s">
        <v>20</v>
      </c>
      <c r="BG2" s="1" t="s">
        <v>73</v>
      </c>
      <c r="BH2" s="1" t="s">
        <v>74</v>
      </c>
      <c r="BI2" s="1" t="s">
        <v>75</v>
      </c>
      <c r="BJ2" s="1" t="s">
        <v>76</v>
      </c>
      <c r="BK2" s="1" t="s">
        <v>77</v>
      </c>
      <c r="BL2" s="1" t="s">
        <v>78</v>
      </c>
      <c r="BM2" s="1" t="s">
        <v>79</v>
      </c>
      <c r="BN2" s="1" t="s">
        <v>80</v>
      </c>
      <c r="BO2" s="11" t="s">
        <v>81</v>
      </c>
      <c r="BP2" s="11" t="s">
        <v>82</v>
      </c>
      <c r="BQ2" s="11" t="s">
        <v>8</v>
      </c>
      <c r="BR2" s="11" t="s">
        <v>92</v>
      </c>
      <c r="BS2" s="11" t="s">
        <v>93</v>
      </c>
    </row>
    <row r="3" spans="1:71" x14ac:dyDescent="0.3">
      <c r="A3" s="3"/>
      <c r="J3" s="4"/>
      <c r="K3" s="4"/>
      <c r="L3" s="5"/>
      <c r="M3" s="5"/>
      <c r="T3" s="5"/>
      <c r="U3" s="5"/>
      <c r="W3" s="5"/>
      <c r="X3" s="5"/>
      <c r="Y3" s="5"/>
      <c r="Z3" s="5"/>
      <c r="AA3" s="5"/>
      <c r="AB3" s="5"/>
      <c r="AC3" s="5"/>
      <c r="AD3" s="4"/>
      <c r="AY3" s="5"/>
      <c r="AZ3" s="5"/>
      <c r="BH3" s="6"/>
      <c r="BN3" s="3"/>
      <c r="BO3" s="5"/>
      <c r="BP3" s="5"/>
      <c r="BQ3" s="21"/>
    </row>
  </sheetData>
  <conditionalFormatting sqref="N3">
    <cfRule type="colorScale" priority="2">
      <colorScale>
        <cfvo type="min"/>
        <cfvo type="percentile" val="50"/>
        <cfvo type="max"/>
        <color rgb="FF7AB800"/>
        <color rgb="FFFFEB84"/>
        <color rgb="FFFF6464"/>
      </colorScale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X_Coordinación</vt:lpstr>
      <vt:lpstr>X_Recuperador</vt:lpstr>
      <vt:lpstr>R_Completo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Uzziel Valdez Ordoñez</cp:lastModifiedBy>
  <dcterms:created xsi:type="dcterms:W3CDTF">2025-11-12T17:01:44Z</dcterms:created>
  <dcterms:modified xsi:type="dcterms:W3CDTF">2026-03-02T23:41:56Z</dcterms:modified>
</cp:coreProperties>
</file>